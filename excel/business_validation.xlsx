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d9df372e1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5" r:id="R5576e714bfe1412f"/>
    <x:sheet xmlns:r="http://schemas.openxmlformats.org/officeDocument/2006/relationships" name="Consumer profiles" sheetId="6" r:id="Rf28859f373394aa9"/>
    <x:sheet xmlns:r="http://schemas.openxmlformats.org/officeDocument/2006/relationships" name="Promotion patterns" sheetId="7" r:id="R1ace61bebbae4fb4"/>
    <x:sheet xmlns:r="http://schemas.openxmlformats.org/officeDocument/2006/relationships" name="01_KPI_Check" sheetId="1" r:id="R2a44f982c11340ef"/>
    <x:sheet xmlns:r="http://schemas.openxmlformats.org/officeDocument/2006/relationships" name="02_Segment_Summary" sheetId="2" r:id="R3412da3e520d4b9a"/>
    <x:sheet xmlns:r="http://schemas.openxmlformats.org/officeDocument/2006/relationships" name="03_Category_Check" sheetId="3" r:id="Re73f31e830bf4f69"/>
    <x:sheet xmlns:r="http://schemas.openxmlformats.org/officeDocument/2006/relationships" name="04_Promotion_Check" sheetId="4" r:id="Rbc459653efb741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#,##0"/>
    <x:numFmt numFmtId="202" formatCode="0.00%"/>
    <x:numFmt numFmtId="203" formatCode="0.000000"/>
    <x:numFmt numFmtId="204" formatCode="$#,##0.00"/>
    <x:numFmt numFmtId="205" formatCode="$0.00"/>
    <x:numFmt numFmtId="206" formatCode="$0.00,,&quot;M&quot;"/>
    <x:numFmt numFmtId="207" formatCode="@"/>
    <x:numFmt numFmtId="208" formatCode="$0,&quot;K&quot;"/>
    <x:numFmt numFmtId="209" formatCode="0.00"/>
    <x:numFmt numFmtId="210" formatCode="0.0"/>
  </x:numFmts>
  <x:fonts count="20">
    <x:font>
      <x:sz val="11"/>
      <x:name val="Carlito"/>
    </x:font>
    <x:font>
      <x:sz val="10"/>
      <x:color rgb="FF17243B"/>
      <x:name val="Arial"/>
    </x:font>
    <x:font>
      <x:b/>
      <x:sz val="24"/>
      <x:color rgb="FF17243B"/>
      <x:name val="Arial"/>
    </x:font>
    <x:font>
      <x:sz val="10"/>
      <x:color rgb="FF66768D"/>
      <x:name val="Arial"/>
    </x:font>
    <x:font>
      <x:b/>
      <x:sz val="10"/>
      <x:color rgb="FFFFFFFF"/>
      <x:name val="Arial"/>
    </x:font>
    <x:font>
      <x:sz val="10"/>
      <x:color rgb="FF2563EB"/>
      <x:name val="Arial"/>
    </x:font>
    <x:font>
      <x:sz val="14"/>
      <x:color rgb="FF384B65"/>
      <x:name val="Arial"/>
    </x:font>
    <x:font>
      <x:sz val="14"/>
      <x:color rgb="FF142541"/>
      <x:name val="Arial"/>
    </x:font>
    <x:font>
      <x:sz val="14"/>
      <x:color rgb="FF2563EB"/>
      <x:name val="Arial"/>
    </x:font>
    <x:font>
      <x:b/>
      <x:sz val="26"/>
      <x:color rgb="FF142541"/>
      <x:name val="Arial"/>
    </x:font>
    <x:font>
      <x:sz val="14"/>
      <x:color rgb="FF475B74"/>
      <x:name val="Arial"/>
    </x:font>
    <x:font>
      <x:b/>
      <x:sz val="14"/>
      <x:color rgb="FFFFFFFF"/>
      <x:name val="Arial"/>
    </x:font>
    <x:font>
      <x:sz val="16"/>
      <x:color rgb="FF384B65"/>
      <x:name val="Arial"/>
    </x:font>
    <x:font>
      <x:b/>
      <x:sz val="28"/>
      <x:color rgb="FF142541"/>
      <x:name val="Arial"/>
    </x:font>
    <x:font>
      <x:sz val="15"/>
      <x:color rgb="FF475B74"/>
      <x:name val="Arial"/>
    </x:font>
    <x:font>
      <x:b/>
      <x:sz val="16"/>
      <x:color rgb="FF384B65"/>
      <x:name val="Arial"/>
    </x:font>
    <x:font>
      <x:sz val="16"/>
      <x:color rgb="FF142541"/>
      <x:name val="Arial"/>
    </x:font>
    <x:font>
      <x:b/>
      <x:sz val="30"/>
      <x:color rgb="FF142541"/>
      <x:name val="Arial"/>
    </x:font>
    <x:font>
      <x:b/>
      <x:sz val="20"/>
      <x:color rgb="FF142541"/>
      <x:name val="Arial"/>
    </x:font>
    <x:font>
      <x:b/>
      <x:sz val="16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4F7FC"/>
      </x:patternFill>
    </x:fill>
    <x:fill>
      <x:patternFill patternType="solid">
        <x:fgColor rgb="FF17243B"/>
      </x:patternFill>
    </x:fill>
    <x:fill>
      <x:patternFill patternType="solid">
        <x:fgColor rgb="FFF4F7FC"/>
      </x:patternFill>
    </x:fill>
    <x:fill>
      <x:patternFill patternType="solid">
        <x:fgColor rgb="FF14254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202" fontId="0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  <x:xf numFmtId="203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203" fontId="8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1" fontId="8" fillId="0" borderId="0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 wrapText="1"/>
    </x:xf>
    <x:xf numFmtId="202" fontId="8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 wrapText="1"/>
    </x:xf>
    <x:xf numFmtId="205" fontId="8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/>
    </x:xf>
    <x:xf numFmtId="206" fontId="12" fillId="0" borderId="0" xfId="0" applyNumberFormat="1" applyFont="1" applyFill="1" applyBorder="1" applyAlignment="1">
      <x:alignment vertical="center"/>
    </x:xf>
    <x:xf numFmtId="206" fontId="16" fillId="0" borderId="0" xfId="0" applyNumberFormat="1" applyFont="1" applyFill="1" applyBorder="1" applyAlignment="1">
      <x:alignment vertical="center"/>
    </x:xf>
    <x:xf numFmtId="206" fontId="17" fillId="0" borderId="0" xfId="0" applyNumberFormat="1" applyFont="1" applyFill="1" applyBorder="1" applyAlignment="1">
      <x:alignment vertical="center"/>
    </x:xf>
    <x:xf numFmtId="0" fontId="15" fillId="4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center"/>
    </x:xf>
    <x:xf numFmtId="206" fontId="17" fillId="4" borderId="0" xfId="0" applyNumberFormat="1" applyFont="1" applyFill="1" applyBorder="1" applyAlignment="1">
      <x:alignment vertical="center"/>
    </x:xf>
    <x:xf numFmtId="201" fontId="12" fillId="0" borderId="0" xfId="0" applyNumberFormat="1" applyFont="1" applyFill="1" applyBorder="1" applyAlignment="1">
      <x:alignment vertical="center"/>
    </x:xf>
    <x:xf numFmtId="201" fontId="16" fillId="0" borderId="0" xfId="0" applyNumberFormat="1" applyFont="1" applyFill="1" applyBorder="1" applyAlignment="1">
      <x:alignment vertical="center"/>
    </x:xf>
    <x:xf numFmtId="201" fontId="17" fillId="0" borderId="0" xfId="0" applyNumberFormat="1" applyFont="1" applyFill="1" applyBorder="1" applyAlignment="1">
      <x:alignment vertical="center"/>
    </x:xf>
    <x:xf numFmtId="201" fontId="17" fillId="4" borderId="0" xfId="0" applyNumberFormat="1" applyFont="1" applyFill="1" applyBorder="1" applyAlignment="1">
      <x:alignment vertical="center"/>
    </x:xf>
    <x:xf numFmtId="205" fontId="12" fillId="0" borderId="0" xfId="0" applyNumberFormat="1" applyFont="1" applyFill="1" applyBorder="1" applyAlignment="1">
      <x:alignment vertical="center"/>
    </x:xf>
    <x:xf numFmtId="205" fontId="16" fillId="0" borderId="0" xfId="0" applyNumberFormat="1" applyFont="1" applyFill="1" applyBorder="1" applyAlignment="1">
      <x:alignment vertical="center"/>
    </x:xf>
    <x:xf numFmtId="205" fontId="17" fillId="0" borderId="0" xfId="0" applyNumberFormat="1" applyFont="1" applyFill="1" applyBorder="1" applyAlignment="1">
      <x:alignment vertical="center"/>
    </x:xf>
    <x:xf numFmtId="205" fontId="17" fillId="4" borderId="0" xfId="0" applyNumberFormat="1" applyFont="1" applyFill="1" applyBorder="1" applyAlignment="1">
      <x:alignment vertical="center"/>
    </x:xf>
    <x:xf numFmtId="202" fontId="12" fillId="0" borderId="0" xfId="0" applyNumberFormat="1" applyFont="1" applyFill="1" applyBorder="1" applyAlignment="1">
      <x:alignment vertical="center"/>
    </x:xf>
    <x:xf numFmtId="202" fontId="16" fillId="0" borderId="0" xfId="0" applyNumberFormat="1" applyFont="1" applyFill="1" applyBorder="1" applyAlignment="1">
      <x:alignment vertical="center"/>
    </x:xf>
    <x:xf numFmtId="202" fontId="17" fillId="0" borderId="0" xfId="0" applyNumberFormat="1" applyFont="1" applyFill="1" applyBorder="1" applyAlignment="1">
      <x:alignment vertical="center"/>
    </x:xf>
    <x:xf numFmtId="202" fontId="17" fillId="4" borderId="0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207" fontId="12" fillId="0" borderId="0" xfId="0" applyNumberFormat="1" applyFont="1" applyFill="1" applyBorder="1" applyAlignment="1">
      <x:alignment vertical="center"/>
    </x:xf>
    <x:xf numFmtId="207" fontId="16" fillId="0" borderId="0" xfId="0" applyNumberFormat="1" applyFont="1" applyFill="1" applyBorder="1" applyAlignment="1">
      <x:alignment vertical="center"/>
    </x:xf>
    <x:xf numFmtId="204" fontId="12" fillId="0" borderId="0" xfId="0" applyNumberFormat="1" applyFont="1" applyFill="1" applyBorder="1" applyAlignment="1">
      <x:alignment vertical="center"/>
    </x:xf>
    <x:xf numFmtId="204" fontId="16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 wrapText="1"/>
    </x:xf>
    <x:xf numFmtId="208" fontId="16" fillId="0" borderId="0" xfId="0" applyNumberFormat="1" applyFont="1" applyFill="1" applyBorder="1" applyAlignment="1">
      <x:alignment vertical="center"/>
    </x:xf>
    <x:xf numFmtId="0" fontId="19" fillId="5" borderId="0" xfId="0" applyNumberFormat="1" applyFont="1" applyFill="1" applyBorder="1" applyAlignment="1">
      <x:alignment vertical="center" wrapText="1"/>
    </x:xf>
    <x:xf numFmtId="201" fontId="16" fillId="4" borderId="0" xfId="0" applyNumberFormat="1" applyFont="1" applyFill="1" applyBorder="1" applyAlignment="1">
      <x:alignment vertical="center"/>
    </x:xf>
    <x:xf numFmtId="202" fontId="16" fillId="4" borderId="0" xfId="0" applyNumberFormat="1" applyFont="1" applyFill="1" applyBorder="1" applyAlignment="1">
      <x:alignment vertical="center"/>
    </x:xf>
    <x:xf numFmtId="204" fontId="16" fillId="4" borderId="0" xfId="0" applyNumberFormat="1" applyFont="1" applyFill="1" applyBorder="1" applyAlignment="1">
      <x:alignment vertical="center"/>
    </x:xf>
    <x:xf numFmtId="209" fontId="12" fillId="0" borderId="0" xfId="0" applyNumberFormat="1" applyFont="1" applyFill="1" applyBorder="1" applyAlignment="1">
      <x:alignment vertical="center"/>
    </x:xf>
    <x:xf numFmtId="209" fontId="16" fillId="0" borderId="0" xfId="0" applyNumberFormat="1" applyFont="1" applyFill="1" applyBorder="1" applyAlignment="1">
      <x:alignment vertical="center"/>
    </x:xf>
    <x:xf numFmtId="210" fontId="12" fillId="0" borderId="0" xfId="0" applyNumberFormat="1" applyFont="1" applyFill="1" applyBorder="1" applyAlignment="1">
      <x:alignment vertical="center"/>
    </x:xf>
    <x:xf numFmtId="210" fontId="16" fillId="0" borderId="0" xfId="0" applyNumberFormat="1" applyFont="1" applyFill="1" applyBorder="1" applyAlignment="1">
      <x:alignment vertical="center"/>
    </x:xf>
    <x:xf numFmtId="210" fontId="16" fillId="4" borderId="0" xfId="0" applyNumberFormat="1" applyFont="1" applyFill="1" applyBorder="1" applyAlignment="1">
      <x:alignment vertical="center"/>
    </x:xf>
    <x:xf numFmtId="205" fontId="16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0">
    <x:dxf>
      <x:font>
        <x:b/>
        <x:color rgb="FF087B63"/>
      </x:font>
      <x:fill>
        <x:patternFill>
          <x:bgColor rgb="FFE8F6EF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087B63"/>
      </x:font>
      <x:fill>
        <x:patternFill>
          <x:bgColor rgb="FFE8F6EF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087B63"/>
      </x:font>
      <x:fill>
        <x:patternFill>
          <x:bgColor rgb="FFE8F6EF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087B63"/>
      </x:font>
      <x:fill>
        <x:patternFill>
          <x:bgColor rgb="FFE8F6EF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087B63"/>
      </x:font>
      <x:fill>
        <x:patternFill>
          <x:bgColor rgb="FFE8F6EF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087B63"/>
      </x:font>
      <x:fill>
        <x:patternFill>
          <x:bgColor rgb="FFE8F6EF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087B63"/>
      </x:font>
      <x:fill>
        <x:patternFill>
          <x:bgColor rgb="FFE8F6EF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087B63"/>
      </x:font>
      <x:fill>
        <x:patternFill>
          <x:bgColor rgb="FFE8F6EF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087B63"/>
      </x:font>
      <x:fill>
        <x:patternFill>
          <x:bgColor rgb="FFE8F6EF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087B63"/>
      </x:font>
      <x:fill>
        <x:patternFill>
          <x:bgColor rgb="FFE8F6EF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dd1a1cd45e4de4" /><Relationship Type="http://schemas.openxmlformats.org/officeDocument/2006/relationships/theme" Target="/xl/theme/theme1.xml" Id="R1032a601ed864fd6" /><Relationship Type="http://schemas.openxmlformats.org/officeDocument/2006/relationships/sharedStrings" Target="/xl/sharedStrings.xml" Id="R78c7f27066044bd6" /><Relationship Type="http://schemas.openxmlformats.org/officeDocument/2006/relationships/worksheet" Target="/xl/worksheets/sheet1.xml" Id="R5576e714bfe1412f" /><Relationship Type="http://schemas.openxmlformats.org/officeDocument/2006/relationships/worksheet" Target="/xl/worksheets/sheet2.xml" Id="Rf28859f373394aa9" /><Relationship Type="http://schemas.openxmlformats.org/officeDocument/2006/relationships/worksheet" Target="/xl/worksheets/sheet3.xml" Id="R1ace61bebbae4fb4" /><Relationship Type="http://schemas.openxmlformats.org/officeDocument/2006/relationships/worksheet" Target="/xl/worksheets/sheet4.xml" Id="R2a44f982c11340ef" /><Relationship Type="http://schemas.openxmlformats.org/officeDocument/2006/relationships/worksheet" Target="/xl/worksheets/sheet5.xml" Id="R3412da3e520d4b9a" /><Relationship Type="http://schemas.openxmlformats.org/officeDocument/2006/relationships/worksheet" Target="/xl/worksheets/sheet6.xml" Id="Re73f31e830bf4f69" /><Relationship Type="http://schemas.openxmlformats.org/officeDocument/2006/relationships/worksheet" Target="/xl/worksheets/sheet7.xml" Id="Rbc459653efb741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d28369f1d9847e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6f387fbc6024d7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f7440c1aae04417" /><Relationship Type="http://schemas.openxmlformats.org/officeDocument/2006/relationships/chart" Target="/xl/drawings/charts/chart4.xml" Id="R7a5dead6cc994eb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Retailer sales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28575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'Overview'!$B$31:$B$54</c:f>
              <c:strCache>
                <c:ptCount val="0"/>
              </c:strCache>
            </c:strRef>
          </c:cat>
          <c:val>
            <c:numRef>
              <c:f>'Overview'!$C$31:$C$54</c:f>
              <c:numCache>
                <c:formatCode>$#,##0.00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575">
                <a:solidFill>
                  <a:srgbClr val="384B65"/>
                </a:solidFill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DDE5F0"/>
              </a:solidFill>
              <a:prstDash val="solid"/>
            </a:ln>
          </c:spPr>
        </c:majorGridlines>
        <c:numFmt formatCode="$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575">
                <a:solidFill>
                  <a:srgbClr val="475B74"/>
                </a:solidFill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Customer base</c:v>
          </c:tx>
          <c:spPr>
            <a:solidFill xmlns:a="http://schemas.openxmlformats.org/drawingml/2006/main">
              <a:srgbClr val="2563EB"/>
            </a:solidFill>
          </c:spPr>
          <c:invertIfNegative val="0"/>
          <c:cat>
            <c:strRef>
              <c:f>'Consumer profiles'!$B$41:$B$43</c:f>
              <c:strCache>
                <c:ptCount val="0"/>
              </c:strCache>
            </c:strRef>
          </c:cat>
          <c:val>
            <c:numRef>
              <c:f>'Consumer profiles'!$C$41:$C$43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Sales share</c:v>
          </c:tx>
          <c:spPr>
            <a:solidFill xmlns:a="http://schemas.openxmlformats.org/drawingml/2006/main">
              <a:srgbClr val="087B73"/>
            </a:solidFill>
          </c:spPr>
          <c:invertIfNegative val="0"/>
          <c:cat>
            <c:strRef>
              <c:f>'Consumer profiles'!$B$41:$B$43</c:f>
              <c:strCache>
                <c:ptCount val="0"/>
              </c:strCache>
            </c:strRef>
          </c:cat>
          <c:val>
            <c:numRef>
              <c:f>'Consumer profiles'!$D$41:$D$43</c:f>
              <c:numCache>
                <c:formatCode>0.00%</c:formatCode>
                <c:ptCount val="0"/>
              </c:numCache>
            </c:numRef>
          </c:val>
        </c:ser>
        <c:gapWidth val="145"/>
        <c:overlap val="-3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575">
                <a:solidFill>
                  <a:srgbClr val="384B65"/>
                </a:solidFill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DDE5F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575">
                <a:solidFill>
                  <a:srgbClr val="475B74"/>
                </a:solidFill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650">
              <a:solidFill>
                <a:srgbClr val="384B65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Basket exposure</c:v>
          </c:tx>
          <c:spPr>
            <a:solidFill xmlns:a="http://schemas.openxmlformats.org/drawingml/2006/main">
              <a:srgbClr val="2563EB"/>
            </a:solidFill>
          </c:spPr>
          <c:invertIfNegative val="0"/>
          <c:cat>
            <c:strRef>
              <c:f>'Promotion patterns'!$B$56:$B$58</c:f>
              <c:strCache>
                <c:ptCount val="0"/>
              </c:strCache>
            </c:strRef>
          </c:cat>
          <c:val>
            <c:numRef>
              <c:f>'Promotion patterns'!$C$56:$C$58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Promoted-line share</c:v>
          </c:tx>
          <c:spPr>
            <a:solidFill xmlns:a="http://schemas.openxmlformats.org/drawingml/2006/main">
              <a:srgbClr val="087B73"/>
            </a:solidFill>
          </c:spPr>
          <c:invertIfNegative val="0"/>
          <c:cat>
            <c:strRef>
              <c:f>'Promotion patterns'!$B$56:$B$58</c:f>
              <c:strCache>
                <c:ptCount val="0"/>
              </c:strCache>
            </c:strRef>
          </c:cat>
          <c:val>
            <c:numRef>
              <c:f>'Promotion patterns'!$D$56:$D$58</c:f>
              <c:numCache>
                <c:formatCode>0.00%</c:formatCode>
                <c:ptCount val="0"/>
              </c:numCache>
            </c:numRef>
          </c:val>
        </c:ser>
        <c:gapWidth val="145"/>
        <c:overlap val="-3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575">
                <a:solidFill>
                  <a:srgbClr val="384B65"/>
                </a:solidFill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DDE5F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575">
                <a:solidFill>
                  <a:srgbClr val="475B74"/>
                </a:solidFill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650">
              <a:solidFill>
                <a:srgbClr val="384B65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Contains promotion</c:v>
          </c:tx>
          <c:spPr>
            <a:solidFill xmlns:a="http://schemas.openxmlformats.org/drawingml/2006/main">
              <a:srgbClr val="2563EB"/>
            </a:solidFill>
          </c:spPr>
          <c:invertIfNegative val="0"/>
          <c:cat>
            <c:strRef>
              <c:f>'Promotion patterns'!$B$62:$B$64</c:f>
              <c:strCache>
                <c:ptCount val="0"/>
              </c:strCache>
            </c:strRef>
          </c:cat>
          <c:val>
            <c:numRef>
              <c:f>'Promotion patterns'!$C$62:$C$64</c:f>
              <c:numCache>
                <c:formatCode>$0.00</c:formatCode>
                <c:ptCount val="0"/>
              </c:numCache>
            </c:numRef>
          </c:val>
        </c:ser>
        <c:ser>
          <c:idx val="1"/>
          <c:order val="1"/>
          <c:tx>
            <c:v>No promotion</c:v>
          </c:tx>
          <c:spPr>
            <a:solidFill xmlns:a="http://schemas.openxmlformats.org/drawingml/2006/main">
              <a:srgbClr val="087B73"/>
            </a:solidFill>
          </c:spPr>
          <c:invertIfNegative val="0"/>
          <c:cat>
            <c:strRef>
              <c:f>'Promotion patterns'!$B$62:$B$64</c:f>
              <c:strCache>
                <c:ptCount val="0"/>
              </c:strCache>
            </c:strRef>
          </c:cat>
          <c:val>
            <c:numRef>
              <c:f>'Promotion patterns'!$D$62:$D$64</c:f>
              <c:numCache>
                <c:formatCode>$0.00</c:formatCode>
                <c:ptCount val="0"/>
              </c:numCache>
            </c:numRef>
          </c:val>
        </c:ser>
        <c:gapWidth val="145"/>
        <c:overlap val="-3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575">
                <a:solidFill>
                  <a:srgbClr val="384B65"/>
                </a:solidFill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DDE5F0"/>
              </a:solidFill>
              <a:prstDash val="solid"/>
            </a:ln>
          </c:spPr>
        </c:majorGridlines>
        <c:numFmt formatCode="$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575">
                <a:solidFill>
                  <a:srgbClr val="475B74"/>
                </a:solidFill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650">
              <a:solidFill>
                <a:srgbClr val="384B65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10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28369f1d9847e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20</xdr:row>
      <xdr:rowOff>0</xdr:rowOff>
    </xdr:from>
    <xdr:to>
      <xdr:col>5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f387fbc6024d7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</xdr:col>
      <xdr:colOff>0</xdr:colOff>
      <xdr:row>17</xdr:row>
      <xdr:rowOff>0</xdr:rowOff>
    </xdr:from>
    <xdr:to>
      <xdr:col>5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7440c1aae04417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5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5dead6cc994eb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dd8d361cddf47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1d80d3b64fa4f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3ea778639e1140d3" /></Relationships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" max="1" width="3" hidden="0" customWidth="1"/>
  </x:cols>
  <x:sheetData>
    <x:row r="1" ht="28" customHeight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</x:row>
    <x:row r="2" ht="28" customHeight="1">
      <x:c r="A2" s="63"/>
      <x:c r="B2" s="64" t="str">
        <x:v>Consumer growth</x:v>
      </x:c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</x:row>
    <x:row r="3" ht="28" customHeight="1">
      <x:c r="A3" s="63"/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  <x:c r="N3" s="63"/>
      <x:c r="O3" s="63"/>
      <x:c r="P3" s="63"/>
    </x:row>
    <x:row r="4" ht="38" customHeight="1">
      <x:c r="A4" s="63"/>
      <x:c r="B4" s="66" t="str">
        <x:v>Sales, shoppers and purchase activity | full observation period</x:v>
      </x:c>
      <x:c r="C4" s="63"/>
      <x:c r="D4" s="63"/>
      <x:c r="E4" s="63"/>
      <x:c r="F4" s="63"/>
      <x:c r="G4" s="63"/>
      <x:c r="H4" s="63"/>
      <x:c r="I4" s="63"/>
      <x:c r="J4" s="63"/>
      <x:c r="K4" s="63"/>
      <x:c r="L4" s="63"/>
      <x:c r="M4" s="63"/>
      <x:c r="N4" s="63"/>
      <x:c r="O4" s="63"/>
      <x:c r="P4" s="63"/>
    </x:row>
    <x:row r="5" ht="28" customHeight="1">
      <x:c r="A5" s="63"/>
      <x:c r="B5" s="63"/>
      <x:c r="C5" s="63"/>
      <x:c r="D5" s="63"/>
      <x:c r="E5" s="63"/>
      <x:c r="F5" s="63"/>
      <x:c r="G5" s="63"/>
      <x:c r="H5" s="63"/>
      <x:c r="I5" s="63"/>
      <x:c r="J5" s="63"/>
      <x:c r="K5" s="63"/>
      <x:c r="L5" s="63"/>
      <x:c r="M5" s="63"/>
      <x:c r="N5" s="63"/>
      <x:c r="O5" s="63"/>
      <x:c r="P5" s="63"/>
    </x:row>
    <x:row r="6" ht="28" customHeight="1">
      <x:c r="A6" s="63"/>
      <x:c r="B6" s="71" t="str">
        <x:v>Retailer sales</x:v>
      </x:c>
      <x:c r="C6" s="72"/>
      <x:c r="D6" s="72"/>
      <x:c r="E6" s="71" t="str">
        <x:v>Customers</x:v>
      </x:c>
      <x:c r="F6" s="72"/>
      <x:c r="G6" s="72"/>
      <x:c r="H6" s="71" t="str">
        <x:v>Transactions</x:v>
      </x:c>
      <x:c r="I6" s="72"/>
      <x:c r="J6" s="72"/>
      <x:c r="K6" s="71" t="str">
        <x:v>Basket value</x:v>
      </x:c>
      <x:c r="L6" s="72"/>
      <x:c r="M6" s="72"/>
      <x:c r="N6" s="71" t="str">
        <x:v>Promo-line share</x:v>
      </x:c>
      <x:c r="O6" s="72"/>
      <x:c r="P6" s="72"/>
    </x:row>
    <x:row r="7" ht="28" customHeight="1">
      <x:c r="A7" s="63"/>
      <x:c r="B7" s="73" t="n">
        <x:f>'01_KPI_Check'!B7</x:f>
        <x:v>8057443.8</x:v>
      </x:c>
      <x:c r="C7" s="72"/>
      <x:c r="D7" s="72"/>
      <x:c r="E7" s="77" t="n">
        <x:f>'01_KPI_Check'!B8</x:f>
        <x:v>2500</x:v>
      </x:c>
      <x:c r="F7" s="72"/>
      <x:c r="G7" s="72"/>
      <x:c r="H7" s="77" t="n">
        <x:f>'01_KPI_Check'!B9</x:f>
        <x:v>275889</x:v>
      </x:c>
      <x:c r="I7" s="72"/>
      <x:c r="J7" s="72"/>
      <x:c r="K7" s="81" t="n">
        <x:f>'01_KPI_Check'!B10</x:f>
        <x:v>29.20538259952372</x:v>
      </x:c>
      <x:c r="L7" s="72"/>
      <x:c r="M7" s="72"/>
      <x:c r="N7" s="85" t="n">
        <x:f>'01_KPI_Check'!B12</x:f>
        <x:v>0.5099581284079201</x:v>
      </x:c>
      <x:c r="O7" s="72"/>
      <x:c r="P7" s="72"/>
    </x:row>
    <x:row r="8" ht="28" customHeight="1">
      <x:c r="A8" s="63"/>
      <x:c r="B8" s="72"/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</x:row>
    <x:row r="9" ht="28" customHeight="1">
      <x:c r="A9" s="63"/>
      <x:c r="B9" s="63"/>
      <x:c r="C9" s="63"/>
      <x:c r="D9" s="63"/>
      <x:c r="E9" s="63"/>
      <x:c r="F9" s="63"/>
      <x:c r="G9" s="63"/>
      <x:c r="H9" s="63"/>
      <x:c r="I9" s="63"/>
      <x:c r="J9" s="63"/>
      <x:c r="K9" s="63"/>
      <x:c r="L9" s="63"/>
      <x:c r="M9" s="63"/>
      <x:c r="N9" s="63"/>
      <x:c r="O9" s="63"/>
      <x:c r="P9" s="63"/>
    </x:row>
    <x:row r="10" ht="28" customHeight="1">
      <x:c r="A10" s="63"/>
      <x:c r="B10" s="86" t="str">
        <x:v>Sales across relative months</x:v>
      </x:c>
      <x:c r="C10" s="63"/>
      <x:c r="D10" s="63"/>
      <x:c r="E10" s="63"/>
      <x:c r="F10" s="63"/>
      <x:c r="G10" s="63"/>
      <x:c r="H10" s="63"/>
      <x:c r="I10" s="63"/>
      <x:c r="J10" s="63"/>
      <x:c r="K10" s="63"/>
      <x:c r="L10" s="63"/>
      <x:c r="M10" s="63"/>
      <x:c r="N10" s="63"/>
      <x:c r="O10" s="63"/>
      <x:c r="P10" s="63"/>
    </x:row>
    <x:row r="11" ht="28" customHeight="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  <x:c r="K11" s="63"/>
      <x:c r="L11" s="63"/>
      <x:c r="M11" s="63"/>
      <x:c r="N11" s="63"/>
      <x:c r="O11" s="63"/>
      <x:c r="P11" s="63"/>
    </x:row>
    <x:row r="12" ht="28" customHeight="1">
      <x:c r="A12" s="63"/>
      <x:c r="B12" s="63"/>
      <x:c r="C12" s="63"/>
      <x:c r="D12" s="63"/>
      <x:c r="E12" s="63"/>
      <x:c r="F12" s="63"/>
      <x:c r="G12" s="63"/>
      <x:c r="H12" s="63"/>
      <x:c r="I12" s="63"/>
      <x:c r="J12" s="63"/>
      <x:c r="K12" s="63"/>
      <x:c r="L12" s="63"/>
      <x:c r="M12" s="63"/>
      <x:c r="N12" s="63"/>
      <x:c r="O12" s="63"/>
      <x:c r="P12" s="63"/>
    </x:row>
    <x:row r="13" ht="28" customHeight="1">
      <x:c r="A13" s="63"/>
      <x:c r="B13" s="63"/>
      <x:c r="C13" s="63"/>
      <x:c r="D13" s="63"/>
      <x:c r="E13" s="63"/>
      <x:c r="F13" s="63"/>
      <x:c r="G13" s="63"/>
      <x:c r="H13" s="63"/>
      <x:c r="I13" s="63"/>
      <x:c r="J13" s="63"/>
      <x:c r="K13" s="63"/>
      <x:c r="L13" s="63"/>
      <x:c r="M13" s="63"/>
      <x:c r="N13" s="63"/>
      <x:c r="O13" s="63"/>
      <x:c r="P13" s="63"/>
    </x:row>
    <x:row r="14" ht="28" customHeight="1">
      <x:c r="A14" s="63"/>
      <x:c r="B14" s="63"/>
      <x:c r="C14" s="63"/>
      <x:c r="D14" s="63"/>
      <x:c r="E14" s="63"/>
      <x:c r="F14" s="63"/>
      <x:c r="G14" s="63"/>
      <x:c r="H14" s="63"/>
      <x:c r="I14" s="63"/>
      <x:c r="J14" s="63"/>
      <x:c r="K14" s="63"/>
      <x:c r="L14" s="63"/>
      <x:c r="M14" s="63"/>
      <x:c r="N14" s="63"/>
      <x:c r="O14" s="63"/>
      <x:c r="P14" s="63"/>
    </x:row>
    <x:row r="15" ht="28" customHeight="1">
      <x:c r="A15" s="63"/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/>
      <x:c r="M15" s="63"/>
      <x:c r="N15" s="63"/>
      <x:c r="O15" s="63"/>
      <x:c r="P15" s="63"/>
    </x:row>
    <x:row r="16" ht="28" customHeight="1">
      <x:c r="A16" s="63"/>
      <x:c r="B16" s="63"/>
      <x:c r="C16" s="63"/>
      <x:c r="D16" s="63"/>
      <x:c r="E16" s="63"/>
      <x:c r="F16" s="63"/>
      <x:c r="G16" s="63"/>
      <x:c r="H16" s="63"/>
      <x:c r="I16" s="63"/>
      <x:c r="J16" s="63"/>
      <x:c r="K16" s="63"/>
      <x:c r="L16" s="63"/>
      <x:c r="M16" s="63"/>
      <x:c r="N16" s="63"/>
      <x:c r="O16" s="63"/>
      <x:c r="P16" s="63"/>
    </x:row>
    <x:row r="17" ht="28" customHeight="1">
      <x:c r="A17" s="63"/>
      <x:c r="B17" s="63"/>
      <x:c r="C17" s="63"/>
      <x:c r="D17" s="63"/>
      <x:c r="E17" s="63"/>
      <x:c r="F17" s="63"/>
      <x:c r="G17" s="63"/>
      <x:c r="H17" s="63"/>
      <x:c r="I17" s="63"/>
      <x:c r="J17" s="63"/>
      <x:c r="K17" s="63"/>
      <x:c r="L17" s="63"/>
      <x:c r="M17" s="63"/>
      <x:c r="N17" s="63"/>
      <x:c r="O17" s="63"/>
      <x:c r="P17" s="63"/>
    </x:row>
    <x:row r="18" ht="28" customHeight="1">
      <x:c r="A18" s="63"/>
      <x:c r="B18" s="63"/>
      <x:c r="C18" s="63"/>
      <x:c r="D18" s="63"/>
      <x:c r="E18" s="63"/>
      <x:c r="F18" s="63"/>
      <x:c r="G18" s="63"/>
      <x:c r="H18" s="63"/>
      <x:c r="I18" s="63"/>
      <x:c r="J18" s="63"/>
      <x:c r="K18" s="63"/>
      <x:c r="L18" s="63"/>
      <x:c r="M18" s="63"/>
      <x:c r="N18" s="63"/>
      <x:c r="O18" s="63"/>
      <x:c r="P18" s="63"/>
    </x:row>
    <x:row r="19" ht="28" customHeight="1">
      <x:c r="A19" s="63"/>
      <x:c r="B19" s="63"/>
      <x:c r="C19" s="63"/>
      <x:c r="D19" s="63"/>
      <x:c r="E19" s="63"/>
      <x:c r="F19" s="63"/>
      <x:c r="G19" s="63"/>
      <x:c r="H19" s="63"/>
      <x:c r="I19" s="63"/>
      <x:c r="J19" s="63"/>
      <x:c r="K19" s="63"/>
      <x:c r="L19" s="63"/>
      <x:c r="M19" s="63"/>
      <x:c r="N19" s="63"/>
      <x:c r="O19" s="63"/>
      <x:c r="P19" s="63"/>
    </x:row>
    <x:row r="20" ht="28" customHeight="1">
      <x:c r="A20" s="63"/>
      <x:c r="B20" s="63"/>
      <x:c r="C20" s="63"/>
      <x:c r="D20" s="63"/>
      <x:c r="E20" s="63"/>
      <x:c r="F20" s="63"/>
      <x:c r="G20" s="63"/>
      <x:c r="H20" s="63"/>
      <x:c r="I20" s="63"/>
      <x:c r="J20" s="63"/>
      <x:c r="K20" s="63"/>
      <x:c r="L20" s="63"/>
      <x:c r="M20" s="63"/>
      <x:c r="N20" s="63"/>
      <x:c r="O20" s="63"/>
      <x:c r="P20" s="63"/>
    </x:row>
    <x:row r="21" ht="28" customHeight="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  <x:c r="M21" s="63"/>
      <x:c r="N21" s="63"/>
      <x:c r="O21" s="63"/>
      <x:c r="P21" s="63"/>
    </x:row>
    <x:row r="22" ht="28" customHeight="1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M22" s="63"/>
      <x:c r="N22" s="63"/>
      <x:c r="O22" s="63"/>
      <x:c r="P22" s="63"/>
    </x:row>
    <x:row r="23" ht="28" customHeight="1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M23" s="63"/>
      <x:c r="N23" s="63"/>
      <x:c r="O23" s="63"/>
      <x:c r="P23" s="63"/>
    </x:row>
    <x:row r="24" ht="28" customHeight="1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  <x:c r="N24" s="63"/>
      <x:c r="O24" s="63"/>
      <x:c r="P24" s="63"/>
    </x:row>
    <x:row r="25" ht="28" customHeight="1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</x:row>
    <x:row r="26" ht="28" customHeight="1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  <x:c r="N26" s="63"/>
      <x:c r="O26" s="63"/>
      <x:c r="P26" s="63"/>
    </x:row>
    <x:row r="27" ht="28" customHeight="1">
      <x:c r="A27" s="63"/>
      <x:c r="B27" s="66" t="str">
        <x:v>Relative months 01–24. Month 24 contains 11 observed days. Retailer sales are receipts, not customer out-of-pocket spend.</x:v>
      </x:c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</x:row>
    <x:row r="28" ht="28" customHeight="1">
      <x:c r="A28" s="63"/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  <x:c r="L28" s="93"/>
      <x:c r="M28" s="93"/>
      <x:c r="N28" s="93"/>
      <x:c r="O28" s="93"/>
      <x:c r="P28" s="93"/>
    </x:row>
    <x:row r="29" ht="28" customHeight="1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</x:row>
    <x:row r="30" ht="64" customHeight="1">
      <x:c r="A30" s="63"/>
      <x:c r="B30" s="58" t="str">
        <x:v>Relative month</x:v>
      </x:c>
      <x:c r="C30" s="58" t="str">
        <x:v>Retailer sales</x:v>
      </x:c>
      <x:c r="D30" s="58" t="str">
        <x:v>Transactions</x:v>
      </x:c>
      <x:c r="E30" s="58" t="str">
        <x:v>Promoted-line sales</x:v>
      </x:c>
      <x:c r="F30" s="58" t="str">
        <x:v>Active customers</x:v>
      </x:c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</x:row>
    <x:row r="31" ht="28" customHeight="1">
      <x:c r="A31" s="63"/>
      <x:c r="B31" s="90" t="str">
        <x:f>RIGHT('01_KPI_Check'!A23,2)</x:f>
        <x:v>01</x:v>
      </x:c>
      <x:c r="C31" s="94" t="n">
        <x:f>'01_KPI_Check'!B23</x:f>
        <x:v>58180.82</x:v>
      </x:c>
      <x:c r="D31" s="75" t="n">
        <x:f>'01_KPI_Check'!C23</x:f>
        <x:v>1996</x:v>
      </x:c>
      <x:c r="E31" s="94" t="n">
        <x:f>'01_KPI_Check'!D23</x:f>
        <x:v>28454.36</x:v>
      </x:c>
      <x:c r="F31" s="75" t="n">
        <x:f>'01_KPI_Check'!E23</x:f>
        <x:v>538</x:v>
      </x:c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</x:row>
    <x:row r="32" ht="28" customHeight="1">
      <x:c r="A32" s="63"/>
      <x:c r="B32" s="90" t="str">
        <x:f>RIGHT('01_KPI_Check'!A24,2)</x:f>
        <x:v>02</x:v>
      </x:c>
      <x:c r="C32" s="94" t="n">
        <x:f>'01_KPI_Check'!B24</x:f>
        <x:v>118323.23</x:v>
      </x:c>
      <x:c r="D32" s="75" t="n">
        <x:f>'01_KPI_Check'!C24</x:f>
        <x:v>4172</x:v>
      </x:c>
      <x:c r="E32" s="94" t="n">
        <x:f>'01_KPI_Check'!D24</x:f>
        <x:v>56932.3</x:v>
      </x:c>
      <x:c r="F32" s="75" t="n">
        <x:f>'01_KPI_Check'!E24</x:f>
        <x:v>969</x:v>
      </x:c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</x:row>
    <x:row r="33" ht="28" customHeight="1">
      <x:c r="A33" s="63"/>
      <x:c r="B33" s="90" t="str">
        <x:f>RIGHT('01_KPI_Check'!A25,2)</x:f>
        <x:v>03</x:v>
      </x:c>
      <x:c r="C33" s="94" t="n">
        <x:f>'01_KPI_Check'!B25</x:f>
        <x:v>223466.82</x:v>
      </x:c>
      <x:c r="D33" s="75" t="n">
        <x:f>'01_KPI_Check'!C25</x:f>
        <x:v>8326</x:v>
      </x:c>
      <x:c r="E33" s="94" t="n">
        <x:f>'01_KPI_Check'!D25</x:f>
        <x:v>111903.17</x:v>
      </x:c>
      <x:c r="F33" s="75" t="n">
        <x:f>'01_KPI_Check'!E25</x:f>
        <x:v>1589</x:v>
      </x:c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</x:row>
    <x:row r="34" ht="28" customHeight="1">
      <x:c r="A34" s="63"/>
      <x:c r="B34" s="90" t="str">
        <x:f>RIGHT('01_KPI_Check'!A26,2)</x:f>
        <x:v>04</x:v>
      </x:c>
      <x:c r="C34" s="94" t="n">
        <x:f>'01_KPI_Check'!B26</x:f>
        <x:v>318432.62</x:v>
      </x:c>
      <x:c r="D34" s="75" t="n">
        <x:f>'01_KPI_Check'!C26</x:f>
        <x:v>12042</x:v>
      </x:c>
      <x:c r="E34" s="94" t="n">
        <x:f>'01_KPI_Check'!D26</x:f>
        <x:v>162498.46</x:v>
      </x:c>
      <x:c r="F34" s="75" t="n">
        <x:f>'01_KPI_Check'!E26</x:f>
        <x:v>2135</x:v>
      </x:c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</x:row>
    <x:row r="35" ht="28" customHeight="1">
      <x:c r="A35" s="63"/>
      <x:c r="B35" s="90" t="str">
        <x:f>RIGHT('01_KPI_Check'!A27,2)</x:f>
        <x:v>05</x:v>
      </x:c>
      <x:c r="C35" s="94" t="n">
        <x:f>'01_KPI_Check'!B27</x:f>
        <x:v>358502.68</x:v>
      </x:c>
      <x:c r="D35" s="75" t="n">
        <x:f>'01_KPI_Check'!C27</x:f>
        <x:v>13570</x:v>
      </x:c>
      <x:c r="E35" s="94" t="n">
        <x:f>'01_KPI_Check'!D27</x:f>
        <x:v>179938.11</x:v>
      </x:c>
      <x:c r="F35" s="75" t="n">
        <x:f>'01_KPI_Check'!E27</x:f>
        <x:v>2009</x:v>
      </x:c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</x:row>
    <x:row r="36" ht="28" customHeight="1">
      <x:c r="A36" s="63"/>
      <x:c r="B36" s="90" t="str">
        <x:f>RIGHT('01_KPI_Check'!A28,2)</x:f>
        <x:v>06</x:v>
      </x:c>
      <x:c r="C36" s="94" t="n">
        <x:f>'01_KPI_Check'!B28</x:f>
        <x:v>352339.19</x:v>
      </x:c>
      <x:c r="D36" s="75" t="n">
        <x:f>'01_KPI_Check'!C28</x:f>
        <x:v>12731</x:v>
      </x:c>
      <x:c r="E36" s="94" t="n">
        <x:f>'01_KPI_Check'!D28</x:f>
        <x:v>179007.97</x:v>
      </x:c>
      <x:c r="F36" s="75" t="n">
        <x:f>'01_KPI_Check'!E28</x:f>
        <x:v>2001</x:v>
      </x:c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</x:row>
    <x:row r="37" ht="28" customHeight="1">
      <x:c r="A37" s="63"/>
      <x:c r="B37" s="90" t="str">
        <x:f>RIGHT('01_KPI_Check'!A29,2)</x:f>
        <x:v>07</x:v>
      </x:c>
      <x:c r="C37" s="94" t="n">
        <x:f>'01_KPI_Check'!B29</x:f>
        <x:v>359492.56</x:v>
      </x:c>
      <x:c r="D37" s="75" t="n">
        <x:f>'01_KPI_Check'!C29</x:f>
        <x:v>12677</x:v>
      </x:c>
      <x:c r="E37" s="94" t="n">
        <x:f>'01_KPI_Check'!D29</x:f>
        <x:v>182447.36</x:v>
      </x:c>
      <x:c r="F37" s="75" t="n">
        <x:f>'01_KPI_Check'!E29</x:f>
        <x:v>1992</x:v>
      </x:c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</x:row>
    <x:row r="38" ht="28" customHeight="1">
      <x:c r="A38" s="63"/>
      <x:c r="B38" s="90" t="str">
        <x:f>RIGHT('01_KPI_Check'!A30,2)</x:f>
        <x:v>08</x:v>
      </x:c>
      <x:c r="C38" s="94" t="n">
        <x:f>'01_KPI_Check'!B30</x:f>
        <x:v>367587.92</x:v>
      </x:c>
      <x:c r="D38" s="75" t="n">
        <x:f>'01_KPI_Check'!C30</x:f>
        <x:v>12904</x:v>
      </x:c>
      <x:c r="E38" s="94" t="n">
        <x:f>'01_KPI_Check'!D30</x:f>
        <x:v>190996.68</x:v>
      </x:c>
      <x:c r="F38" s="75" t="n">
        <x:f>'01_KPI_Check'!E30</x:f>
        <x:v>2025</x:v>
      </x:c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</x:row>
    <x:row r="39" ht="28" customHeight="1">
      <x:c r="A39" s="63"/>
      <x:c r="B39" s="90" t="str">
        <x:f>RIGHT('01_KPI_Check'!A31,2)</x:f>
        <x:v>09</x:v>
      </x:c>
      <x:c r="C39" s="94" t="n">
        <x:f>'01_KPI_Check'!B31</x:f>
        <x:v>368469.36</x:v>
      </x:c>
      <x:c r="D39" s="75" t="n">
        <x:f>'01_KPI_Check'!C31</x:f>
        <x:v>12550</x:v>
      </x:c>
      <x:c r="E39" s="94" t="n">
        <x:f>'01_KPI_Check'!D31</x:f>
        <x:v>187426.15</x:v>
      </x:c>
      <x:c r="F39" s="75" t="n">
        <x:f>'01_KPI_Check'!E31</x:f>
        <x:v>2009</x:v>
      </x:c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</x:row>
    <x:row r="40" ht="28" customHeight="1">
      <x:c r="A40" s="63"/>
      <x:c r="B40" s="90" t="str">
        <x:f>RIGHT('01_KPI_Check'!A32,2)</x:f>
        <x:v>10</x:v>
      </x:c>
      <x:c r="C40" s="94" t="n">
        <x:f>'01_KPI_Check'!B32</x:f>
        <x:v>380093.35</x:v>
      </x:c>
      <x:c r="D40" s="75" t="n">
        <x:f>'01_KPI_Check'!C32</x:f>
        <x:v>12715</x:v>
      </x:c>
      <x:c r="E40" s="94" t="n">
        <x:f>'01_KPI_Check'!D32</x:f>
        <x:v>186521.46</x:v>
      </x:c>
      <x:c r="F40" s="75" t="n">
        <x:f>'01_KPI_Check'!E32</x:f>
        <x:v>2020</x:v>
      </x:c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</x:row>
    <x:row r="41" ht="28" customHeight="1">
      <x:c r="A41" s="63"/>
      <x:c r="B41" s="90" t="str">
        <x:f>RIGHT('01_KPI_Check'!A33,2)</x:f>
        <x:v>11</x:v>
      </x:c>
      <x:c r="C41" s="94" t="n">
        <x:f>'01_KPI_Check'!B33</x:f>
        <x:v>373255.19</x:v>
      </x:c>
      <x:c r="D41" s="75" t="n">
        <x:f>'01_KPI_Check'!C33</x:f>
        <x:v>12625</x:v>
      </x:c>
      <x:c r="E41" s="94" t="n">
        <x:f>'01_KPI_Check'!D33</x:f>
        <x:v>178152.94</x:v>
      </x:c>
      <x:c r="F41" s="75" t="n">
        <x:f>'01_KPI_Check'!E33</x:f>
        <x:v>1981</x:v>
      </x:c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</x:row>
    <x:row r="42" ht="28" customHeight="1">
      <x:c r="A42" s="63"/>
      <x:c r="B42" s="90" t="str">
        <x:f>RIGHT('01_KPI_Check'!A34,2)</x:f>
        <x:v>12</x:v>
      </x:c>
      <x:c r="C42" s="94" t="n">
        <x:f>'01_KPI_Check'!B34</x:f>
        <x:v>376958.72</x:v>
      </x:c>
      <x:c r="D42" s="75" t="n">
        <x:f>'01_KPI_Check'!C34</x:f>
        <x:v>12923</x:v>
      </x:c>
      <x:c r="E42" s="94" t="n">
        <x:f>'01_KPI_Check'!D34</x:f>
        <x:v>195031.85</x:v>
      </x:c>
      <x:c r="F42" s="75" t="n">
        <x:f>'01_KPI_Check'!E34</x:f>
        <x:v>1997</x:v>
      </x:c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</x:row>
    <x:row r="43" ht="28" customHeight="1">
      <x:c r="A43" s="63"/>
      <x:c r="B43" s="90" t="str">
        <x:f>RIGHT('01_KPI_Check'!A35,2)</x:f>
        <x:v>13</x:v>
      </x:c>
      <x:c r="C43" s="94" t="n">
        <x:f>'01_KPI_Check'!B35</x:f>
        <x:v>387963.24</x:v>
      </x:c>
      <x:c r="D43" s="75" t="n">
        <x:f>'01_KPI_Check'!C35</x:f>
        <x:v>13140</x:v>
      </x:c>
      <x:c r="E43" s="94" t="n">
        <x:f>'01_KPI_Check'!D35</x:f>
        <x:v>203560.99</x:v>
      </x:c>
      <x:c r="F43" s="75" t="n">
        <x:f>'01_KPI_Check'!E35</x:f>
        <x:v>2017</x:v>
      </x:c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</x:row>
    <x:row r="44" ht="28" customHeight="1">
      <x:c r="A44" s="63"/>
      <x:c r="B44" s="90" t="str">
        <x:f>RIGHT('01_KPI_Check'!A36,2)</x:f>
        <x:v>14</x:v>
      </x:c>
      <x:c r="C44" s="94" t="n">
        <x:f>'01_KPI_Check'!B36</x:f>
        <x:v>361967.73</x:v>
      </x:c>
      <x:c r="D44" s="75" t="n">
        <x:f>'01_KPI_Check'!C36</x:f>
        <x:v>12209</x:v>
      </x:c>
      <x:c r="E44" s="94" t="n">
        <x:f>'01_KPI_Check'!D36</x:f>
        <x:v>183739.95</x:v>
      </x:c>
      <x:c r="F44" s="75" t="n">
        <x:f>'01_KPI_Check'!E36</x:f>
        <x:v>2033</x:v>
      </x:c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</x:row>
    <x:row r="45" ht="28" customHeight="1">
      <x:c r="A45" s="63"/>
      <x:c r="B45" s="90" t="str">
        <x:f>RIGHT('01_KPI_Check'!A37,2)</x:f>
        <x:v>15</x:v>
      </x:c>
      <x:c r="C45" s="94" t="n">
        <x:f>'01_KPI_Check'!B37</x:f>
        <x:v>390449.7</x:v>
      </x:c>
      <x:c r="D45" s="75" t="n">
        <x:f>'01_KPI_Check'!C37</x:f>
        <x:v>13452</x:v>
      </x:c>
      <x:c r="E45" s="94" t="n">
        <x:f>'01_KPI_Check'!D37</x:f>
        <x:v>201012.63</x:v>
      </x:c>
      <x:c r="F45" s="75" t="n">
        <x:f>'01_KPI_Check'!E37</x:f>
        <x:v>2037</x:v>
      </x:c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</x:row>
    <x:row r="46" ht="28" customHeight="1">
      <x:c r="A46" s="63"/>
      <x:c r="B46" s="90" t="str">
        <x:f>RIGHT('01_KPI_Check'!A38,2)</x:f>
        <x:v>16</x:v>
      </x:c>
      <x:c r="C46" s="94" t="n">
        <x:f>'01_KPI_Check'!B38</x:f>
        <x:v>376347.43</x:v>
      </x:c>
      <x:c r="D46" s="75" t="n">
        <x:f>'01_KPI_Check'!C38</x:f>
        <x:v>13128</x:v>
      </x:c>
      <x:c r="E46" s="94" t="n">
        <x:f>'01_KPI_Check'!D38</x:f>
        <x:v>195747.06</x:v>
      </x:c>
      <x:c r="F46" s="75" t="n">
        <x:f>'01_KPI_Check'!E38</x:f>
        <x:v>2037</x:v>
      </x:c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</x:row>
    <x:row r="47" ht="28" customHeight="1">
      <x:c r="A47" s="63"/>
      <x:c r="B47" s="90" t="str">
        <x:f>RIGHT('01_KPI_Check'!A39,2)</x:f>
        <x:v>17</x:v>
      </x:c>
      <x:c r="C47" s="94" t="n">
        <x:f>'01_KPI_Check'!B39</x:f>
        <x:v>395783.89</x:v>
      </x:c>
      <x:c r="D47" s="75" t="n">
        <x:f>'01_KPI_Check'!C39</x:f>
        <x:v>13637</x:v>
      </x:c>
      <x:c r="E47" s="94" t="n">
        <x:f>'01_KPI_Check'!D39</x:f>
        <x:v>200952.94</x:v>
      </x:c>
      <x:c r="F47" s="75" t="n">
        <x:f>'01_KPI_Check'!E39</x:f>
        <x:v>2056</x:v>
      </x:c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</x:row>
    <x:row r="48" ht="28" customHeight="1">
      <x:c r="A48" s="63"/>
      <x:c r="B48" s="90" t="str">
        <x:f>RIGHT('01_KPI_Check'!A40,2)</x:f>
        <x:v>18</x:v>
      </x:c>
      <x:c r="C48" s="94" t="n">
        <x:f>'01_KPI_Check'!B40</x:f>
        <x:v>367383.5</x:v>
      </x:c>
      <x:c r="D48" s="75" t="n">
        <x:f>'01_KPI_Check'!C40</x:f>
        <x:v>12538</x:v>
      </x:c>
      <x:c r="E48" s="94" t="n">
        <x:f>'01_KPI_Check'!D40</x:f>
        <x:v>192805.21</x:v>
      </x:c>
      <x:c r="F48" s="75" t="n">
        <x:f>'01_KPI_Check'!E40</x:f>
        <x:v>2020</x:v>
      </x:c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</x:row>
    <x:row r="49" ht="28" customHeight="1">
      <x:c r="A49" s="63"/>
      <x:c r="B49" s="90" t="str">
        <x:f>RIGHT('01_KPI_Check'!A41,2)</x:f>
        <x:v>19</x:v>
      </x:c>
      <x:c r="C49" s="94" t="n">
        <x:f>'01_KPI_Check'!B41</x:f>
        <x:v>375934.15</x:v>
      </x:c>
      <x:c r="D49" s="75" t="n">
        <x:f>'01_KPI_Check'!C41</x:f>
        <x:v>13156</x:v>
      </x:c>
      <x:c r="E49" s="94" t="n">
        <x:f>'01_KPI_Check'!D41</x:f>
        <x:v>192957.86</x:v>
      </x:c>
      <x:c r="F49" s="75" t="n">
        <x:f>'01_KPI_Check'!E41</x:f>
        <x:v>2038</x:v>
      </x:c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</x:row>
    <x:row r="50" ht="28" customHeight="1">
      <x:c r="A50" s="63"/>
      <x:c r="B50" s="90" t="str">
        <x:f>RIGHT('01_KPI_Check'!A42,2)</x:f>
        <x:v>20</x:v>
      </x:c>
      <x:c r="C50" s="94" t="n">
        <x:f>'01_KPI_Check'!B42</x:f>
        <x:v>411643.19</x:v>
      </x:c>
      <x:c r="D50" s="75" t="n">
        <x:f>'01_KPI_Check'!C42</x:f>
        <x:v>13380</x:v>
      </x:c>
      <x:c r="E50" s="94" t="n">
        <x:f>'01_KPI_Check'!D42</x:f>
        <x:v>221459.2</x:v>
      </x:c>
      <x:c r="F50" s="75" t="n">
        <x:f>'01_KPI_Check'!E42</x:f>
        <x:v>2087</x:v>
      </x:c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</x:row>
    <x:row r="51" ht="28" customHeight="1">
      <x:c r="A51" s="63"/>
      <x:c r="B51" s="90" t="str">
        <x:f>RIGHT('01_KPI_Check'!A43,2)</x:f>
        <x:v>21</x:v>
      </x:c>
      <x:c r="C51" s="94" t="n">
        <x:f>'01_KPI_Check'!B43</x:f>
        <x:v>382915.28</x:v>
      </x:c>
      <x:c r="D51" s="75" t="n">
        <x:f>'01_KPI_Check'!C43</x:f>
        <x:v>12545</x:v>
      </x:c>
      <x:c r="E51" s="94" t="n">
        <x:f>'01_KPI_Check'!D43</x:f>
        <x:v>201725.38</x:v>
      </x:c>
      <x:c r="F51" s="75" t="n">
        <x:f>'01_KPI_Check'!E43</x:f>
        <x:v>2028</x:v>
      </x:c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</x:row>
    <x:row r="52" ht="28" customHeight="1">
      <x:c r="A52" s="63"/>
      <x:c r="B52" s="90" t="str">
        <x:f>RIGHT('01_KPI_Check'!A44,2)</x:f>
        <x:v>22</x:v>
      </x:c>
      <x:c r="C52" s="94" t="n">
        <x:f>'01_KPI_Check'!B44</x:f>
        <x:v>413362.04</x:v>
      </x:c>
      <x:c r="D52" s="75" t="n">
        <x:f>'01_KPI_Check'!C44</x:f>
        <x:v>12854</x:v>
      </x:c>
      <x:c r="E52" s="94" t="n">
        <x:f>'01_KPI_Check'!D44</x:f>
        <x:v>207906.53</x:v>
      </x:c>
      <x:c r="F52" s="75" t="n">
        <x:f>'01_KPI_Check'!E44</x:f>
        <x:v>2073</x:v>
      </x:c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</x:row>
    <x:row r="53" ht="28" customHeight="1">
      <x:c r="A53" s="63"/>
      <x:c r="B53" s="90" t="str">
        <x:f>RIGHT('01_KPI_Check'!A45,2)</x:f>
        <x:v>23</x:v>
      </x:c>
      <x:c r="C53" s="94" t="n">
        <x:f>'01_KPI_Check'!B45</x:f>
        <x:v>402312.81</x:v>
      </x:c>
      <x:c r="D53" s="75" t="n">
        <x:f>'01_KPI_Check'!C45</x:f>
        <x:v>12255</x:v>
      </x:c>
      <x:c r="E53" s="94" t="n">
        <x:f>'01_KPI_Check'!D45</x:f>
        <x:v>199023.74</x:v>
      </x:c>
      <x:c r="F53" s="75" t="n">
        <x:f>'01_KPI_Check'!E45</x:f>
        <x:v>2043</x:v>
      </x:c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</x:row>
    <x:row r="54" ht="28" customHeight="1">
      <x:c r="A54" s="63"/>
      <x:c r="B54" s="90" t="str">
        <x:f>RIGHT('01_KPI_Check'!A46,2)</x:f>
        <x:v>24</x:v>
      </x:c>
      <x:c r="C54" s="94" t="n">
        <x:f>'01_KPI_Check'!B46</x:f>
        <x:v>136278.38</x:v>
      </x:c>
      <x:c r="D54" s="75" t="n">
        <x:f>'01_KPI_Check'!C46</x:f>
        <x:v>4364</x:v>
      </x:c>
      <x:c r="E54" s="94" t="n">
        <x:f>'01_KPI_Check'!D46</x:f>
        <x:v>68756.66</x:v>
      </x:c>
      <x:c r="F54" s="75" t="n">
        <x:f>'01_KPI_Check'!E46</x:f>
        <x:v>1564</x:v>
      </x:c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</x:row>
    <x:row r="55" ht="28" customHeight="1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</x:row>
    <x:row r="56" ht="28" customHeight="1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</x:row>
    <x:row r="57" ht="28" customHeight="1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</x:row>
    <x:row r="58" ht="28" customHeight="1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</x:row>
    <x:row r="59" ht="28" customHeight="1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</x:row>
    <x:row r="60" ht="28" customHeight="1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</x:row>
    <x:row r="61" ht="28" customHeight="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</x:row>
    <x:row r="62" ht="28" customHeight="1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</x:row>
    <x:row r="63" ht="28" customHeight="1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</x:row>
    <x:row r="64" ht="28" customHeight="1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</x:row>
  </x:sheetData>
  <x:mergeCells>
    <x:mergeCell ref="B2:P3"/>
    <x:mergeCell ref="B4:P4"/>
    <x:mergeCell ref="B6:D6"/>
    <x:mergeCell ref="B7:D8"/>
    <x:mergeCell ref="E6:G6"/>
    <x:mergeCell ref="E7:G8"/>
    <x:mergeCell ref="H6:J6"/>
    <x:mergeCell ref="H7:J8"/>
    <x:mergeCell ref="K6:M6"/>
    <x:mergeCell ref="K7:M8"/>
    <x:mergeCell ref="N6:P6"/>
    <x:mergeCell ref="N7:P8"/>
    <x:mergeCell ref="B10:P10"/>
    <x:mergeCell ref="B27:P28"/>
  </x:mergeCells>
  <x:pageMargins left="0.7" right="0.7" top="0.75" bottom="0.75" header="0.3" footer="0.3"/>
  <x:drawing xmlns:r="http://schemas.openxmlformats.org/officeDocument/2006/relationships" r:id="R4dd8d361cddf47ed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38" hidden="0" customWidth="1"/>
    <x:col min="3" max="3" width="32" hidden="0" customWidth="1"/>
    <x:col min="4" max="4" width="32" hidden="0" customWidth="1"/>
    <x:col min="5" max="5" width="32" hidden="0" customWidth="1"/>
    <x:col min="1" max="1" width="3" hidden="0" customWidth="1"/>
  </x:cols>
  <x:sheetData>
    <x:row r="1" ht="28" customHeight="1">
      <x:c r="A1" s="63"/>
      <x:c r="B1" s="63"/>
      <x:c r="C1" s="63"/>
      <x:c r="D1" s="63"/>
      <x:c r="E1" s="63"/>
    </x:row>
    <x:row r="2" ht="28" customHeight="1">
      <x:c r="A2" s="63"/>
      <x:c r="B2" s="64" t="str">
        <x:v>Consumer profiles</x:v>
      </x:c>
      <x:c r="C2" s="63"/>
      <x:c r="D2" s="63"/>
      <x:c r="E2" s="63"/>
    </x:row>
    <x:row r="3" ht="28" customHeight="1">
      <x:c r="A3" s="63"/>
      <x:c r="B3" s="63"/>
      <x:c r="C3" s="63"/>
      <x:c r="D3" s="63"/>
      <x:c r="E3" s="63"/>
    </x:row>
    <x:row r="4" ht="38" customHeight="1">
      <x:c r="A4" s="63"/>
      <x:c r="B4" s="66" t="str">
        <x:v>Customer value and shopping behavior | equal customer weighting</x:v>
      </x:c>
      <x:c r="C4" s="63"/>
      <x:c r="D4" s="63"/>
      <x:c r="E4" s="63"/>
    </x:row>
    <x:row r="5" ht="28" customHeight="1">
      <x:c r="A5" s="63"/>
      <x:c r="B5" s="63"/>
      <x:c r="C5" s="63"/>
      <x:c r="D5" s="63"/>
      <x:c r="E5" s="63"/>
    </x:row>
    <x:row r="6" ht="82" customHeight="1">
      <x:c r="A6" s="63"/>
      <x:c r="B6" s="95" t="str">
        <x:v>Metric</x:v>
      </x:c>
      <x:c r="C6" s="95" t="str">
        <x:v>High-Value Frequent Shoppers</x:v>
      </x:c>
      <x:c r="D6" s="95" t="str">
        <x:v>Large-Basket Occasional Shoppers</x:v>
      </x:c>
      <x:c r="E6" s="95" t="str">
        <x:v>Low-Value Low-Engagement Shoppers</x:v>
      </x:c>
    </x:row>
    <x:row r="7" ht="40" customHeight="1">
      <x:c r="A7" s="63"/>
      <x:c r="B7" s="72" t="str">
        <x:v>Customers</x:v>
      </x:c>
      <x:c r="C7" s="96" t="n">
        <x:f>'02_Segment_Summary'!B7</x:f>
        <x:v>1007</x:v>
      </x:c>
      <x:c r="D7" s="96" t="n">
        <x:f>'02_Segment_Summary'!B8</x:f>
        <x:v>902</x:v>
      </x:c>
      <x:c r="E7" s="96" t="n">
        <x:f>'02_Segment_Summary'!B9</x:f>
        <x:v>591</x:v>
      </x:c>
    </x:row>
    <x:row r="8" ht="40" customHeight="1">
      <x:c r="A8" s="63"/>
      <x:c r="B8" s="63" t="str">
        <x:v>Customer base share</x:v>
      </x:c>
      <x:c r="C8" s="83" t="n">
        <x:f>'02_Segment_Summary'!B7/'01_KPI_Check'!$B$8</x:f>
        <x:v>0.4028</x:v>
      </x:c>
      <x:c r="D8" s="83" t="n">
        <x:f>'02_Segment_Summary'!B8/'01_KPI_Check'!$B$8</x:f>
        <x:v>0.3608</x:v>
      </x:c>
      <x:c r="E8" s="83" t="n">
        <x:f>'02_Segment_Summary'!B9/'01_KPI_Check'!$B$8</x:f>
        <x:v>0.2364</x:v>
      </x:c>
    </x:row>
    <x:row r="9" ht="40" customHeight="1">
      <x:c r="A9" s="63"/>
      <x:c r="B9" s="72" t="str">
        <x:v>Sales share</x:v>
      </x:c>
      <x:c r="C9" s="97" t="n">
        <x:f>'02_Segment_Summary'!E7</x:f>
        <x:v>0.7351762912699439</x:v>
      </x:c>
      <x:c r="D9" s="97" t="n">
        <x:f>'02_Segment_Summary'!E8</x:f>
        <x:v>0.21488001442839727</x:v>
      </x:c>
      <x:c r="E9" s="97" t="n">
        <x:f>'02_Segment_Summary'!E9</x:f>
        <x:v>0.049943694301659285</x:v>
      </x:c>
    </x:row>
    <x:row r="10" ht="40" customHeight="1">
      <x:c r="A10" s="63"/>
      <x:c r="B10" s="63" t="str">
        <x:v>Retailer sales</x:v>
      </x:c>
      <x:c r="C10" s="92" t="n">
        <x:f>'02_Segment_Summary'!D7</x:f>
        <x:v>5923641.650000003</x:v>
      </x:c>
      <x:c r="D10" s="92" t="n">
        <x:f>'02_Segment_Summary'!D8</x:f>
        <x:v>1731383.6400000001</x:v>
      </x:c>
      <x:c r="E10" s="92" t="n">
        <x:f>'02_Segment_Summary'!D9</x:f>
        <x:v>402418.50999999995</x:v>
      </x:c>
    </x:row>
    <x:row r="11" ht="40" customHeight="1">
      <x:c r="A11" s="63"/>
      <x:c r="B11" s="72" t="str">
        <x:v>Sales per customer</x:v>
      </x:c>
      <x:c r="C11" s="98" t="n">
        <x:f>'02_Segment_Summary'!F7</x:f>
        <x:v>5882.464399205564</x:v>
      </x:c>
      <x:c r="D11" s="98" t="n">
        <x:f>'02_Segment_Summary'!F8</x:f>
        <x:v>1919.4940576496676</x:v>
      </x:c>
      <x:c r="E11" s="98" t="n">
        <x:f>'02_Segment_Summary'!F9</x:f>
        <x:v>680.9111844331641</x:v>
      </x:c>
    </x:row>
    <x:row r="12" ht="40" customHeight="1">
      <x:c r="A12" s="63"/>
      <x:c r="B12" s="63" t="str">
        <x:v>Visits per active month</x:v>
      </x:c>
      <x:c r="C12" s="100" t="n">
        <x:f>'02_Segment_Summary'!G7</x:f>
        <x:v>9.167627052187717</x:v>
      </x:c>
      <x:c r="D12" s="100" t="n">
        <x:f>'02_Segment_Summary'!G8</x:f>
        <x:v>2.943147023377136</x:v>
      </x:c>
      <x:c r="E12" s="100" t="n">
        <x:f>'02_Segment_Summary'!G9</x:f>
        <x:v>3.1438566080574284</x:v>
      </x:c>
    </x:row>
    <x:row r="13" ht="40" customHeight="1">
      <x:c r="A13" s="63"/>
      <x:c r="B13" s="72" t="str">
        <x:v>Recency (days)</x:v>
      </x:c>
      <x:c r="C13" s="103" t="n">
        <x:f>'02_Segment_Summary'!H7</x:f>
        <x:v>5.322740814299901</x:v>
      </x:c>
      <x:c r="D13" s="103" t="n">
        <x:f>'02_Segment_Summary'!H8</x:f>
        <x:v>30.235033259423503</x:v>
      </x:c>
      <x:c r="E13" s="103" t="n">
        <x:f>'02_Segment_Summary'!H9</x:f>
        <x:v>52.974619289340104</x:v>
      </x:c>
    </x:row>
    <x:row r="14" ht="40" customHeight="1">
      <x:c r="A14" s="63"/>
      <x:c r="B14" s="63" t="str">
        <x:v>Mean customer basket</x:v>
      </x:c>
      <x:c r="C14" s="79" t="n">
        <x:f>'02_Segment_Summary'!I7</x:f>
        <x:v>33.22193856806031</x:v>
      </x:c>
      <x:c r="D14" s="79" t="n">
        <x:f>'02_Segment_Summary'!I8</x:f>
        <x:v>40.07036233589194</x:v>
      </x:c>
      <x:c r="E14" s="79" t="n">
        <x:f>'02_Segment_Summary'!I9</x:f>
        <x:v>16.28970794765794</x:v>
      </x:c>
    </x:row>
    <x:row r="15" ht="40" customHeight="1">
      <x:c r="A15" s="63"/>
      <x:c r="B15" s="72" t="str">
        <x:v>Weighted basket value</x:v>
      </x:c>
      <x:c r="C15" s="104" t="n">
        <x:f>'02_Segment_Summary'!J7</x:f>
        <x:v>29.717613667718535</x:v>
      </x:c>
      <x:c r="D15" s="104" t="n">
        <x:f>'02_Segment_Summary'!J8</x:f>
        <x:v>36.76832466181062</x:v>
      </x:c>
      <x:c r="E15" s="104" t="n">
        <x:f>'02_Segment_Summary'!J9</x:f>
        <x:v>13.655655434524414</x:v>
      </x:c>
    </x:row>
    <x:row r="16" ht="28" customHeight="1">
      <x:c r="A16" s="63"/>
      <x:c r="B16" s="63"/>
      <x:c r="C16" s="63"/>
      <x:c r="D16" s="63"/>
      <x:c r="E16" s="63"/>
    </x:row>
    <x:row r="17" ht="28" customHeight="1">
      <x:c r="A17" s="63"/>
      <x:c r="B17" s="66" t="str">
        <x:v>Mean customer basket averages customers equally. Weighted basket value divides total sales by total baskets. Recency is measured at the dataset end.</x:v>
      </x:c>
      <x:c r="C17" s="93"/>
      <x:c r="D17" s="93"/>
      <x:c r="E17" s="93"/>
    </x:row>
    <x:row r="18" ht="28" customHeight="1">
      <x:c r="A18" s="63"/>
      <x:c r="B18" s="93"/>
      <x:c r="C18" s="93"/>
      <x:c r="D18" s="93"/>
      <x:c r="E18" s="93"/>
    </x:row>
    <x:row r="19" ht="28" customHeight="1">
      <x:c r="A19" s="63"/>
      <x:c r="B19" s="63"/>
      <x:c r="C19" s="63"/>
      <x:c r="D19" s="63"/>
      <x:c r="E19" s="63"/>
    </x:row>
    <x:row r="20" ht="28" customHeight="1">
      <x:c r="A20" s="63"/>
      <x:c r="B20" s="86" t="str">
        <x:v>Customer base versus sales contribution</x:v>
      </x:c>
      <x:c r="C20" s="63"/>
      <x:c r="D20" s="63"/>
      <x:c r="E20" s="63"/>
    </x:row>
    <x:row r="21" ht="28" customHeight="1">
      <x:c r="A21" s="63"/>
      <x:c r="B21" s="63"/>
      <x:c r="C21" s="63"/>
      <x:c r="D21" s="63"/>
      <x:c r="E21" s="63"/>
    </x:row>
    <x:row r="22" ht="28" customHeight="1">
      <x:c r="A22" s="63"/>
      <x:c r="B22" s="63"/>
      <x:c r="C22" s="63"/>
      <x:c r="D22" s="63"/>
      <x:c r="E22" s="63"/>
    </x:row>
    <x:row r="23" ht="28" customHeight="1">
      <x:c r="A23" s="63"/>
      <x:c r="B23" s="63"/>
      <x:c r="C23" s="63"/>
      <x:c r="D23" s="63"/>
      <x:c r="E23" s="63"/>
    </x:row>
    <x:row r="24" ht="28" customHeight="1">
      <x:c r="A24" s="63"/>
      <x:c r="B24" s="63"/>
      <x:c r="C24" s="63"/>
      <x:c r="D24" s="63"/>
      <x:c r="E24" s="63"/>
    </x:row>
    <x:row r="25" ht="28" customHeight="1">
      <x:c r="A25" s="63"/>
      <x:c r="B25" s="63"/>
      <x:c r="C25" s="63"/>
      <x:c r="D25" s="63"/>
      <x:c r="E25" s="63"/>
    </x:row>
    <x:row r="26" ht="28" customHeight="1">
      <x:c r="A26" s="63"/>
      <x:c r="B26" s="63"/>
      <x:c r="C26" s="63"/>
      <x:c r="D26" s="63"/>
      <x:c r="E26" s="63"/>
    </x:row>
    <x:row r="27" ht="28" customHeight="1">
      <x:c r="A27" s="63"/>
      <x:c r="B27" s="63"/>
      <x:c r="C27" s="63"/>
      <x:c r="D27" s="63"/>
      <x:c r="E27" s="63"/>
    </x:row>
    <x:row r="28" ht="28" customHeight="1">
      <x:c r="A28" s="63"/>
      <x:c r="B28" s="63"/>
      <x:c r="C28" s="63"/>
      <x:c r="D28" s="63"/>
      <x:c r="E28" s="63"/>
    </x:row>
    <x:row r="29" ht="28" customHeight="1">
      <x:c r="A29" s="63"/>
      <x:c r="B29" s="63"/>
      <x:c r="C29" s="63"/>
      <x:c r="D29" s="63"/>
      <x:c r="E29" s="63"/>
    </x:row>
    <x:row r="30" ht="28" customHeight="1">
      <x:c r="A30" s="63"/>
      <x:c r="B30" s="63"/>
      <x:c r="C30" s="63"/>
      <x:c r="D30" s="63"/>
      <x:c r="E30" s="63"/>
    </x:row>
    <x:row r="31" ht="28" customHeight="1">
      <x:c r="A31" s="63"/>
      <x:c r="B31" s="63"/>
      <x:c r="C31" s="63"/>
      <x:c r="D31" s="63"/>
      <x:c r="E31" s="63"/>
    </x:row>
    <x:row r="32" ht="28" customHeight="1">
      <x:c r="A32" s="63"/>
      <x:c r="B32" s="63"/>
      <x:c r="C32" s="63"/>
      <x:c r="D32" s="63"/>
      <x:c r="E32" s="63"/>
    </x:row>
    <x:row r="33" ht="28" customHeight="1">
      <x:c r="A33" s="63"/>
      <x:c r="B33" s="63"/>
      <x:c r="C33" s="63"/>
      <x:c r="D33" s="63"/>
      <x:c r="E33" s="63"/>
    </x:row>
    <x:row r="34" ht="28" customHeight="1">
      <x:c r="A34" s="63"/>
      <x:c r="B34" s="63"/>
      <x:c r="C34" s="63"/>
      <x:c r="D34" s="63"/>
      <x:c r="E34" s="63"/>
    </x:row>
    <x:row r="35" ht="28" customHeight="1">
      <x:c r="A35" s="63"/>
      <x:c r="B35" s="63"/>
      <x:c r="C35" s="63"/>
      <x:c r="D35" s="63"/>
      <x:c r="E35" s="63"/>
    </x:row>
    <x:row r="36" ht="28" customHeight="1">
      <x:c r="A36" s="63"/>
      <x:c r="B36" s="63"/>
      <x:c r="C36" s="63"/>
      <x:c r="D36" s="63"/>
      <x:c r="E36" s="63"/>
    </x:row>
    <x:row r="37" ht="28" customHeight="1">
      <x:c r="A37" s="63"/>
      <x:c r="B37" s="63"/>
      <x:c r="C37" s="63"/>
      <x:c r="D37" s="63"/>
      <x:c r="E37" s="63"/>
    </x:row>
    <x:row r="38" ht="28" customHeight="1">
      <x:c r="A38" s="63"/>
      <x:c r="B38" s="63"/>
      <x:c r="C38" s="63"/>
      <x:c r="D38" s="63"/>
      <x:c r="E38" s="63"/>
    </x:row>
    <x:row r="39" ht="28" customHeight="1">
      <x:c r="A39" s="63"/>
      <x:c r="B39" s="63"/>
      <x:c r="C39" s="63"/>
      <x:c r="D39" s="63"/>
      <x:c r="E39" s="63"/>
    </x:row>
    <x:row r="40" ht="42" customHeight="1">
      <x:c r="A40" s="63"/>
      <x:c r="B40" s="58" t="str">
        <x:v>Consumer segment</x:v>
      </x:c>
      <x:c r="C40" s="58" t="str">
        <x:v>Customer base</x:v>
      </x:c>
      <x:c r="D40" s="58" t="str">
        <x:v>Sales share</x:v>
      </x:c>
      <x:c r="E40" s="63"/>
    </x:row>
    <x:row r="41" ht="28" customHeight="1">
      <x:c r="A41" s="63"/>
      <x:c r="B41" s="63" t="str">
        <x:v>High-Value Frequent</x:v>
      </x:c>
      <x:c r="C41" s="83" t="n">
        <x:f>C8</x:f>
        <x:v>0.4028</x:v>
      </x:c>
      <x:c r="D41" s="83" t="n">
        <x:f>C9</x:f>
        <x:v>0.7351762912699439</x:v>
      </x:c>
      <x:c r="E41" s="63"/>
    </x:row>
    <x:row r="42" ht="28" customHeight="1">
      <x:c r="A42" s="63"/>
      <x:c r="B42" s="63" t="str">
        <x:v>Large-Basket Occasional</x:v>
      </x:c>
      <x:c r="C42" s="83" t="n">
        <x:f>D8</x:f>
        <x:v>0.3608</x:v>
      </x:c>
      <x:c r="D42" s="83" t="n">
        <x:f>D9</x:f>
        <x:v>0.21488001442839727</x:v>
      </x:c>
      <x:c r="E42" s="63"/>
    </x:row>
    <x:row r="43" ht="28" customHeight="1">
      <x:c r="A43" s="63"/>
      <x:c r="B43" s="63" t="str">
        <x:v>Low-Value Low-Engagement</x:v>
      </x:c>
      <x:c r="C43" s="83" t="n">
        <x:f>E8</x:f>
        <x:v>0.2364</x:v>
      </x:c>
      <x:c r="D43" s="83" t="n">
        <x:f>E9</x:f>
        <x:v>0.049943694301659285</x:v>
      </x:c>
      <x:c r="E43" s="63"/>
    </x:row>
    <x:row r="44" ht="28" customHeight="1">
      <x:c r="A44" s="63"/>
      <x:c r="B44" s="63"/>
      <x:c r="C44" s="63"/>
      <x:c r="D44" s="63"/>
      <x:c r="E44" s="63"/>
    </x:row>
    <x:row r="45" ht="28" customHeight="1">
      <x:c r="A45" s="63"/>
      <x:c r="B45" s="63"/>
      <x:c r="C45" s="63"/>
      <x:c r="D45" s="63"/>
      <x:c r="E45" s="63"/>
    </x:row>
    <x:row r="46" ht="28" customHeight="1">
      <x:c r="A46" s="63"/>
      <x:c r="B46" s="63"/>
      <x:c r="C46" s="63"/>
      <x:c r="D46" s="63"/>
      <x:c r="E46" s="63"/>
    </x:row>
    <x:row r="47" ht="28" customHeight="1">
      <x:c r="A47" s="63"/>
      <x:c r="B47" s="63"/>
      <x:c r="C47" s="63"/>
      <x:c r="D47" s="63"/>
      <x:c r="E47" s="63"/>
    </x:row>
    <x:row r="48" ht="28" customHeight="1">
      <x:c r="A48" s="63"/>
      <x:c r="B48" s="63"/>
      <x:c r="C48" s="63"/>
      <x:c r="D48" s="63"/>
      <x:c r="E48" s="63"/>
    </x:row>
    <x:row r="49" ht="28" customHeight="1">
      <x:c r="A49" s="63"/>
      <x:c r="B49" s="63"/>
      <x:c r="C49" s="63"/>
      <x:c r="D49" s="63"/>
      <x:c r="E49" s="63"/>
    </x:row>
    <x:row r="50" ht="28" customHeight="1">
      <x:c r="A50" s="63"/>
      <x:c r="B50" s="63"/>
      <x:c r="C50" s="63"/>
      <x:c r="D50" s="63"/>
      <x:c r="E50" s="63"/>
    </x:row>
    <x:row r="51" ht="28" customHeight="1">
      <x:c r="A51" s="63"/>
      <x:c r="B51" s="63"/>
      <x:c r="C51" s="63"/>
      <x:c r="D51" s="63"/>
      <x:c r="E51" s="63"/>
    </x:row>
    <x:row r="52" ht="28" customHeight="1">
      <x:c r="A52" s="63"/>
      <x:c r="B52" s="63"/>
      <x:c r="C52" s="63"/>
      <x:c r="D52" s="63"/>
      <x:c r="E52" s="63"/>
    </x:row>
    <x:row r="53" ht="28" customHeight="1">
      <x:c r="A53" s="63"/>
      <x:c r="B53" s="63"/>
      <x:c r="C53" s="63"/>
      <x:c r="D53" s="63"/>
      <x:c r="E53" s="63"/>
    </x:row>
    <x:row r="54" ht="28" customHeight="1">
      <x:c r="A54" s="63"/>
      <x:c r="B54" s="63"/>
      <x:c r="C54" s="63"/>
      <x:c r="D54" s="63"/>
      <x:c r="E54" s="63"/>
    </x:row>
    <x:row r="55" ht="28" customHeight="1">
      <x:c r="A55" s="63"/>
      <x:c r="B55" s="63"/>
      <x:c r="C55" s="63"/>
      <x:c r="D55" s="63"/>
      <x:c r="E55" s="63"/>
    </x:row>
    <x:row r="56" ht="28" customHeight="1">
      <x:c r="A56" s="63"/>
      <x:c r="B56" s="63"/>
      <x:c r="C56" s="63"/>
      <x:c r="D56" s="63"/>
      <x:c r="E56" s="63"/>
    </x:row>
    <x:row r="57" ht="28" customHeight="1">
      <x:c r="A57" s="63"/>
      <x:c r="B57" s="63"/>
      <x:c r="C57" s="63"/>
      <x:c r="D57" s="63"/>
      <x:c r="E57" s="63"/>
    </x:row>
    <x:row r="58" ht="28" customHeight="1">
      <x:c r="A58" s="63"/>
      <x:c r="B58" s="63"/>
      <x:c r="C58" s="63"/>
      <x:c r="D58" s="63"/>
      <x:c r="E58" s="63"/>
    </x:row>
    <x:row r="59" ht="28" customHeight="1">
      <x:c r="A59" s="63"/>
      <x:c r="B59" s="63"/>
      <x:c r="C59" s="63"/>
      <x:c r="D59" s="63"/>
      <x:c r="E59" s="63"/>
    </x:row>
    <x:row r="60" ht="28" customHeight="1">
      <x:c r="A60" s="63"/>
      <x:c r="B60" s="63"/>
      <x:c r="C60" s="63"/>
      <x:c r="D60" s="63"/>
      <x:c r="E60" s="63"/>
    </x:row>
    <x:row r="61" ht="28" customHeight="1">
      <x:c r="A61" s="63"/>
      <x:c r="B61" s="63"/>
      <x:c r="C61" s="63"/>
      <x:c r="D61" s="63"/>
      <x:c r="E61" s="63"/>
    </x:row>
    <x:row r="62" ht="28" customHeight="1">
      <x:c r="A62" s="63"/>
      <x:c r="B62" s="63"/>
      <x:c r="C62" s="63"/>
      <x:c r="D62" s="63"/>
      <x:c r="E62" s="63"/>
    </x:row>
    <x:row r="63" ht="28" customHeight="1">
      <x:c r="A63" s="63"/>
      <x:c r="B63" s="63"/>
      <x:c r="C63" s="63"/>
      <x:c r="D63" s="63"/>
      <x:c r="E63" s="63"/>
    </x:row>
    <x:row r="64" ht="28" customHeight="1">
      <x:c r="A64" s="63"/>
      <x:c r="B64" s="63"/>
      <x:c r="C64" s="63"/>
      <x:c r="D64" s="63"/>
      <x:c r="E64" s="63"/>
    </x:row>
  </x:sheetData>
  <x:mergeCells>
    <x:mergeCell ref="B2:E3"/>
    <x:mergeCell ref="B4:E4"/>
    <x:mergeCell ref="B17:E18"/>
    <x:mergeCell ref="B20:E20"/>
  </x:mergeCells>
  <x:pageMargins left="0.7" right="0.7" top="0.75" bottom="0.75" header="0.3" footer="0.3"/>
  <x:drawing xmlns:r="http://schemas.openxmlformats.org/officeDocument/2006/relationships" r:id="R61d80d3b64fa4fa0"/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38" hidden="0" customWidth="1"/>
    <x:col min="3" max="3" width="32" hidden="0" customWidth="1"/>
    <x:col min="4" max="4" width="32" hidden="0" customWidth="1"/>
    <x:col min="5" max="5" width="32" hidden="0" customWidth="1"/>
    <x:col min="1" max="1" width="3" hidden="0" customWidth="1"/>
  </x:cols>
  <x:sheetData>
    <x:row r="1" ht="28" customHeight="1">
      <x:c r="A1" s="63"/>
      <x:c r="B1" s="63"/>
      <x:c r="C1" s="63"/>
      <x:c r="D1" s="63"/>
      <x:c r="E1" s="63"/>
    </x:row>
    <x:row r="2" ht="28" customHeight="1">
      <x:c r="A2" s="63"/>
      <x:c r="B2" s="64" t="str">
        <x:v>Promotion patterns</x:v>
      </x:c>
      <x:c r="C2" s="63"/>
      <x:c r="D2" s="63"/>
      <x:c r="E2" s="63"/>
    </x:row>
    <x:row r="3" ht="28" customHeight="1">
      <x:c r="A3" s="63"/>
      <x:c r="B3" s="63"/>
      <x:c r="C3" s="63"/>
      <x:c r="D3" s="63"/>
      <x:c r="E3" s="63"/>
    </x:row>
    <x:row r="4" ht="38" customHeight="1">
      <x:c r="A4" s="63"/>
      <x:c r="B4" s="66" t="str">
        <x:v>Basket exposure, line dependence and basket value | full period</x:v>
      </x:c>
      <x:c r="C4" s="63"/>
      <x:c r="D4" s="63"/>
      <x:c r="E4" s="63"/>
    </x:row>
    <x:row r="5" ht="28" customHeight="1">
      <x:c r="A5" s="63"/>
      <x:c r="B5" s="63"/>
      <x:c r="C5" s="63"/>
      <x:c r="D5" s="63"/>
      <x:c r="E5" s="63"/>
    </x:row>
    <x:row r="6" ht="82" customHeight="1">
      <x:c r="A6" s="63"/>
      <x:c r="B6" s="95" t="str">
        <x:v>Metric</x:v>
      </x:c>
      <x:c r="C6" s="95" t="str">
        <x:v>High-Value Frequent Shoppers</x:v>
      </x:c>
      <x:c r="D6" s="95" t="str">
        <x:v>Large-Basket Occasional Shoppers</x:v>
      </x:c>
      <x:c r="E6" s="95" t="str">
        <x:v>Low-Value Low-Engagement Shoppers</x:v>
      </x:c>
    </x:row>
    <x:row r="7" ht="42" customHeight="1">
      <x:c r="A7" s="63"/>
      <x:c r="B7" s="72" t="str">
        <x:v>Mean basket exposure</x:v>
      </x:c>
      <x:c r="C7" s="97" t="n">
        <x:f>'04_Promotion_Check'!C7</x:f>
        <x:v>0.853736901560486</x:v>
      </x:c>
      <x:c r="D7" s="97" t="n">
        <x:f>'04_Promotion_Check'!C8</x:f>
        <x:v>0.8993945195308882</x:v>
      </x:c>
      <x:c r="E7" s="97" t="n">
        <x:f>'04_Promotion_Check'!C9</x:f>
        <x:v>0.7469202097321676</x:v>
      </x:c>
    </x:row>
    <x:row r="8" ht="42" customHeight="1">
      <x:c r="A8" s="63"/>
      <x:c r="B8" s="63" t="str">
        <x:v>Mean promoted-line share</x:v>
      </x:c>
      <x:c r="C8" s="83" t="n">
        <x:f>'04_Promotion_Check'!F7</x:f>
        <x:v>0.5120689289242389</x:v>
      </x:c>
      <x:c r="D8" s="83" t="n">
        <x:f>'04_Promotion_Check'!F8</x:f>
        <x:v>0.513570346333297</x:v>
      </x:c>
      <x:c r="E8" s="83" t="n">
        <x:f>'04_Promotion_Check'!F9</x:f>
        <x:v>0.463473301127781</x:v>
      </x:c>
    </x:row>
    <x:row r="9" ht="42" customHeight="1">
      <x:c r="A9" s="63"/>
      <x:c r="B9" s="72" t="str">
        <x:v>Basket value: promotion</x:v>
      </x:c>
      <x:c r="C9" s="104" t="n">
        <x:f>'04_Promotion_Check'!I7</x:f>
        <x:v>33.62452572779034</x:v>
      </x:c>
      <x:c r="D9" s="104" t="n">
        <x:f>'04_Promotion_Check'!I8</x:f>
        <x:v>39.86078651685389</x:v>
      </x:c>
      <x:c r="E9" s="104" t="n">
        <x:f>'04_Promotion_Check'!I9</x:f>
        <x:v>16.155401559271084</x:v>
      </x:c>
    </x:row>
    <x:row r="10" ht="42" customHeight="1">
      <x:c r="A10" s="63"/>
      <x:c r="B10" s="63" t="str">
        <x:v>Basket value: no promotion</x:v>
      </x:c>
      <x:c r="C10" s="79" t="n">
        <x:f>'04_Promotion_Check'!J7</x:f>
        <x:v>9.111047562088821</x:v>
      </x:c>
      <x:c r="D10" s="79" t="n">
        <x:f>'04_Promotion_Check'!J8</x:f>
        <x:v>11.200889588663648</x:v>
      </x:c>
      <x:c r="E10" s="79" t="n">
        <x:f>'04_Promotion_Check'!J9</x:f>
        <x:v>7.146594105417635</x:v>
      </x:c>
    </x:row>
    <x:row r="11" ht="42" customHeight="1">
      <x:c r="A11" s="63"/>
      <x:c r="B11" s="72" t="str">
        <x:v>Basket sales: promotion</x:v>
      </x:c>
      <x:c r="C11" s="98" t="n">
        <x:f>'04_Promotion_Check'!C14</x:f>
        <x:v>5634192.780000005</x:v>
      </x:c>
      <x:c r="D11" s="98" t="n">
        <x:f>'04_Promotion_Check'!C15</x:f>
        <x:v>1674471.9199999983</x:v>
      </x:c>
      <x:c r="E11" s="98" t="n">
        <x:f>'04_Promotion_Check'!C16</x:f>
        <x:v>343980.80999999994</x:v>
      </x:c>
    </x:row>
    <x:row r="12" ht="42" customHeight="1">
      <x:c r="A12" s="63"/>
      <x:c r="B12" s="63" t="str">
        <x:v>Basket sales: no promotion</x:v>
      </x:c>
      <x:c r="C12" s="92" t="n">
        <x:f>'04_Promotion_Check'!D14</x:f>
        <x:v>289448.86999999976</x:v>
      </x:c>
      <x:c r="D12" s="92" t="n">
        <x:f>'04_Promotion_Check'!D15</x:f>
        <x:v>56911.719999999994</x:v>
      </x:c>
      <x:c r="E12" s="92" t="n">
        <x:f>'04_Promotion_Check'!D16</x:f>
        <x:v>58437.700000000004</x:v>
      </x:c>
    </x:row>
    <x:row r="13" ht="28" customHeight="1">
      <x:c r="A13" s="63"/>
      <x:c r="B13" s="63"/>
      <x:c r="C13" s="63"/>
      <x:c r="D13" s="63"/>
      <x:c r="E13" s="63"/>
    </x:row>
    <x:row r="14" ht="28" customHeight="1">
      <x:c r="A14" s="63"/>
      <x:c r="B14" s="66" t="str">
        <x:v>Basket exposure counts baskets with any promoted item. Line dependence counts sales on promoted items only. Entire-basket sales include every item in those baskets.</x:v>
      </x:c>
      <x:c r="C14" s="93"/>
      <x:c r="D14" s="93"/>
      <x:c r="E14" s="93"/>
    </x:row>
    <x:row r="15" ht="28" customHeight="1">
      <x:c r="A15" s="63"/>
      <x:c r="B15" s="93"/>
      <x:c r="C15" s="93"/>
      <x:c r="D15" s="93"/>
      <x:c r="E15" s="93"/>
    </x:row>
    <x:row r="16" ht="28" customHeight="1">
      <x:c r="A16" s="63"/>
      <x:c r="B16" s="63"/>
      <x:c r="C16" s="63"/>
      <x:c r="D16" s="63"/>
      <x:c r="E16" s="63"/>
    </x:row>
    <x:row r="17" ht="28" customHeight="1">
      <x:c r="A17" s="63"/>
      <x:c r="B17" s="86" t="str">
        <x:v>Exposure versus promoted-line dependence</x:v>
      </x:c>
      <x:c r="C17" s="63"/>
      <x:c r="D17" s="63"/>
      <x:c r="E17" s="63"/>
    </x:row>
    <x:row r="18" ht="28" customHeight="1">
      <x:c r="A18" s="63"/>
      <x:c r="B18" s="63"/>
      <x:c r="C18" s="63"/>
      <x:c r="D18" s="63"/>
      <x:c r="E18" s="63"/>
    </x:row>
    <x:row r="19" ht="28" customHeight="1">
      <x:c r="A19" s="63"/>
      <x:c r="B19" s="63"/>
      <x:c r="C19" s="63"/>
      <x:c r="D19" s="63"/>
      <x:c r="E19" s="63"/>
    </x:row>
    <x:row r="20" ht="28" customHeight="1">
      <x:c r="A20" s="63"/>
      <x:c r="B20" s="63"/>
      <x:c r="C20" s="63"/>
      <x:c r="D20" s="63"/>
      <x:c r="E20" s="63"/>
    </x:row>
    <x:row r="21" ht="28" customHeight="1">
      <x:c r="A21" s="63"/>
      <x:c r="B21" s="63"/>
      <x:c r="C21" s="63"/>
      <x:c r="D21" s="63"/>
      <x:c r="E21" s="63"/>
    </x:row>
    <x:row r="22" ht="28" customHeight="1">
      <x:c r="A22" s="63"/>
      <x:c r="B22" s="63"/>
      <x:c r="C22" s="63"/>
      <x:c r="D22" s="63"/>
      <x:c r="E22" s="63"/>
    </x:row>
    <x:row r="23" ht="28" customHeight="1">
      <x:c r="A23" s="63"/>
      <x:c r="B23" s="63"/>
      <x:c r="C23" s="63"/>
      <x:c r="D23" s="63"/>
      <x:c r="E23" s="63"/>
    </x:row>
    <x:row r="24" ht="28" customHeight="1">
      <x:c r="A24" s="63"/>
      <x:c r="B24" s="63"/>
      <x:c r="C24" s="63"/>
      <x:c r="D24" s="63"/>
      <x:c r="E24" s="63"/>
    </x:row>
    <x:row r="25" ht="28" customHeight="1">
      <x:c r="A25" s="63"/>
      <x:c r="B25" s="63"/>
      <x:c r="C25" s="63"/>
      <x:c r="D25" s="63"/>
      <x:c r="E25" s="63"/>
    </x:row>
    <x:row r="26" ht="28" customHeight="1">
      <x:c r="A26" s="63"/>
      <x:c r="B26" s="63"/>
      <x:c r="C26" s="63"/>
      <x:c r="D26" s="63"/>
      <x:c r="E26" s="63"/>
    </x:row>
    <x:row r="27" ht="28" customHeight="1">
      <x:c r="A27" s="63"/>
      <x:c r="B27" s="63"/>
      <x:c r="C27" s="63"/>
      <x:c r="D27" s="63"/>
      <x:c r="E27" s="63"/>
    </x:row>
    <x:row r="28" ht="28" customHeight="1">
      <x:c r="A28" s="63"/>
      <x:c r="B28" s="63"/>
      <x:c r="C28" s="63"/>
      <x:c r="D28" s="63"/>
      <x:c r="E28" s="63"/>
    </x:row>
    <x:row r="29" ht="28" customHeight="1">
      <x:c r="A29" s="63"/>
      <x:c r="B29" s="63"/>
      <x:c r="C29" s="63"/>
      <x:c r="D29" s="63"/>
      <x:c r="E29" s="63"/>
    </x:row>
    <x:row r="30" ht="28" customHeight="1">
      <x:c r="A30" s="63"/>
      <x:c r="B30" s="63"/>
      <x:c r="C30" s="63"/>
      <x:c r="D30" s="63"/>
      <x:c r="E30" s="63"/>
    </x:row>
    <x:row r="31" ht="28" customHeight="1">
      <x:c r="A31" s="63"/>
      <x:c r="B31" s="63"/>
      <x:c r="C31" s="63"/>
      <x:c r="D31" s="63"/>
      <x:c r="E31" s="63"/>
    </x:row>
    <x:row r="32" ht="28" customHeight="1">
      <x:c r="A32" s="63"/>
      <x:c r="B32" s="63"/>
      <x:c r="C32" s="63"/>
      <x:c r="D32" s="63"/>
      <x:c r="E32" s="63"/>
    </x:row>
    <x:row r="33" ht="28" customHeight="1">
      <x:c r="A33" s="63"/>
      <x:c r="B33" s="63"/>
      <x:c r="C33" s="63"/>
      <x:c r="D33" s="63"/>
      <x:c r="E33" s="63"/>
    </x:row>
    <x:row r="34" ht="28" customHeight="1">
      <x:c r="A34" s="63"/>
      <x:c r="B34" s="86" t="str">
        <x:v>Basket values by promotion presence</x:v>
      </x:c>
      <x:c r="C34" s="63"/>
      <x:c r="D34" s="63"/>
      <x:c r="E34" s="63"/>
    </x:row>
    <x:row r="35" ht="28" customHeight="1">
      <x:c r="A35" s="63"/>
      <x:c r="B35" s="63"/>
      <x:c r="C35" s="63"/>
      <x:c r="D35" s="63"/>
      <x:c r="E35" s="63"/>
    </x:row>
    <x:row r="36" ht="28" customHeight="1">
      <x:c r="A36" s="63"/>
      <x:c r="B36" s="63"/>
      <x:c r="C36" s="63"/>
      <x:c r="D36" s="63"/>
      <x:c r="E36" s="63"/>
    </x:row>
    <x:row r="37" ht="28" customHeight="1">
      <x:c r="A37" s="63"/>
      <x:c r="B37" s="63"/>
      <x:c r="C37" s="63"/>
      <x:c r="D37" s="63"/>
      <x:c r="E37" s="63"/>
    </x:row>
    <x:row r="38" ht="28" customHeight="1">
      <x:c r="A38" s="63"/>
      <x:c r="B38" s="63"/>
      <x:c r="C38" s="63"/>
      <x:c r="D38" s="63"/>
      <x:c r="E38" s="63"/>
    </x:row>
    <x:row r="39" ht="28" customHeight="1">
      <x:c r="A39" s="63"/>
      <x:c r="B39" s="63"/>
      <x:c r="C39" s="63"/>
      <x:c r="D39" s="63"/>
      <x:c r="E39" s="63"/>
    </x:row>
    <x:row r="40" ht="28" customHeight="1">
      <x:c r="A40" s="63"/>
      <x:c r="B40" s="63"/>
      <x:c r="C40" s="63"/>
      <x:c r="D40" s="63"/>
      <x:c r="E40" s="63"/>
    </x:row>
    <x:row r="41" ht="28" customHeight="1">
      <x:c r="A41" s="63"/>
      <x:c r="B41" s="63"/>
      <x:c r="C41" s="63"/>
      <x:c r="D41" s="63"/>
      <x:c r="E41" s="63"/>
    </x:row>
    <x:row r="42" ht="28" customHeight="1">
      <x:c r="A42" s="63"/>
      <x:c r="B42" s="63"/>
      <x:c r="C42" s="63"/>
      <x:c r="D42" s="63"/>
      <x:c r="E42" s="63"/>
    </x:row>
    <x:row r="43" ht="28" customHeight="1">
      <x:c r="A43" s="63"/>
      <x:c r="B43" s="63"/>
      <x:c r="C43" s="63"/>
      <x:c r="D43" s="63"/>
      <x:c r="E43" s="63"/>
    </x:row>
    <x:row r="44" ht="28" customHeight="1">
      <x:c r="A44" s="63"/>
      <x:c r="B44" s="63"/>
      <x:c r="C44" s="63"/>
      <x:c r="D44" s="63"/>
      <x:c r="E44" s="63"/>
    </x:row>
    <x:row r="45" ht="28" customHeight="1">
      <x:c r="A45" s="63"/>
      <x:c r="B45" s="63"/>
      <x:c r="C45" s="63"/>
      <x:c r="D45" s="63"/>
      <x:c r="E45" s="63"/>
    </x:row>
    <x:row r="46" ht="28" customHeight="1">
      <x:c r="A46" s="63"/>
      <x:c r="B46" s="63"/>
      <x:c r="C46" s="63"/>
      <x:c r="D46" s="63"/>
      <x:c r="E46" s="63"/>
    </x:row>
    <x:row r="47" ht="28" customHeight="1">
      <x:c r="A47" s="63"/>
      <x:c r="B47" s="63"/>
      <x:c r="C47" s="63"/>
      <x:c r="D47" s="63"/>
      <x:c r="E47" s="63"/>
    </x:row>
    <x:row r="48" ht="28" customHeight="1">
      <x:c r="A48" s="63"/>
      <x:c r="B48" s="63"/>
      <x:c r="C48" s="63"/>
      <x:c r="D48" s="63"/>
      <x:c r="E48" s="63"/>
    </x:row>
    <x:row r="49" ht="28" customHeight="1">
      <x:c r="A49" s="63"/>
      <x:c r="B49" s="63"/>
      <x:c r="C49" s="63"/>
      <x:c r="D49" s="63"/>
      <x:c r="E49" s="63"/>
    </x:row>
    <x:row r="50" ht="28" customHeight="1">
      <x:c r="A50" s="63"/>
      <x:c r="B50" s="63"/>
      <x:c r="C50" s="63"/>
      <x:c r="D50" s="63"/>
      <x:c r="E50" s="63"/>
    </x:row>
    <x:row r="51" ht="28" customHeight="1">
      <x:c r="A51" s="63"/>
      <x:c r="B51" s="66" t="str">
        <x:v>Weighted basket values are descriptive associations. Historical differences do not establish promotion lift or profitability.</x:v>
      </x:c>
      <x:c r="C51" s="93"/>
      <x:c r="D51" s="93"/>
      <x:c r="E51" s="93"/>
    </x:row>
    <x:row r="52" ht="28" customHeight="1">
      <x:c r="A52" s="63"/>
      <x:c r="B52" s="93"/>
      <x:c r="C52" s="93"/>
      <x:c r="D52" s="93"/>
      <x:c r="E52" s="93"/>
    </x:row>
    <x:row r="53" ht="28" customHeight="1">
      <x:c r="A53" s="63"/>
      <x:c r="B53" s="63"/>
      <x:c r="C53" s="63"/>
      <x:c r="D53" s="63"/>
      <x:c r="E53" s="63"/>
    </x:row>
    <x:row r="54" ht="28" customHeight="1">
      <x:c r="A54" s="63"/>
      <x:c r="B54" s="63"/>
      <x:c r="C54" s="63"/>
      <x:c r="D54" s="63"/>
      <x:c r="E54" s="63"/>
    </x:row>
    <x:row r="55" ht="42" customHeight="1">
      <x:c r="A55" s="63"/>
      <x:c r="B55" s="58" t="str">
        <x:v>Consumer segment</x:v>
      </x:c>
      <x:c r="C55" s="58" t="str">
        <x:v>Basket exposure</x:v>
      </x:c>
      <x:c r="D55" s="58" t="str">
        <x:v>Promoted-line share</x:v>
      </x:c>
      <x:c r="E55" s="63"/>
    </x:row>
    <x:row r="56" ht="28" customHeight="1">
      <x:c r="A56" s="63"/>
      <x:c r="B56" s="63" t="str">
        <x:v>High-Value Frequent</x:v>
      </x:c>
      <x:c r="C56" s="83" t="n">
        <x:f>C7</x:f>
        <x:v>0.853736901560486</x:v>
      </x:c>
      <x:c r="D56" s="83" t="n">
        <x:f>C8</x:f>
        <x:v>0.5120689289242389</x:v>
      </x:c>
      <x:c r="E56" s="63"/>
    </x:row>
    <x:row r="57" ht="28" customHeight="1">
      <x:c r="A57" s="63"/>
      <x:c r="B57" s="63" t="str">
        <x:v>Large-Basket Occasional</x:v>
      </x:c>
      <x:c r="C57" s="83" t="n">
        <x:f>D7</x:f>
        <x:v>0.8993945195308882</x:v>
      </x:c>
      <x:c r="D57" s="83" t="n">
        <x:f>D8</x:f>
        <x:v>0.513570346333297</x:v>
      </x:c>
      <x:c r="E57" s="63"/>
    </x:row>
    <x:row r="58" ht="28" customHeight="1">
      <x:c r="A58" s="63"/>
      <x:c r="B58" s="63" t="str">
        <x:v>Low-Value Low-Engagement</x:v>
      </x:c>
      <x:c r="C58" s="83" t="n">
        <x:f>E7</x:f>
        <x:v>0.7469202097321676</x:v>
      </x:c>
      <x:c r="D58" s="83" t="n">
        <x:f>E8</x:f>
        <x:v>0.463473301127781</x:v>
      </x:c>
      <x:c r="E58" s="63"/>
    </x:row>
    <x:row r="59" ht="28" customHeight="1">
      <x:c r="A59" s="63"/>
      <x:c r="B59" s="63"/>
      <x:c r="C59" s="63"/>
      <x:c r="D59" s="63"/>
      <x:c r="E59" s="63"/>
    </x:row>
    <x:row r="60" ht="28" customHeight="1">
      <x:c r="A60" s="63"/>
      <x:c r="B60" s="63"/>
      <x:c r="C60" s="63"/>
      <x:c r="D60" s="63"/>
      <x:c r="E60" s="63"/>
    </x:row>
    <x:row r="61" ht="42" customHeight="1">
      <x:c r="A61" s="63"/>
      <x:c r="B61" s="58" t="str">
        <x:v>Consumer segment</x:v>
      </x:c>
      <x:c r="C61" s="58" t="str">
        <x:v>Contains promotion</x:v>
      </x:c>
      <x:c r="D61" s="58" t="str">
        <x:v>No promotion</x:v>
      </x:c>
      <x:c r="E61" s="63"/>
    </x:row>
    <x:row r="62" ht="28" customHeight="1">
      <x:c r="A62" s="63"/>
      <x:c r="B62" s="63" t="str">
        <x:v>High-Value Frequent</x:v>
      </x:c>
      <x:c r="C62" s="79" t="n">
        <x:f>C9</x:f>
        <x:v>33.62452572779034</x:v>
      </x:c>
      <x:c r="D62" s="79" t="n">
        <x:f>C10</x:f>
        <x:v>9.111047562088821</x:v>
      </x:c>
      <x:c r="E62" s="63"/>
    </x:row>
    <x:row r="63" ht="28" customHeight="1">
      <x:c r="A63" s="63"/>
      <x:c r="B63" s="63" t="str">
        <x:v>Large-Basket Occasional</x:v>
      </x:c>
      <x:c r="C63" s="79" t="n">
        <x:f>D9</x:f>
        <x:v>39.86078651685389</x:v>
      </x:c>
      <x:c r="D63" s="79" t="n">
        <x:f>D10</x:f>
        <x:v>11.200889588663648</x:v>
      </x:c>
      <x:c r="E63" s="63"/>
    </x:row>
    <x:row r="64" ht="28" customHeight="1">
      <x:c r="A64" s="63"/>
      <x:c r="B64" s="63" t="str">
        <x:v>Low-Value Low-Engagement</x:v>
      </x:c>
      <x:c r="C64" s="79" t="n">
        <x:f>E9</x:f>
        <x:v>16.155401559271084</x:v>
      </x:c>
      <x:c r="D64" s="79" t="n">
        <x:f>E10</x:f>
        <x:v>7.146594105417635</x:v>
      </x:c>
      <x:c r="E64" s="63"/>
    </x:row>
  </x:sheetData>
  <x:mergeCells>
    <x:mergeCell ref="B2:E3"/>
    <x:mergeCell ref="B4:E4"/>
    <x:mergeCell ref="B14:E15"/>
    <x:mergeCell ref="B17:E17"/>
    <x:mergeCell ref="B34:E34"/>
    <x:mergeCell ref="B51:E52"/>
  </x:mergeCells>
  <x:pageMargins left="0.7" right="0.7" top="0.75" bottom="0.75" header="0.3" footer="0.3"/>
  <x:drawing xmlns:r="http://schemas.openxmlformats.org/officeDocument/2006/relationships" r:id="R3ea778639e1140d3"/>
</x:worksheet>
</file>

<file path=xl/worksheets/sheet4.xml><?xml version="1.0" encoding="utf-8"?>
<x:worksheet xmlns:x="http://schemas.openxmlformats.org/spreadsheetml/2006/main">
  <x:sheetPr>
    <x:tabColor rgb="FF475B74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6" hidden="0" customWidth="1"/>
    <x:col min="2" max="2" width="23" hidden="0" customWidth="1"/>
    <x:col min="3" max="3" width="23" hidden="0" customWidth="1"/>
    <x:col min="4" max="4" width="18" hidden="0" customWidth="1"/>
    <x:col min="5" max="5" width="18" hidden="0" customWidth="1"/>
    <x:col min="6" max="6" width="15" hidden="0" customWidth="1"/>
  </x:cols>
  <x:sheetData>
    <x:row r="1" ht="28" customHeight="1">
      <x:c r="A1" s="55" t="str">
        <x:v>Business validation</x:v>
      </x:c>
      <x:c r="B1" s="54"/>
      <x:c r="C1" s="54"/>
      <x:c r="D1" s="54"/>
      <x:c r="E1" s="54"/>
      <x:c r="F1" s="54"/>
    </x:row>
    <x:row r="2" ht="28" customHeight="1">
      <x:c r="A2" s="54"/>
      <x:c r="B2" s="54"/>
      <x:c r="C2" s="54"/>
      <x:c r="D2" s="54"/>
      <x:c r="E2" s="54"/>
      <x:c r="F2" s="54"/>
    </x:row>
    <x:row r="3" ht="25" customHeight="1">
      <x:c r="A3" s="56" t="str">
        <x:v>Independent Excel formulas against the supplied SQL/Python control totals. Full dataset, no report filters.</x:v>
      </x:c>
      <x:c r="B3" s="34"/>
      <x:c r="C3" s="34"/>
      <x:c r="D3" s="34"/>
      <x:c r="E3" s="34"/>
      <x:c r="F3" s="34"/>
    </x:row>
    <x:row r="4" ht="25" customHeight="1">
      <x:c r="A4" s="34"/>
      <x:c r="B4" s="34"/>
      <x:c r="C4" s="34"/>
      <x:c r="D4" s="34"/>
      <x:c r="E4" s="34"/>
      <x:c r="F4" s="34"/>
    </x:row>
    <x:row r="5" ht="28" customHeight="1">
      <x:c r="A5" s="40"/>
      <x:c r="B5" s="40"/>
      <x:c r="C5" s="40"/>
      <x:c r="D5" s="40"/>
      <x:c r="E5" s="40"/>
      <x:c r="F5" s="40"/>
    </x:row>
    <x:row r="6" ht="42" customHeight="1">
      <x:c r="A6" s="58" t="str">
        <x:v>Metric</x:v>
      </x:c>
      <x:c r="B6" s="58" t="str">
        <x:v>Excel result</x:v>
      </x:c>
      <x:c r="C6" s="58" t="str">
        <x:v>Source control</x:v>
      </x:c>
      <x:c r="D6" s="58" t="str">
        <x:v>Difference</x:v>
      </x:c>
      <x:c r="E6" s="58" t="str">
        <x:v>Tolerance</x:v>
      </x:c>
      <x:c r="F6" s="58" t="str">
        <x:v>Status</x:v>
      </x:c>
    </x:row>
    <x:row r="7" ht="28" customHeight="1">
      <x:c r="A7" s="40" t="str">
        <x:v>Retailer sales</x:v>
      </x:c>
      <x:c r="B7" s="45" t="n">
        <x:f>SUM(B23:B46)</x:f>
        <x:v>8057443.8</x:v>
      </x:c>
      <x:c r="C7" s="46" t="n">
        <x:v>8057443.8</x:v>
      </x:c>
      <x:c r="D7" s="45" t="n">
        <x:f>B7-C7</x:f>
        <x:v>0</x:v>
      </x:c>
      <x:c r="E7" s="47" t="n">
        <x:v>0.01</x:v>
      </x:c>
      <x:c r="F7" s="48" t="str">
        <x:f>IF(ABS(D7)&lt;=E7,"PASS","FAIL")</x:f>
        <x:v>PASS</x:v>
      </x:c>
    </x:row>
    <x:row r="8" ht="28" customHeight="1">
      <x:c r="A8" s="40" t="str">
        <x:v>Customers</x:v>
      </x:c>
      <x:c r="B8" s="49" t="n">
        <x:f>COUNTA('02_Segment_Summary'!$A$20:$A$2519)</x:f>
        <x:v>2500</x:v>
      </x:c>
      <x:c r="C8" s="50" t="n">
        <x:v>2500</x:v>
      </x:c>
      <x:c r="D8" s="49" t="n">
        <x:f>B8-C8</x:f>
        <x:v>0</x:v>
      </x:c>
      <x:c r="E8" s="47" t="n">
        <x:v>0</x:v>
      </x:c>
      <x:c r="F8" s="48" t="str">
        <x:f>IF(ABS(D8)&lt;=E8,"PASS","FAIL")</x:f>
        <x:v>PASS</x:v>
      </x:c>
    </x:row>
    <x:row r="9" ht="28" customHeight="1">
      <x:c r="A9" s="40" t="str">
        <x:v>Transactions</x:v>
      </x:c>
      <x:c r="B9" s="49" t="n">
        <x:f>SUM(C23:C46)</x:f>
        <x:v>275889</x:v>
      </x:c>
      <x:c r="C9" s="50" t="n">
        <x:v>275889</x:v>
      </x:c>
      <x:c r="D9" s="49" t="n">
        <x:f>B9-C9</x:f>
        <x:v>0</x:v>
      </x:c>
      <x:c r="E9" s="47" t="n">
        <x:v>0</x:v>
      </x:c>
      <x:c r="F9" s="48" t="str">
        <x:f>IF(ABS(D9)&lt;=E9,"PASS","FAIL")</x:f>
        <x:v>PASS</x:v>
      </x:c>
    </x:row>
    <x:row r="10" ht="28" customHeight="1">
      <x:c r="A10" s="40" t="str">
        <x:v>Weighted basket value</x:v>
      </x:c>
      <x:c r="B10" s="45" t="n">
        <x:f>B7/B9</x:f>
        <x:v>29.20538259952372</x:v>
      </x:c>
      <x:c r="C10" s="46" t="n">
        <x:v>29.20538259952372</x:v>
      </x:c>
      <x:c r="D10" s="45" t="n">
        <x:f>B10-C10</x:f>
        <x:v>0</x:v>
      </x:c>
      <x:c r="E10" s="47" t="n">
        <x:v>0.000001</x:v>
      </x:c>
      <x:c r="F10" s="48" t="str">
        <x:f>IF(ABS(D10)&lt;=E10,"PASS","FAIL")</x:f>
        <x:v>PASS</x:v>
      </x:c>
    </x:row>
    <x:row r="11" ht="28" customHeight="1">
      <x:c r="A11" s="40" t="str">
        <x:v>Promoted-line sales</x:v>
      </x:c>
      <x:c r="B11" s="45" t="n">
        <x:f>SUM(D23:D46)</x:f>
        <x:v>4108958.96</x:v>
      </x:c>
      <x:c r="C11" s="46" t="n">
        <x:v>4108958.96</x:v>
      </x:c>
      <x:c r="D11" s="45" t="n">
        <x:f>B11-C11</x:f>
        <x:v>0</x:v>
      </x:c>
      <x:c r="E11" s="47" t="n">
        <x:v>0.01</x:v>
      </x:c>
      <x:c r="F11" s="48" t="str">
        <x:f>IF(ABS(D11)&lt;=E11,"PASS","FAIL")</x:f>
        <x:v>PASS</x:v>
      </x:c>
    </x:row>
    <x:row r="12" ht="28" customHeight="1">
      <x:c r="A12" s="40" t="str">
        <x:v>Promotion sales share</x:v>
      </x:c>
      <x:c r="B12" s="51" t="n">
        <x:f>B11/B7</x:f>
        <x:v>0.5099581284079201</x:v>
      </x:c>
      <x:c r="C12" s="52" t="n">
        <x:v>0.5099581284079201</x:v>
      </x:c>
      <x:c r="D12" s="51" t="n">
        <x:f>B12-C12</x:f>
        <x:v>0</x:v>
      </x:c>
      <x:c r="E12" s="47" t="n">
        <x:v>0.000001</x:v>
      </x:c>
      <x:c r="F12" s="48" t="str">
        <x:f>IF(ABS(D12)&lt;=E12,"PASS","FAIL")</x:f>
        <x:v>PASS</x:v>
      </x:c>
    </x:row>
    <x:row r="13" ht="28" customHeight="1">
      <x:c r="A13" s="40" t="str">
        <x:v>Distinct observed months</x:v>
      </x:c>
      <x:c r="B13" s="49" t="n">
        <x:f>COUNTA(A23:A46)</x:f>
        <x:v>24</x:v>
      </x:c>
      <x:c r="C13" s="50" t="n">
        <x:v>24</x:v>
      </x:c>
      <x:c r="D13" s="49" t="n">
        <x:f>B13-C13</x:f>
        <x:v>0</x:v>
      </x:c>
      <x:c r="E13" s="47" t="n">
        <x:v>0</x:v>
      </x:c>
      <x:c r="F13" s="48" t="str">
        <x:f>IF(ABS(D13)&lt;=E13,"PASS","FAIL")</x:f>
        <x:v>PASS</x:v>
      </x:c>
    </x:row>
    <x:row r="14" ht="28" customHeight="1">
      <x:c r="A14" s="40"/>
      <x:c r="B14" s="40"/>
      <x:c r="C14" s="40"/>
      <x:c r="D14" s="40"/>
      <x:c r="E14" s="40"/>
      <x:c r="F14" s="40"/>
    </x:row>
    <x:row r="15" ht="25" customHeight="1">
      <x:c r="A15" s="59" t="str">
        <x:v>Blue values are source inputs or independent controls. Black formulas recalculate in Excel. Power BI engine execution is a separate Desktop acceptance step.</x:v>
      </x:c>
      <x:c r="B15" s="40"/>
      <x:c r="C15" s="40"/>
      <x:c r="D15" s="40"/>
      <x:c r="E15" s="40"/>
      <x:c r="F15" s="40"/>
    </x:row>
    <x:row r="16" ht="25" customHeight="1">
      <x:c r="A16" s="59"/>
      <x:c r="B16" s="40"/>
      <x:c r="C16" s="40"/>
      <x:c r="D16" s="40"/>
      <x:c r="E16" s="40"/>
      <x:c r="F16" s="40"/>
    </x:row>
    <x:row r="17" ht="28" customHeight="1">
      <x:c r="A17" s="40"/>
      <x:c r="B17" s="40"/>
      <x:c r="C17" s="40"/>
      <x:c r="D17" s="40"/>
      <x:c r="E17" s="40"/>
      <x:c r="F17" s="40"/>
    </x:row>
    <x:row r="18" ht="25" customHeight="1">
      <x:c r="A18" s="59" t="str">
        <x:v>Sales represent retailer receipts. The time axis is relative: Day 1 maps to 2000-01-01. Month 24 includes only 11 observed days.</x:v>
      </x:c>
      <x:c r="B18" s="40"/>
      <x:c r="C18" s="40"/>
      <x:c r="D18" s="40"/>
      <x:c r="E18" s="40"/>
      <x:c r="F18" s="40"/>
    </x:row>
    <x:row r="19" ht="25" customHeight="1">
      <x:c r="A19" s="59"/>
      <x:c r="B19" s="40"/>
      <x:c r="C19" s="40"/>
      <x:c r="D19" s="40"/>
      <x:c r="E19" s="40"/>
      <x:c r="F19" s="40"/>
    </x:row>
    <x:row r="20" ht="25" customHeight="1">
      <x:c r="A20" s="59"/>
      <x:c r="B20" s="40"/>
      <x:c r="C20" s="40"/>
      <x:c r="D20" s="40"/>
      <x:c r="E20" s="40"/>
      <x:c r="F20" s="40"/>
    </x:row>
    <x:row r="21" ht="28" customHeight="1">
      <x:c r="A21" s="40"/>
      <x:c r="B21" s="40"/>
      <x:c r="C21" s="40"/>
      <x:c r="D21" s="40"/>
      <x:c r="E21" s="40"/>
      <x:c r="F21" s="40"/>
    </x:row>
    <x:row r="22" ht="42" customHeight="1">
      <x:c r="A22" s="58" t="str">
        <x:v>Relative month</x:v>
      </x:c>
      <x:c r="B22" s="58" t="str">
        <x:v>Retailer sales</x:v>
      </x:c>
      <x:c r="C22" s="58" t="str">
        <x:v>Baskets</x:v>
      </x:c>
      <x:c r="D22" s="58" t="str">
        <x:v>Promoted-line sales</x:v>
      </x:c>
      <x:c r="E22" s="58" t="str">
        <x:v>Active customers</x:v>
      </x:c>
      <x:c r="F22" s="58" t="str"/>
    </x:row>
    <x:row r="23" ht="28" customHeight="1">
      <x:c r="A23" s="40" t="str">
        <x:v>Month 01</x:v>
      </x:c>
      <x:c r="B23" s="46" t="n">
        <x:v>58180.82</x:v>
      </x:c>
      <x:c r="C23" s="50" t="n">
        <x:v>1996</x:v>
      </x:c>
      <x:c r="D23" s="46" t="n">
        <x:v>28454.36</x:v>
      </x:c>
      <x:c r="E23" s="53" t="n">
        <x:v>538</x:v>
      </x:c>
      <x:c r="F23" s="40"/>
    </x:row>
    <x:row r="24" ht="28" customHeight="1">
      <x:c r="A24" s="40" t="str">
        <x:v>Month 02</x:v>
      </x:c>
      <x:c r="B24" s="46" t="n">
        <x:v>118323.23</x:v>
      </x:c>
      <x:c r="C24" s="50" t="n">
        <x:v>4172</x:v>
      </x:c>
      <x:c r="D24" s="46" t="n">
        <x:v>56932.3</x:v>
      </x:c>
      <x:c r="E24" s="53" t="n">
        <x:v>969</x:v>
      </x:c>
      <x:c r="F24" s="40"/>
    </x:row>
    <x:row r="25" ht="28" customHeight="1">
      <x:c r="A25" s="40" t="str">
        <x:v>Month 03</x:v>
      </x:c>
      <x:c r="B25" s="46" t="n">
        <x:v>223466.82</x:v>
      </x:c>
      <x:c r="C25" s="50" t="n">
        <x:v>8326</x:v>
      </x:c>
      <x:c r="D25" s="46" t="n">
        <x:v>111903.17</x:v>
      </x:c>
      <x:c r="E25" s="53" t="n">
        <x:v>1589</x:v>
      </x:c>
      <x:c r="F25" s="40"/>
    </x:row>
    <x:row r="26" ht="28" customHeight="1">
      <x:c r="A26" s="40" t="str">
        <x:v>Month 04</x:v>
      </x:c>
      <x:c r="B26" s="46" t="n">
        <x:v>318432.62</x:v>
      </x:c>
      <x:c r="C26" s="50" t="n">
        <x:v>12042</x:v>
      </x:c>
      <x:c r="D26" s="46" t="n">
        <x:v>162498.46</x:v>
      </x:c>
      <x:c r="E26" s="53" t="n">
        <x:v>2135</x:v>
      </x:c>
      <x:c r="F26" s="40"/>
    </x:row>
    <x:row r="27" ht="28" customHeight="1">
      <x:c r="A27" s="40" t="str">
        <x:v>Month 05</x:v>
      </x:c>
      <x:c r="B27" s="46" t="n">
        <x:v>358502.68</x:v>
      </x:c>
      <x:c r="C27" s="50" t="n">
        <x:v>13570</x:v>
      </x:c>
      <x:c r="D27" s="46" t="n">
        <x:v>179938.11</x:v>
      </x:c>
      <x:c r="E27" s="53" t="n">
        <x:v>2009</x:v>
      </x:c>
      <x:c r="F27" s="40"/>
    </x:row>
    <x:row r="28" ht="28" customHeight="1">
      <x:c r="A28" s="40" t="str">
        <x:v>Month 06</x:v>
      </x:c>
      <x:c r="B28" s="46" t="n">
        <x:v>352339.19</x:v>
      </x:c>
      <x:c r="C28" s="50" t="n">
        <x:v>12731</x:v>
      </x:c>
      <x:c r="D28" s="46" t="n">
        <x:v>179007.97</x:v>
      </x:c>
      <x:c r="E28" s="53" t="n">
        <x:v>2001</x:v>
      </x:c>
      <x:c r="F28" s="40"/>
    </x:row>
    <x:row r="29" ht="28" customHeight="1">
      <x:c r="A29" s="40" t="str">
        <x:v>Month 07</x:v>
      </x:c>
      <x:c r="B29" s="46" t="n">
        <x:v>359492.56</x:v>
      </x:c>
      <x:c r="C29" s="50" t="n">
        <x:v>12677</x:v>
      </x:c>
      <x:c r="D29" s="46" t="n">
        <x:v>182447.36</x:v>
      </x:c>
      <x:c r="E29" s="53" t="n">
        <x:v>1992</x:v>
      </x:c>
      <x:c r="F29" s="40"/>
    </x:row>
    <x:row r="30" ht="28" customHeight="1">
      <x:c r="A30" s="40" t="str">
        <x:v>Month 08</x:v>
      </x:c>
      <x:c r="B30" s="46" t="n">
        <x:v>367587.92</x:v>
      </x:c>
      <x:c r="C30" s="50" t="n">
        <x:v>12904</x:v>
      </x:c>
      <x:c r="D30" s="46" t="n">
        <x:v>190996.68</x:v>
      </x:c>
      <x:c r="E30" s="53" t="n">
        <x:v>2025</x:v>
      </x:c>
      <x:c r="F30" s="40"/>
    </x:row>
    <x:row r="31" ht="28" customHeight="1">
      <x:c r="A31" s="40" t="str">
        <x:v>Month 09</x:v>
      </x:c>
      <x:c r="B31" s="46" t="n">
        <x:v>368469.36</x:v>
      </x:c>
      <x:c r="C31" s="50" t="n">
        <x:v>12550</x:v>
      </x:c>
      <x:c r="D31" s="46" t="n">
        <x:v>187426.15</x:v>
      </x:c>
      <x:c r="E31" s="53" t="n">
        <x:v>2009</x:v>
      </x:c>
      <x:c r="F31" s="40"/>
    </x:row>
    <x:row r="32" ht="28" customHeight="1">
      <x:c r="A32" s="40" t="str">
        <x:v>Month 10</x:v>
      </x:c>
      <x:c r="B32" s="46" t="n">
        <x:v>380093.35</x:v>
      </x:c>
      <x:c r="C32" s="50" t="n">
        <x:v>12715</x:v>
      </x:c>
      <x:c r="D32" s="46" t="n">
        <x:v>186521.46</x:v>
      </x:c>
      <x:c r="E32" s="53" t="n">
        <x:v>2020</x:v>
      </x:c>
      <x:c r="F32" s="40"/>
    </x:row>
    <x:row r="33" ht="28" customHeight="1">
      <x:c r="A33" s="40" t="str">
        <x:v>Month 11</x:v>
      </x:c>
      <x:c r="B33" s="46" t="n">
        <x:v>373255.19</x:v>
      </x:c>
      <x:c r="C33" s="50" t="n">
        <x:v>12625</x:v>
      </x:c>
      <x:c r="D33" s="46" t="n">
        <x:v>178152.94</x:v>
      </x:c>
      <x:c r="E33" s="53" t="n">
        <x:v>1981</x:v>
      </x:c>
      <x:c r="F33" s="40"/>
    </x:row>
    <x:row r="34" ht="28" customHeight="1">
      <x:c r="A34" s="40" t="str">
        <x:v>Month 12</x:v>
      </x:c>
      <x:c r="B34" s="46" t="n">
        <x:v>376958.72</x:v>
      </x:c>
      <x:c r="C34" s="50" t="n">
        <x:v>12923</x:v>
      </x:c>
      <x:c r="D34" s="46" t="n">
        <x:v>195031.85</x:v>
      </x:c>
      <x:c r="E34" s="53" t="n">
        <x:v>1997</x:v>
      </x:c>
      <x:c r="F34" s="40"/>
    </x:row>
    <x:row r="35" ht="28" customHeight="1">
      <x:c r="A35" s="40" t="str">
        <x:v>Month 13</x:v>
      </x:c>
      <x:c r="B35" s="46" t="n">
        <x:v>387963.24</x:v>
      </x:c>
      <x:c r="C35" s="50" t="n">
        <x:v>13140</x:v>
      </x:c>
      <x:c r="D35" s="46" t="n">
        <x:v>203560.99</x:v>
      </x:c>
      <x:c r="E35" s="53" t="n">
        <x:v>2017</x:v>
      </x:c>
      <x:c r="F35" s="40"/>
    </x:row>
    <x:row r="36" ht="28" customHeight="1">
      <x:c r="A36" s="40" t="str">
        <x:v>Month 14</x:v>
      </x:c>
      <x:c r="B36" s="46" t="n">
        <x:v>361967.73</x:v>
      </x:c>
      <x:c r="C36" s="50" t="n">
        <x:v>12209</x:v>
      </x:c>
      <x:c r="D36" s="46" t="n">
        <x:v>183739.95</x:v>
      </x:c>
      <x:c r="E36" s="53" t="n">
        <x:v>2033</x:v>
      </x:c>
      <x:c r="F36" s="40"/>
    </x:row>
    <x:row r="37" ht="28" customHeight="1">
      <x:c r="A37" s="40" t="str">
        <x:v>Month 15</x:v>
      </x:c>
      <x:c r="B37" s="46" t="n">
        <x:v>390449.7</x:v>
      </x:c>
      <x:c r="C37" s="50" t="n">
        <x:v>13452</x:v>
      </x:c>
      <x:c r="D37" s="46" t="n">
        <x:v>201012.63</x:v>
      </x:c>
      <x:c r="E37" s="53" t="n">
        <x:v>2037</x:v>
      </x:c>
      <x:c r="F37" s="40"/>
    </x:row>
    <x:row r="38" ht="28" customHeight="1">
      <x:c r="A38" s="40" t="str">
        <x:v>Month 16</x:v>
      </x:c>
      <x:c r="B38" s="46" t="n">
        <x:v>376347.43</x:v>
      </x:c>
      <x:c r="C38" s="50" t="n">
        <x:v>13128</x:v>
      </x:c>
      <x:c r="D38" s="46" t="n">
        <x:v>195747.06</x:v>
      </x:c>
      <x:c r="E38" s="53" t="n">
        <x:v>2037</x:v>
      </x:c>
      <x:c r="F38" s="40"/>
    </x:row>
    <x:row r="39" ht="28" customHeight="1">
      <x:c r="A39" s="40" t="str">
        <x:v>Month 17</x:v>
      </x:c>
      <x:c r="B39" s="46" t="n">
        <x:v>395783.89</x:v>
      </x:c>
      <x:c r="C39" s="50" t="n">
        <x:v>13637</x:v>
      </x:c>
      <x:c r="D39" s="46" t="n">
        <x:v>200952.94</x:v>
      </x:c>
      <x:c r="E39" s="53" t="n">
        <x:v>2056</x:v>
      </x:c>
      <x:c r="F39" s="40"/>
    </x:row>
    <x:row r="40" ht="28" customHeight="1">
      <x:c r="A40" s="40" t="str">
        <x:v>Month 18</x:v>
      </x:c>
      <x:c r="B40" s="46" t="n">
        <x:v>367383.5</x:v>
      </x:c>
      <x:c r="C40" s="50" t="n">
        <x:v>12538</x:v>
      </x:c>
      <x:c r="D40" s="46" t="n">
        <x:v>192805.21</x:v>
      </x:c>
      <x:c r="E40" s="53" t="n">
        <x:v>2020</x:v>
      </x:c>
      <x:c r="F40" s="40"/>
    </x:row>
    <x:row r="41" ht="28" customHeight="1">
      <x:c r="A41" s="40" t="str">
        <x:v>Month 19</x:v>
      </x:c>
      <x:c r="B41" s="46" t="n">
        <x:v>375934.15</x:v>
      </x:c>
      <x:c r="C41" s="50" t="n">
        <x:v>13156</x:v>
      </x:c>
      <x:c r="D41" s="46" t="n">
        <x:v>192957.86</x:v>
      </x:c>
      <x:c r="E41" s="53" t="n">
        <x:v>2038</x:v>
      </x:c>
      <x:c r="F41" s="40"/>
    </x:row>
    <x:row r="42" ht="28" customHeight="1">
      <x:c r="A42" s="40" t="str">
        <x:v>Month 20</x:v>
      </x:c>
      <x:c r="B42" s="46" t="n">
        <x:v>411643.19</x:v>
      </x:c>
      <x:c r="C42" s="50" t="n">
        <x:v>13380</x:v>
      </x:c>
      <x:c r="D42" s="46" t="n">
        <x:v>221459.2</x:v>
      </x:c>
      <x:c r="E42" s="53" t="n">
        <x:v>2087</x:v>
      </x:c>
      <x:c r="F42" s="40"/>
    </x:row>
    <x:row r="43" ht="28" customHeight="1">
      <x:c r="A43" s="40" t="str">
        <x:v>Month 21</x:v>
      </x:c>
      <x:c r="B43" s="46" t="n">
        <x:v>382915.28</x:v>
      </x:c>
      <x:c r="C43" s="50" t="n">
        <x:v>12545</x:v>
      </x:c>
      <x:c r="D43" s="46" t="n">
        <x:v>201725.38</x:v>
      </x:c>
      <x:c r="E43" s="53" t="n">
        <x:v>2028</x:v>
      </x:c>
      <x:c r="F43" s="40"/>
    </x:row>
    <x:row r="44" ht="28" customHeight="1">
      <x:c r="A44" s="40" t="str">
        <x:v>Month 22</x:v>
      </x:c>
      <x:c r="B44" s="46" t="n">
        <x:v>413362.04</x:v>
      </x:c>
      <x:c r="C44" s="50" t="n">
        <x:v>12854</x:v>
      </x:c>
      <x:c r="D44" s="46" t="n">
        <x:v>207906.53</x:v>
      </x:c>
      <x:c r="E44" s="53" t="n">
        <x:v>2073</x:v>
      </x:c>
      <x:c r="F44" s="40"/>
    </x:row>
    <x:row r="45" ht="28" customHeight="1">
      <x:c r="A45" s="40" t="str">
        <x:v>Month 23</x:v>
      </x:c>
      <x:c r="B45" s="46" t="n">
        <x:v>402312.81</x:v>
      </x:c>
      <x:c r="C45" s="50" t="n">
        <x:v>12255</x:v>
      </x:c>
      <x:c r="D45" s="46" t="n">
        <x:v>199023.74</x:v>
      </x:c>
      <x:c r="E45" s="53" t="n">
        <x:v>2043</x:v>
      </x:c>
      <x:c r="F45" s="40"/>
    </x:row>
    <x:row r="46" ht="28" customHeight="1">
      <x:c r="A46" s="40" t="str">
        <x:v>Month 24</x:v>
      </x:c>
      <x:c r="B46" s="46" t="n">
        <x:v>136278.38</x:v>
      </x:c>
      <x:c r="C46" s="50" t="n">
        <x:v>4364</x:v>
      </x:c>
      <x:c r="D46" s="46" t="n">
        <x:v>68756.66</x:v>
      </x:c>
      <x:c r="E46" s="53" t="n">
        <x:v>1564</x:v>
      </x:c>
      <x:c r="F46" s="40"/>
    </x:row>
  </x:sheetData>
  <x:mergeCells>
    <x:mergeCell ref="A1:F2"/>
    <x:mergeCell ref="A3:F4"/>
    <x:mergeCell ref="A15:F16"/>
    <x:mergeCell ref="A18:F19"/>
  </x:mergeCells>
  <x:conditionalFormatting sqref="F7:F13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475B74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5" hidden="0" customWidth="1"/>
    <x:col min="2" max="2" width="18" hidden="0" customWidth="1"/>
    <x:col min="3" max="3" width="4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 ht="28" customHeight="1">
      <x:c r="A1" s="55" t="str">
        <x:v>Consumer segments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</x:row>
    <x:row r="2" ht="28" customHeight="1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</x:row>
    <x:row r="3" ht="25" customHeight="1">
      <x:c r="A3" s="56" t="str">
        <x:v>Customer profiles are means across customers. Weighted basket value is total sales divided by total baskets.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40"/>
      <x:c r="M3" s="40"/>
      <x:c r="N3" s="40"/>
      <x:c r="O3" s="40"/>
      <x:c r="P3" s="40"/>
    </x:row>
    <x:row r="4" ht="25" customHeight="1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40"/>
      <x:c r="M4" s="40"/>
      <x:c r="N4" s="40"/>
      <x:c r="O4" s="40"/>
      <x:c r="P4" s="40"/>
    </x:row>
    <x:row r="5" ht="28" customHeight="1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</x:row>
    <x:row r="6" ht="42" customHeight="1">
      <x:c r="A6" s="58" t="str">
        <x:v>ID</x:v>
      </x:c>
      <x:c r="B6" s="58" t="str">
        <x:v>Customers</x:v>
      </x:c>
      <x:c r="C6" s="58" t="str">
        <x:v>Segment</x:v>
      </x:c>
      <x:c r="D6" s="58" t="str">
        <x:v>Sales</x:v>
      </x:c>
      <x:c r="E6" s="58" t="str">
        <x:v>Revenue share</x:v>
      </x:c>
      <x:c r="F6" s="58" t="str">
        <x:v>Mean spend</x:v>
      </x:c>
      <x:c r="G6" s="58" t="str">
        <x:v>Visits / active mo.</x:v>
      </x:c>
      <x:c r="H6" s="58" t="str">
        <x:v>Recency (days)</x:v>
      </x:c>
      <x:c r="I6" s="58" t="str">
        <x:v>Mean customer basket</x:v>
      </x:c>
      <x:c r="J6" s="58" t="str">
        <x:v>Weighted basket</x:v>
      </x:c>
      <x:c r="K6" s="58" t="str">
        <x:v>Count check</x:v>
      </x:c>
      <x:c r="L6" s="40"/>
      <x:c r="M6" s="40"/>
      <x:c r="N6" s="40"/>
      <x:c r="O6" s="40"/>
      <x:c r="P6" s="40"/>
    </x:row>
    <x:row r="7" ht="46" customHeight="1">
      <x:c r="A7" s="53" t="n">
        <x:v>1</x:v>
      </x:c>
      <x:c r="B7" s="48" t="n">
        <x:f>COUNTIFS($B$20:$B$2519,A7)</x:f>
        <x:v>1007</x:v>
      </x:c>
      <x:c r="C7" s="40" t="str">
        <x:v>High-Value Frequent Shoppers</x:v>
      </x:c>
      <x:c r="D7" s="45" t="n">
        <x:f>SUMIFS($D$20:$D$2519,$B$20:$B$2519,A7)</x:f>
        <x:v>5923641.650000003</x:v>
      </x:c>
      <x:c r="E7" s="51" t="n">
        <x:f>D7/'01_KPI_Check'!$B$7</x:f>
        <x:v>0.7351762912699439</x:v>
      </x:c>
      <x:c r="F7" s="45" t="n">
        <x:f>AVERAGEIFS($D$20:$D$2519,$B$20:$B$2519,A7)</x:f>
        <x:v>5882.464399205564</x:v>
      </x:c>
      <x:c r="G7" s="45" t="n">
        <x:f>AVERAGEIFS($F$20:$F$2519,$B$20:$B$2519,A7)</x:f>
        <x:v>9.167627052187717</x:v>
      </x:c>
      <x:c r="H7" s="45" t="n">
        <x:f>AVERAGEIFS($G$20:$G$2519,$B$20:$B$2519,A7)</x:f>
        <x:v>5.322740814299901</x:v>
      </x:c>
      <x:c r="I7" s="45" t="n">
        <x:f>AVERAGEIFS($H$20:$H$2519,$B$20:$B$2519,A7)</x:f>
        <x:v>33.22193856806031</x:v>
      </x:c>
      <x:c r="J7" s="45" t="n">
        <x:f>D7/SUMIFS($E$20:$E$2519,$B$20:$B$2519,A7)</x:f>
        <x:v>29.717613667718535</x:v>
      </x:c>
      <x:c r="K7" s="48" t="str">
        <x:f>IF(B7=B13,"PASS","FAIL")</x:f>
        <x:v>PASS</x:v>
      </x:c>
      <x:c r="L7" s="40"/>
      <x:c r="M7" s="40"/>
      <x:c r="N7" s="40"/>
      <x:c r="O7" s="40"/>
      <x:c r="P7" s="40"/>
    </x:row>
    <x:row r="8" ht="46" customHeight="1">
      <x:c r="A8" s="53" t="n">
        <x:v>2</x:v>
      </x:c>
      <x:c r="B8" s="48" t="n">
        <x:f>COUNTIFS($B$20:$B$2519,A8)</x:f>
        <x:v>902</x:v>
      </x:c>
      <x:c r="C8" s="40" t="str">
        <x:v>Large-Basket Occasional Shoppers</x:v>
      </x:c>
      <x:c r="D8" s="45" t="n">
        <x:f>SUMIFS($D$20:$D$2519,$B$20:$B$2519,A8)</x:f>
        <x:v>1731383.6400000001</x:v>
      </x:c>
      <x:c r="E8" s="51" t="n">
        <x:f>D8/'01_KPI_Check'!$B$7</x:f>
        <x:v>0.21488001442839727</x:v>
      </x:c>
      <x:c r="F8" s="45" t="n">
        <x:f>AVERAGEIFS($D$20:$D$2519,$B$20:$B$2519,A8)</x:f>
        <x:v>1919.4940576496676</x:v>
      </x:c>
      <x:c r="G8" s="45" t="n">
        <x:f>AVERAGEIFS($F$20:$F$2519,$B$20:$B$2519,A8)</x:f>
        <x:v>2.943147023377136</x:v>
      </x:c>
      <x:c r="H8" s="45" t="n">
        <x:f>AVERAGEIFS($G$20:$G$2519,$B$20:$B$2519,A8)</x:f>
        <x:v>30.235033259423503</x:v>
      </x:c>
      <x:c r="I8" s="45" t="n">
        <x:f>AVERAGEIFS($H$20:$H$2519,$B$20:$B$2519,A8)</x:f>
        <x:v>40.07036233589194</x:v>
      </x:c>
      <x:c r="J8" s="45" t="n">
        <x:f>D8/SUMIFS($E$20:$E$2519,$B$20:$B$2519,A8)</x:f>
        <x:v>36.76832466181062</x:v>
      </x:c>
      <x:c r="K8" s="48" t="str">
        <x:f>IF(B8=B14,"PASS","FAIL")</x:f>
        <x:v>PASS</x:v>
      </x:c>
      <x:c r="L8" s="40"/>
      <x:c r="M8" s="40"/>
      <x:c r="N8" s="40"/>
      <x:c r="O8" s="40"/>
      <x:c r="P8" s="40"/>
    </x:row>
    <x:row r="9" ht="46" customHeight="1">
      <x:c r="A9" s="53" t="n">
        <x:v>3</x:v>
      </x:c>
      <x:c r="B9" s="48" t="n">
        <x:f>COUNTIFS($B$20:$B$2519,A9)</x:f>
        <x:v>591</x:v>
      </x:c>
      <x:c r="C9" s="40" t="str">
        <x:v>Low-Value Low-Engagement Shoppers</x:v>
      </x:c>
      <x:c r="D9" s="45" t="n">
        <x:f>SUMIFS($D$20:$D$2519,$B$20:$B$2519,A9)</x:f>
        <x:v>402418.50999999995</x:v>
      </x:c>
      <x:c r="E9" s="51" t="n">
        <x:f>D9/'01_KPI_Check'!$B$7</x:f>
        <x:v>0.049943694301659285</x:v>
      </x:c>
      <x:c r="F9" s="45" t="n">
        <x:f>AVERAGEIFS($D$20:$D$2519,$B$20:$B$2519,A9)</x:f>
        <x:v>680.9111844331641</x:v>
      </x:c>
      <x:c r="G9" s="45" t="n">
        <x:f>AVERAGEIFS($F$20:$F$2519,$B$20:$B$2519,A9)</x:f>
        <x:v>3.1438566080574284</x:v>
      </x:c>
      <x:c r="H9" s="45" t="n">
        <x:f>AVERAGEIFS($G$20:$G$2519,$B$20:$B$2519,A9)</x:f>
        <x:v>52.974619289340104</x:v>
      </x:c>
      <x:c r="I9" s="45" t="n">
        <x:f>AVERAGEIFS($H$20:$H$2519,$B$20:$B$2519,A9)</x:f>
        <x:v>16.28970794765794</x:v>
      </x:c>
      <x:c r="J9" s="45" t="n">
        <x:f>D9/SUMIFS($E$20:$E$2519,$B$20:$B$2519,A9)</x:f>
        <x:v>13.655655434524414</x:v>
      </x:c>
      <x:c r="K9" s="48" t="str">
        <x:f>IF(B9=B15,"PASS","FAIL")</x:f>
        <x:v>PASS</x:v>
      </x:c>
      <x:c r="L9" s="40"/>
      <x:c r="M9" s="40"/>
      <x:c r="N9" s="40"/>
      <x:c r="O9" s="40"/>
      <x:c r="P9" s="40"/>
    </x:row>
    <x:row r="10" ht="28" customHeight="1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</x:row>
    <x:row r="11" ht="28" customHeight="1">
      <x:c r="A11" s="40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</x:row>
    <x:row r="12" ht="42" customHeight="1">
      <x:c r="A12" s="58" t="str">
        <x:v>ID</x:v>
      </x:c>
      <x:c r="B12" s="58" t="str">
        <x:v>SQL customers</x:v>
      </x:c>
      <x:c r="C12" s="58" t="str">
        <x:v>Segment</x:v>
      </x:c>
      <x:c r="D12" s="58" t="str">
        <x:v>SQL sales</x:v>
      </x:c>
      <x:c r="E12" s="58" t="str">
        <x:v>Sales difference</x:v>
      </x:c>
      <x:c r="F12" s="58" t="str">
        <x:v>Sales check</x:v>
      </x:c>
      <x:c r="G12" s="58" t="str">
        <x:v>SQL mean basket</x:v>
      </x:c>
      <x:c r="H12" s="58" t="str">
        <x:v>Basket difference</x:v>
      </x:c>
      <x:c r="I12" s="58" t="str">
        <x:v>Basket check</x:v>
      </x:c>
      <x:c r="J12" s="58" t="str">
        <x:v>SQL revenue share</x:v>
      </x:c>
      <x:c r="K12" s="58" t="str">
        <x:v>Share check</x:v>
      </x:c>
      <x:c r="L12" s="40"/>
      <x:c r="M12" s="40"/>
      <x:c r="N12" s="40"/>
      <x:c r="O12" s="40"/>
      <x:c r="P12" s="40"/>
    </x:row>
    <x:row r="13" ht="46" customHeight="1">
      <x:c r="A13" s="53" t="n">
        <x:v>1</x:v>
      </x:c>
      <x:c r="B13" s="53" t="n">
        <x:v>1007</x:v>
      </x:c>
      <x:c r="C13" s="40" t="str">
        <x:v>High-Value Frequent Shoppers</x:v>
      </x:c>
      <x:c r="D13" s="46" t="n">
        <x:v>5923641.65</x:v>
      </x:c>
      <x:c r="E13" s="45" t="n">
        <x:f>D7-D13</x:f>
        <x:v>2.7939677238464355e-9</x:v>
      </x:c>
      <x:c r="F13" s="45" t="str">
        <x:f>IF(ABS(E13)&lt;=0.01,"PASS","FAIL")</x:f>
        <x:v>PASS</x:v>
      </x:c>
      <x:c r="G13" s="46" t="n">
        <x:v>33.22193856806033</x:v>
      </x:c>
      <x:c r="H13" s="45" t="n">
        <x:f>I7-G13</x:f>
        <x:v>-2.1316282072803006e-14</x:v>
      </x:c>
      <x:c r="I13" s="45" t="str">
        <x:f>IF(ABS(H13)&lt;=0.000001,"PASS","FAIL")</x:f>
        <x:v>PASS</x:v>
      </x:c>
      <x:c r="J13" s="52" t="n">
        <x:v>0.7351762912699435</x:v>
      </x:c>
      <x:c r="K13" s="48" t="str">
        <x:f>IF(ABS(E7-J13)&lt;=0.000001,"PASS","FAIL")</x:f>
        <x:v>PASS</x:v>
      </x:c>
      <x:c r="L13" s="40"/>
      <x:c r="M13" s="40"/>
      <x:c r="N13" s="40"/>
      <x:c r="O13" s="40"/>
      <x:c r="P13" s="40"/>
    </x:row>
    <x:row r="14" ht="46" customHeight="1">
      <x:c r="A14" s="53" t="n">
        <x:v>2</x:v>
      </x:c>
      <x:c r="B14" s="53" t="n">
        <x:v>902</x:v>
      </x:c>
      <x:c r="C14" s="40" t="str">
        <x:v>Large-Basket Occasional Shoppers</x:v>
      </x:c>
      <x:c r="D14" s="46" t="n">
        <x:v>1731383.64</x:v>
      </x:c>
      <x:c r="E14" s="45" t="n">
        <x:f>D8-D14</x:f>
        <x:v>2.3283064365386963e-10</x:v>
      </x:c>
      <x:c r="F14" s="45" t="str">
        <x:f>IF(ABS(E14)&lt;=0.01,"PASS","FAIL")</x:f>
        <x:v>PASS</x:v>
      </x:c>
      <x:c r="G14" s="46" t="n">
        <x:v>40.07036233589196</x:v>
      </x:c>
      <x:c r="H14" s="45" t="n">
        <x:f>I8-G14</x:f>
        <x:v>-1.4210854715202004e-14</x:v>
      </x:c>
      <x:c r="I14" s="45" t="str">
        <x:f>IF(ABS(H14)&lt;=0.000001,"PASS","FAIL")</x:f>
        <x:v>PASS</x:v>
      </x:c>
      <x:c r="J14" s="52" t="n">
        <x:v>0.2148800144283972</x:v>
      </x:c>
      <x:c r="K14" s="48" t="str">
        <x:f>IF(ABS(E8-J14)&lt;=0.000001,"PASS","FAIL")</x:f>
        <x:v>PASS</x:v>
      </x:c>
      <x:c r="L14" s="40"/>
      <x:c r="M14" s="40"/>
      <x:c r="N14" s="40"/>
      <x:c r="O14" s="40"/>
      <x:c r="P14" s="40"/>
    </x:row>
    <x:row r="15" ht="46" customHeight="1">
      <x:c r="A15" s="53" t="n">
        <x:v>3</x:v>
      </x:c>
      <x:c r="B15" s="53" t="n">
        <x:v>591</x:v>
      </x:c>
      <x:c r="C15" s="40" t="str">
        <x:v>Low-Value Low-Engagement Shoppers</x:v>
      </x:c>
      <x:c r="D15" s="46" t="n">
        <x:v>402418.51</x:v>
      </x:c>
      <x:c r="E15" s="45" t="n">
        <x:f>D9-D15</x:f>
        <x:v>-5.820766091346741e-11</x:v>
      </x:c>
      <x:c r="F15" s="45" t="str">
        <x:f>IF(ABS(E15)&lt;=0.01,"PASS","FAIL")</x:f>
        <x:v>PASS</x:v>
      </x:c>
      <x:c r="G15" s="46" t="n">
        <x:v>16.289707947657938</x:v>
      </x:c>
      <x:c r="H15" s="45" t="n">
        <x:f>I9-G15</x:f>
        <x:v>3.552713678800501e-15</x:v>
      </x:c>
      <x:c r="I15" s="45" t="str">
        <x:f>IF(ABS(H15)&lt;=0.000001,"PASS","FAIL")</x:f>
        <x:v>PASS</x:v>
      </x:c>
      <x:c r="J15" s="52" t="n">
        <x:v>0.0499436943016593</x:v>
      </x:c>
      <x:c r="K15" s="48" t="str">
        <x:f>IF(ABS(E9-J15)&lt;=0.000001,"PASS","FAIL")</x:f>
        <x:v>PASS</x:v>
      </x:c>
      <x:c r="L15" s="40"/>
      <x:c r="M15" s="40"/>
      <x:c r="N15" s="40"/>
      <x:c r="O15" s="40"/>
      <x:c r="P15" s="40"/>
    </x:row>
    <x:row r="16" ht="28" customHeight="1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</x:row>
    <x:row r="17" ht="28" customHeight="1">
      <x:c r="A17" s="40" t="str">
        <x:v>Source: analytics.customer_metrics joined 1:1 to customer_segments and promotion_metrics. The 2,500 customer keys were independently checked for uniqueness.</x:v>
      </x:c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</x:row>
    <x:row r="18" ht="28" customHeight="1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</x:row>
    <x:row r="19" ht="42" customHeight="1">
      <x:c r="A19" s="58" t="str">
        <x:v>Customer ID</x:v>
      </x:c>
      <x:c r="B19" s="58" t="str">
        <x:v>Segment ID</x:v>
      </x:c>
      <x:c r="C19" s="58" t="str">
        <x:v>Segment</x:v>
      </x:c>
      <x:c r="D19" s="58" t="str">
        <x:v>Sales</x:v>
      </x:c>
      <x:c r="E19" s="58" t="str">
        <x:v>Baskets</x:v>
      </x:c>
      <x:c r="F19" s="58" t="str">
        <x:v>Visits / active mo.</x:v>
      </x:c>
      <x:c r="G19" s="58" t="str">
        <x:v>Recency days</x:v>
      </x:c>
      <x:c r="H19" s="58" t="str">
        <x:v>Mean basket</x:v>
      </x:c>
      <x:c r="I19" s="58" t="str">
        <x:v>Promo basket share</x:v>
      </x:c>
      <x:c r="J19" s="58" t="str">
        <x:v>Promo line share</x:v>
      </x:c>
      <x:c r="K19" s="58" t="str">
        <x:v>Promo basket sales</x:v>
      </x:c>
      <x:c r="L19" s="58" t="str">
        <x:v>Other basket sales</x:v>
      </x:c>
      <x:c r="M19" s="58" t="str">
        <x:v>Promo baskets</x:v>
      </x:c>
      <x:c r="N19" s="58" t="str">
        <x:v>Other baskets</x:v>
      </x:c>
      <x:c r="O19" s="58" t="str">
        <x:v>Category count</x:v>
      </x:c>
      <x:c r="P19" s="58" t="str">
        <x:v>Active months</x:v>
      </x:c>
    </x:row>
    <x:row r="20" ht="36" customHeight="1">
      <x:c r="A20" s="53" t="n">
        <x:v>1</x:v>
      </x:c>
      <x:c r="B20" s="53" t="n">
        <x:v>2</x:v>
      </x:c>
      <x:c r="C20" s="40" t="str">
        <x:v>Large-Basket Occasional Shoppers</x:v>
      </x:c>
      <x:c r="D20" s="60" t="n">
        <x:v>4330.16</x:v>
      </x:c>
      <x:c r="E20" s="50" t="n">
        <x:v>85</x:v>
      </x:c>
      <x:c r="F20" s="46" t="n">
        <x:v>3.695652173913044</x:v>
      </x:c>
      <x:c r="G20" s="46" t="n">
        <x:v>5</x:v>
      </x:c>
      <x:c r="H20" s="61" t="n">
        <x:v>50.943058823529405</x:v>
      </x:c>
      <x:c r="I20" s="52" t="n">
        <x:v>0.8235294117647058</x:v>
      </x:c>
      <x:c r="J20" s="52" t="n">
        <x:v>0.4605488018918469</x:v>
      </x:c>
      <x:c r="K20" s="60" t="n">
        <x:v>4262.78</x:v>
      </x:c>
      <x:c r="L20" s="60" t="n">
        <x:v>67.38</x:v>
      </x:c>
      <x:c r="M20" s="50" t="n">
        <x:v>70</x:v>
      </x:c>
      <x:c r="N20" s="50" t="n">
        <x:v>15</x:v>
      </x:c>
      <x:c r="O20" s="50" t="n">
        <x:v>127</x:v>
      </x:c>
      <x:c r="P20" s="50" t="n">
        <x:v>23</x:v>
      </x:c>
    </x:row>
    <x:row r="21" ht="36" customHeight="1">
      <x:c r="A21" s="53" t="n">
        <x:v>2</x:v>
      </x:c>
      <x:c r="B21" s="53" t="n">
        <x:v>2</x:v>
      </x:c>
      <x:c r="C21" s="40" t="str">
        <x:v>Large-Basket Occasional Shoppers</x:v>
      </x:c>
      <x:c r="D21" s="60" t="n">
        <x:v>1954.34</x:v>
      </x:c>
      <x:c r="E21" s="50" t="n">
        <x:v>45</x:v>
      </x:c>
      <x:c r="F21" s="46" t="n">
        <x:v>2.5</x:v>
      </x:c>
      <x:c r="G21" s="46" t="n">
        <x:v>43</x:v>
      </x:c>
      <x:c r="H21" s="61" t="n">
        <x:v>43.42977777777777</x:v>
      </x:c>
      <x:c r="I21" s="52" t="n">
        <x:v>0.9333333333333332</x:v>
      </x:c>
      <x:c r="J21" s="52" t="n">
        <x:v>0.4302424347861682</x:v>
      </x:c>
      <x:c r="K21" s="60" t="n">
        <x:v>1925.36</x:v>
      </x:c>
      <x:c r="L21" s="60" t="n">
        <x:v>28.98</x:v>
      </x:c>
      <x:c r="M21" s="50" t="n">
        <x:v>42</x:v>
      </x:c>
      <x:c r="N21" s="50" t="n">
        <x:v>3</x:v>
      </x:c>
      <x:c r="O21" s="50" t="n">
        <x:v>140</x:v>
      </x:c>
      <x:c r="P21" s="50" t="n">
        <x:v>18</x:v>
      </x:c>
    </x:row>
    <x:row r="22" ht="36" customHeight="1">
      <x:c r="A22" s="53" t="n">
        <x:v>3</x:v>
      </x:c>
      <x:c r="B22" s="53" t="n">
        <x:v>2</x:v>
      </x:c>
      <x:c r="C22" s="40" t="str">
        <x:v>Large-Basket Occasional Shoppers</x:v>
      </x:c>
      <x:c r="D22" s="60" t="n">
        <x:v>2653.21</x:v>
      </x:c>
      <x:c r="E22" s="50" t="n">
        <x:v>47</x:v>
      </x:c>
      <x:c r="F22" s="46" t="n">
        <x:v>2.473684210526316</x:v>
      </x:c>
      <x:c r="G22" s="46" t="n">
        <x:v>8</x:v>
      </x:c>
      <x:c r="H22" s="61" t="n">
        <x:v>56.45127659574468</x:v>
      </x:c>
      <x:c r="I22" s="52" t="n">
        <x:v>0.9787234042553192</x:v>
      </x:c>
      <x:c r="J22" s="52" t="n">
        <x:v>0.6187335340964341</x:v>
      </x:c>
      <x:c r="K22" s="60" t="n">
        <x:v>2637.43</x:v>
      </x:c>
      <x:c r="L22" s="60" t="n">
        <x:v>15.78</x:v>
      </x:c>
      <x:c r="M22" s="50" t="n">
        <x:v>46</x:v>
      </x:c>
      <x:c r="N22" s="50" t="n">
        <x:v>1</x:v>
      </x:c>
      <x:c r="O22" s="50" t="n">
        <x:v>109</x:v>
      </x:c>
      <x:c r="P22" s="50" t="n">
        <x:v>19</x:v>
      </x:c>
    </x:row>
    <x:row r="23" ht="36" customHeight="1">
      <x:c r="A23" s="53" t="n">
        <x:v>4</x:v>
      </x:c>
      <x:c r="B23" s="53" t="n">
        <x:v>2</x:v>
      </x:c>
      <x:c r="C23" s="40" t="str">
        <x:v>Large-Basket Occasional Shoppers</x:v>
      </x:c>
      <x:c r="D23" s="60" t="n">
        <x:v>1200.11</x:v>
      </x:c>
      <x:c r="E23" s="50" t="n">
        <x:v>30</x:v>
      </x:c>
      <x:c r="F23" s="46" t="n">
        <x:v>2</x:v>
      </x:c>
      <x:c r="G23" s="46" t="n">
        <x:v>84</x:v>
      </x:c>
      <x:c r="H23" s="61" t="n">
        <x:v>40.00366666666666</x:v>
      </x:c>
      <x:c r="I23" s="52" t="n">
        <x:v>0.9333333333333332</x:v>
      </x:c>
      <x:c r="J23" s="52" t="n">
        <x:v>0.3238869770271058</x:v>
      </x:c>
      <x:c r="K23" s="60" t="n">
        <x:v>1186.85</x:v>
      </x:c>
      <x:c r="L23" s="60" t="n">
        <x:v>13.26</x:v>
      </x:c>
      <x:c r="M23" s="50" t="n">
        <x:v>28</x:v>
      </x:c>
      <x:c r="N23" s="50" t="n">
        <x:v>2</x:v>
      </x:c>
      <x:c r="O23" s="50" t="n">
        <x:v>63</x:v>
      </x:c>
      <x:c r="P23" s="50" t="n">
        <x:v>15</x:v>
      </x:c>
    </x:row>
    <x:row r="24" ht="36" customHeight="1">
      <x:c r="A24" s="53" t="n">
        <x:v>5</x:v>
      </x:c>
      <x:c r="B24" s="53" t="n">
        <x:v>3</x:v>
      </x:c>
      <x:c r="C24" s="40" t="str">
        <x:v>Low-Value Low-Engagement Shoppers</x:v>
      </x:c>
      <x:c r="D24" s="60" t="n">
        <x:v>779.06</x:v>
      </x:c>
      <x:c r="E24" s="50" t="n">
        <x:v>40</x:v>
      </x:c>
      <x:c r="F24" s="46" t="n">
        <x:v>2.352941176470588</x:v>
      </x:c>
      <x:c r="G24" s="46" t="n">
        <x:v>8</x:v>
      </x:c>
      <x:c r="H24" s="61" t="n">
        <x:v>19.4765</x:v>
      </x:c>
      <x:c r="I24" s="52" t="n">
        <x:v>0.75</x:v>
      </x:c>
      <x:c r="J24" s="52" t="n">
        <x:v>0.4889867275947937</x:v>
      </x:c>
      <x:c r="K24" s="60" t="n">
        <x:v>672.31</x:v>
      </x:c>
      <x:c r="L24" s="60" t="n">
        <x:v>106.75</x:v>
      </x:c>
      <x:c r="M24" s="50" t="n">
        <x:v>30</x:v>
      </x:c>
      <x:c r="N24" s="50" t="n">
        <x:v>10</x:v>
      </x:c>
      <x:c r="O24" s="50" t="n">
        <x:v>76</x:v>
      </x:c>
      <x:c r="P24" s="50" t="n">
        <x:v>17</x:v>
      </x:c>
    </x:row>
    <x:row r="25" ht="36" customHeight="1">
      <x:c r="A25" s="53" t="n">
        <x:v>6</x:v>
      </x:c>
      <x:c r="B25" s="53" t="n">
        <x:v>1</x:v>
      </x:c>
      <x:c r="C25" s="40" t="str">
        <x:v>High-Value Frequent Shoppers</x:v>
      </x:c>
      <x:c r="D25" s="60" t="n">
        <x:v>5996.16</x:v>
      </x:c>
      <x:c r="E25" s="50" t="n">
        <x:v>249</x:v>
      </x:c>
      <x:c r="F25" s="46" t="n">
        <x:v>11.857142857142856</x:v>
      </x:c>
      <x:c r="G25" s="46" t="n">
        <x:v>4</x:v>
      </x:c>
      <x:c r="H25" s="61" t="n">
        <x:v>24.08096385542169</x:v>
      </x:c>
      <x:c r="I25" s="52" t="n">
        <x:v>0.8152610441767068</x:v>
      </x:c>
      <x:c r="J25" s="52" t="n">
        <x:v>0.3630356761660796</x:v>
      </x:c>
      <x:c r="K25" s="60" t="n">
        <x:v>5501.41</x:v>
      </x:c>
      <x:c r="L25" s="60" t="n">
        <x:v>494.75</x:v>
      </x:c>
      <x:c r="M25" s="50" t="n">
        <x:v>203</x:v>
      </x:c>
      <x:c r="N25" s="50" t="n">
        <x:v>46</x:v>
      </x:c>
      <x:c r="O25" s="50" t="n">
        <x:v>153</x:v>
      </x:c>
      <x:c r="P25" s="50" t="n">
        <x:v>21</x:v>
      </x:c>
    </x:row>
    <x:row r="26" ht="36" customHeight="1">
      <x:c r="A26" s="53" t="n">
        <x:v>7</x:v>
      </x:c>
      <x:c r="B26" s="53" t="n">
        <x:v>2</x:v>
      </x:c>
      <x:c r="C26" s="40" t="str">
        <x:v>Large-Basket Occasional Shoppers</x:v>
      </x:c>
      <x:c r="D26" s="60" t="n">
        <x:v>3400.05</x:v>
      </x:c>
      <x:c r="E26" s="50" t="n">
        <x:v>59</x:v>
      </x:c>
      <x:c r="F26" s="46" t="n">
        <x:v>2.6818181818181817</x:v>
      </x:c>
      <x:c r="G26" s="46" t="n">
        <x:v>2</x:v>
      </x:c>
      <x:c r="H26" s="61" t="n">
        <x:v>57.62796610169492</x:v>
      </x:c>
      <x:c r="I26" s="52" t="n">
        <x:v>0.9322033898305084</x:v>
      </x:c>
      <x:c r="J26" s="52" t="n">
        <x:v>0.4447758121204099</x:v>
      </x:c>
      <x:c r="K26" s="60" t="n">
        <x:v>3360.02</x:v>
      </x:c>
      <x:c r="L26" s="60" t="n">
        <x:v>40.03</x:v>
      </x:c>
      <x:c r="M26" s="50" t="n">
        <x:v>55</x:v>
      </x:c>
      <x:c r="N26" s="50" t="n">
        <x:v>4</x:v>
      </x:c>
      <x:c r="O26" s="50" t="n">
        <x:v>156</x:v>
      </x:c>
      <x:c r="P26" s="50" t="n">
        <x:v>22</x:v>
      </x:c>
    </x:row>
    <x:row r="27" ht="36" customHeight="1">
      <x:c r="A27" s="53" t="n">
        <x:v>8</x:v>
      </x:c>
      <x:c r="B27" s="53" t="n">
        <x:v>1</x:v>
      </x:c>
      <x:c r="C27" s="40" t="str">
        <x:v>High-Value Frequent Shoppers</x:v>
      </x:c>
      <x:c r="D27" s="60" t="n">
        <x:v>5534.97</x:v>
      </x:c>
      <x:c r="E27" s="50" t="n">
        <x:v>113</x:v>
      </x:c>
      <x:c r="F27" s="46" t="n">
        <x:v>5.136363636363637</x:v>
      </x:c>
      <x:c r="G27" s="46" t="n">
        <x:v>5</x:v>
      </x:c>
      <x:c r="H27" s="61" t="n">
        <x:v>48.98203539823009</x:v>
      </x:c>
      <x:c r="I27" s="52" t="n">
        <x:v>0.9203539823008848</x:v>
      </x:c>
      <x:c r="J27" s="52" t="n">
        <x:v>0.4997118322231195</x:v>
      </x:c>
      <x:c r="K27" s="60" t="n">
        <x:v>5328.29</x:v>
      </x:c>
      <x:c r="L27" s="60" t="n">
        <x:v>206.68</x:v>
      </x:c>
      <x:c r="M27" s="50" t="n">
        <x:v>104</x:v>
      </x:c>
      <x:c r="N27" s="50" t="n">
        <x:v>9</x:v>
      </x:c>
      <x:c r="O27" s="50" t="n">
        <x:v>179</x:v>
      </x:c>
      <x:c r="P27" s="50" t="n">
        <x:v>22</x:v>
      </x:c>
    </x:row>
    <x:row r="28" ht="36" customHeight="1">
      <x:c r="A28" s="53" t="n">
        <x:v>9</x:v>
      </x:c>
      <x:c r="B28" s="53" t="n">
        <x:v>2</x:v>
      </x:c>
      <x:c r="C28" s="40" t="str">
        <x:v>Large-Basket Occasional Shoppers</x:v>
      </x:c>
      <x:c r="D28" s="60" t="n">
        <x:v>797.42</x:v>
      </x:c>
      <x:c r="E28" s="50" t="n">
        <x:v>20</x:v>
      </x:c>
      <x:c r="F28" s="46" t="n">
        <x:v>1.5384615384615383</x:v>
      </x:c>
      <x:c r="G28" s="46" t="n">
        <x:v>22</x:v>
      </x:c>
      <x:c r="H28" s="61" t="n">
        <x:v>39.871</x:v>
      </x:c>
      <x:c r="I28" s="52" t="n">
        <x:v>0.9</x:v>
      </x:c>
      <x:c r="J28" s="52" t="n">
        <x:v>0.5553785959720097</x:v>
      </x:c>
      <x:c r="K28" s="60" t="n">
        <x:v>776.45</x:v>
      </x:c>
      <x:c r="L28" s="60" t="n">
        <x:v>20.97</x:v>
      </x:c>
      <x:c r="M28" s="50" t="n">
        <x:v>18</x:v>
      </x:c>
      <x:c r="N28" s="50" t="n">
        <x:v>2</x:v>
      </x:c>
      <x:c r="O28" s="50" t="n">
        <x:v>72</x:v>
      </x:c>
      <x:c r="P28" s="50" t="n">
        <x:v>13</x:v>
      </x:c>
    </x:row>
    <x:row r="29" ht="36" customHeight="1">
      <x:c r="A29" s="53" t="n">
        <x:v>10</x:v>
      </x:c>
      <x:c r="B29" s="53" t="n">
        <x:v>3</x:v>
      </x:c>
      <x:c r="C29" s="40" t="str">
        <x:v>Low-Value Low-Engagement Shoppers</x:v>
      </x:c>
      <x:c r="D29" s="60" t="n">
        <x:v>234.34</x:v>
      </x:c>
      <x:c r="E29" s="50" t="n">
        <x:v>9</x:v>
      </x:c>
      <x:c r="F29" s="46" t="n">
        <x:v>1.8</x:v>
      </x:c>
      <x:c r="G29" s="46" t="n">
        <x:v>26</x:v>
      </x:c>
      <x:c r="H29" s="61" t="n">
        <x:v>26.037777777777777</x:v>
      </x:c>
      <x:c r="I29" s="52" t="n">
        <x:v>0.6666666666666666</x:v>
      </x:c>
      <x:c r="J29" s="52" t="n">
        <x:v>0.2595374242553554</x:v>
      </x:c>
      <x:c r="K29" s="60" t="n">
        <x:v>213.75</x:v>
      </x:c>
      <x:c r="L29" s="60" t="n">
        <x:v>20.59</x:v>
      </x:c>
      <x:c r="M29" s="50" t="n">
        <x:v>6</x:v>
      </x:c>
      <x:c r="N29" s="50" t="n">
        <x:v>3</x:v>
      </x:c>
      <x:c r="O29" s="50" t="n">
        <x:v>40</x:v>
      </x:c>
      <x:c r="P29" s="50" t="n">
        <x:v>5</x:v>
      </x:c>
    </x:row>
    <x:row r="30" ht="36" customHeight="1">
      <x:c r="A30" s="53" t="n">
        <x:v>11</x:v>
      </x:c>
      <x:c r="B30" s="53" t="n">
        <x:v>3</x:v>
      </x:c>
      <x:c r="C30" s="40" t="str">
        <x:v>Low-Value Low-Engagement Shoppers</x:v>
      </x:c>
      <x:c r="D30" s="60" t="n">
        <x:v>33.39</x:v>
      </x:c>
      <x:c r="E30" s="50" t="n">
        <x:v>5</x:v>
      </x:c>
      <x:c r="F30" s="46" t="n">
        <x:v>1.25</x:v>
      </x:c>
      <x:c r="G30" s="46" t="n">
        <x:v>299</x:v>
      </x:c>
      <x:c r="H30" s="61" t="n">
        <x:v>6.678</x:v>
      </x:c>
      <x:c r="I30" s="52" t="n">
        <x:v>0.8</x:v>
      </x:c>
      <x:c r="J30" s="52" t="n">
        <x:v>0.5929919137466307</x:v>
      </x:c>
      <x:c r="K30" s="60" t="n">
        <x:v>29.28</x:v>
      </x:c>
      <x:c r="L30" s="60" t="n">
        <x:v>4.11</x:v>
      </x:c>
      <x:c r="M30" s="50" t="n">
        <x:v>4</x:v>
      </x:c>
      <x:c r="N30" s="50" t="n">
        <x:v>1</x:v>
      </x:c>
      <x:c r="O30" s="50" t="n">
        <x:v>14</x:v>
      </x:c>
      <x:c r="P30" s="50" t="n">
        <x:v>4</x:v>
      </x:c>
    </x:row>
    <x:row r="31" ht="36" customHeight="1">
      <x:c r="A31" s="53" t="n">
        <x:v>12</x:v>
      </x:c>
      <x:c r="B31" s="53" t="n">
        <x:v>2</x:v>
      </x:c>
      <x:c r="C31" s="40" t="str">
        <x:v>Large-Basket Occasional Shoppers</x:v>
      </x:c>
      <x:c r="D31" s="60" t="n">
        <x:v>266.21</x:v>
      </x:c>
      <x:c r="E31" s="50" t="n">
        <x:v>7</x:v>
      </x:c>
      <x:c r="F31" s="46" t="n">
        <x:v>1</x:v>
      </x:c>
      <x:c r="G31" s="46" t="n">
        <x:v>207</x:v>
      </x:c>
      <x:c r="H31" s="61" t="n">
        <x:v>38.03</x:v>
      </x:c>
      <x:c r="I31" s="52" t="n">
        <x:v>1</x:v>
      </x:c>
      <x:c r="J31" s="52" t="n">
        <x:v>0.3868374591487923</x:v>
      </x:c>
      <x:c r="K31" s="60" t="n">
        <x:v>266.21</x:v>
      </x:c>
      <x:c r="L31" s="60" t="n">
        <x:v>0</x:v>
      </x:c>
      <x:c r="M31" s="50" t="n">
        <x:v>7</x:v>
      </x:c>
      <x:c r="N31" s="50" t="n">
        <x:v>0</x:v>
      </x:c>
      <x:c r="O31" s="50" t="n">
        <x:v>48</x:v>
      </x:c>
      <x:c r="P31" s="50" t="n">
        <x:v>7</x:v>
      </x:c>
    </x:row>
    <x:row r="32" ht="36" customHeight="1">
      <x:c r="A32" s="53" t="n">
        <x:v>13</x:v>
      </x:c>
      <x:c r="B32" s="53" t="n">
        <x:v>1</x:v>
      </x:c>
      <x:c r="C32" s="40" t="str">
        <x:v>High-Value Frequent Shoppers</x:v>
      </x:c>
      <x:c r="D32" s="60" t="n">
        <x:v>13190.92</x:v>
      </x:c>
      <x:c r="E32" s="50" t="n">
        <x:v>275</x:v>
      </x:c>
      <x:c r="F32" s="46" t="n">
        <x:v>13.095238095238097</x:v>
      </x:c>
      <x:c r="G32" s="46" t="n">
        <x:v>2</x:v>
      </x:c>
      <x:c r="H32" s="61" t="n">
        <x:v>47.96698181818181</x:v>
      </x:c>
      <x:c r="I32" s="52" t="n">
        <x:v>0.88</x:v>
      </x:c>
      <x:c r="J32" s="52" t="n">
        <x:v>0.7064185060632616</x:v>
      </x:c>
      <x:c r="K32" s="60" t="n">
        <x:v>12770.9</x:v>
      </x:c>
      <x:c r="L32" s="60" t="n">
        <x:v>420.02</x:v>
      </x:c>
      <x:c r="M32" s="50" t="n">
        <x:v>242</x:v>
      </x:c>
      <x:c r="N32" s="50" t="n">
        <x:v>33</x:v>
      </x:c>
      <x:c r="O32" s="50" t="n">
        <x:v>161</x:v>
      </x:c>
      <x:c r="P32" s="50" t="n">
        <x:v>21</x:v>
      </x:c>
    </x:row>
    <x:row r="33" ht="36" customHeight="1">
      <x:c r="A33" s="53" t="n">
        <x:v>14</x:v>
      </x:c>
      <x:c r="B33" s="53" t="n">
        <x:v>1</x:v>
      </x:c>
      <x:c r="C33" s="40" t="str">
        <x:v>High-Value Frequent Shoppers</x:v>
      </x:c>
      <x:c r="D33" s="60" t="n">
        <x:v>2761.19</x:v>
      </x:c>
      <x:c r="E33" s="50" t="n">
        <x:v>138</x:v>
      </x:c>
      <x:c r="F33" s="46" t="n">
        <x:v>5.75</x:v>
      </x:c>
      <x:c r="G33" s="46" t="n">
        <x:v>7</x:v>
      </x:c>
      <x:c r="H33" s="61" t="n">
        <x:v>20.0086231884058</x:v>
      </x:c>
      <x:c r="I33" s="52" t="n">
        <x:v>0.8043478260869565</x:v>
      </x:c>
      <x:c r="J33" s="52" t="n">
        <x:v>0.5719707807141123</x:v>
      </x:c>
      <x:c r="K33" s="60" t="n">
        <x:v>2473.49</x:v>
      </x:c>
      <x:c r="L33" s="60" t="n">
        <x:v>287.7</x:v>
      </x:c>
      <x:c r="M33" s="50" t="n">
        <x:v>111</x:v>
      </x:c>
      <x:c r="N33" s="50" t="n">
        <x:v>27</x:v>
      </x:c>
      <x:c r="O33" s="50" t="n">
        <x:v>113</x:v>
      </x:c>
      <x:c r="P33" s="50" t="n">
        <x:v>24</x:v>
      </x:c>
    </x:row>
    <x:row r="34" ht="36" customHeight="1">
      <x:c r="A34" s="53" t="n">
        <x:v>15</x:v>
      </x:c>
      <x:c r="B34" s="53" t="n">
        <x:v>3</x:v>
      </x:c>
      <x:c r="C34" s="40" t="str">
        <x:v>Low-Value Low-Engagement Shoppers</x:v>
      </x:c>
      <x:c r="D34" s="60" t="n">
        <x:v>972.53</x:v>
      </x:c>
      <x:c r="E34" s="50" t="n">
        <x:v>55</x:v>
      </x:c>
      <x:c r="F34" s="46" t="n">
        <x:v>3.235294117647059</x:v>
      </x:c>
      <x:c r="G34" s="46" t="n">
        <x:v>6</x:v>
      </x:c>
      <x:c r="H34" s="61" t="n">
        <x:v>17.682363636363636</x:v>
      </x:c>
      <x:c r="I34" s="52" t="n">
        <x:v>0.6363636363636364</x:v>
      </x:c>
      <x:c r="J34" s="52" t="n">
        <x:v>0.344904527366765</x:v>
      </x:c>
      <x:c r="K34" s="60" t="n">
        <x:v>801.19</x:v>
      </x:c>
      <x:c r="L34" s="60" t="n">
        <x:v>171.34</x:v>
      </x:c>
      <x:c r="M34" s="50" t="n">
        <x:v>35</x:v>
      </x:c>
      <x:c r="N34" s="50" t="n">
        <x:v>20</x:v>
      </x:c>
      <x:c r="O34" s="50" t="n">
        <x:v>91</x:v>
      </x:c>
      <x:c r="P34" s="50" t="n">
        <x:v>17</x:v>
      </x:c>
    </x:row>
    <x:row r="35" ht="36" customHeight="1">
      <x:c r="A35" s="53" t="n">
        <x:v>16</x:v>
      </x:c>
      <x:c r="B35" s="53" t="n">
        <x:v>3</x:v>
      </x:c>
      <x:c r="C35" s="40" t="str">
        <x:v>Low-Value Low-Engagement Shoppers</x:v>
      </x:c>
      <x:c r="D35" s="60" t="n">
        <x:v>1512.02</x:v>
      </x:c>
      <x:c r="E35" s="50" t="n">
        <x:v>98</x:v>
      </x:c>
      <x:c r="F35" s="46" t="n">
        <x:v>5.444444444444445</x:v>
      </x:c>
      <x:c r="G35" s="46" t="n">
        <x:v>21</x:v>
      </x:c>
      <x:c r="H35" s="61" t="n">
        <x:v>15.42877551020408</x:v>
      </x:c>
      <x:c r="I35" s="52" t="n">
        <x:v>0.8265306122448979</x:v>
      </x:c>
      <x:c r="J35" s="52" t="n">
        <x:v>0.423321120091004</x:v>
      </x:c>
      <x:c r="K35" s="60" t="n">
        <x:v>1380.9</x:v>
      </x:c>
      <x:c r="L35" s="60" t="n">
        <x:v>131.12</x:v>
      </x:c>
      <x:c r="M35" s="50" t="n">
        <x:v>81</x:v>
      </x:c>
      <x:c r="N35" s="50" t="n">
        <x:v>17</x:v>
      </x:c>
      <x:c r="O35" s="50" t="n">
        <x:v>109</x:v>
      </x:c>
      <x:c r="P35" s="50" t="n">
        <x:v>18</x:v>
      </x:c>
    </x:row>
    <x:row r="36" ht="36" customHeight="1">
      <x:c r="A36" s="53" t="n">
        <x:v>17</x:v>
      </x:c>
      <x:c r="B36" s="53" t="n">
        <x:v>2</x:v>
      </x:c>
      <x:c r="C36" s="40" t="str">
        <x:v>Large-Basket Occasional Shoppers</x:v>
      </x:c>
      <x:c r="D36" s="60" t="n">
        <x:v>5139.63</x:v>
      </x:c>
      <x:c r="E36" s="50" t="n">
        <x:v>124</x:v>
      </x:c>
      <x:c r="F36" s="46" t="n">
        <x:v>5.391304347826087</x:v>
      </x:c>
      <x:c r="G36" s="46" t="n">
        <x:v>22</x:v>
      </x:c>
      <x:c r="H36" s="61" t="n">
        <x:v>41.44862903225806</x:v>
      </x:c>
      <x:c r="I36" s="52" t="n">
        <x:v>0.9596774193548387</x:v>
      </x:c>
      <x:c r="J36" s="52" t="n">
        <x:v>0.610508927685456</x:v>
      </x:c>
      <x:c r="K36" s="60" t="n">
        <x:v>5070.96</x:v>
      </x:c>
      <x:c r="L36" s="60" t="n">
        <x:v>68.67</x:v>
      </x:c>
      <x:c r="M36" s="50" t="n">
        <x:v>119</x:v>
      </x:c>
      <x:c r="N36" s="50" t="n">
        <x:v>5</x:v>
      </x:c>
      <x:c r="O36" s="50" t="n">
        <x:v>122</x:v>
      </x:c>
      <x:c r="P36" s="50" t="n">
        <x:v>23</x:v>
      </x:c>
    </x:row>
    <x:row r="37" ht="36" customHeight="1">
      <x:c r="A37" s="53" t="n">
        <x:v>18</x:v>
      </x:c>
      <x:c r="B37" s="53" t="n">
        <x:v>1</x:v>
      </x:c>
      <x:c r="C37" s="40" t="str">
        <x:v>High-Value Frequent Shoppers</x:v>
      </x:c>
      <x:c r="D37" s="60" t="n">
        <x:v>7118.91</x:v>
      </x:c>
      <x:c r="E37" s="50" t="n">
        <x:v>161</x:v>
      </x:c>
      <x:c r="F37" s="46" t="n">
        <x:v>7.666666666666665</x:v>
      </x:c>
      <x:c r="G37" s="46" t="n">
        <x:v>0</x:v>
      </x:c>
      <x:c r="H37" s="61" t="n">
        <x:v>44.21683229813665</x:v>
      </x:c>
      <x:c r="I37" s="52" t="n">
        <x:v>0.9130434782608696</x:v>
      </x:c>
      <x:c r="J37" s="52" t="n">
        <x:v>0.461763106992503</x:v>
      </x:c>
      <x:c r="K37" s="60" t="n">
        <x:v>6931.83</x:v>
      </x:c>
      <x:c r="L37" s="60" t="n">
        <x:v>187.08</x:v>
      </x:c>
      <x:c r="M37" s="50" t="n">
        <x:v>147</x:v>
      </x:c>
      <x:c r="N37" s="50" t="n">
        <x:v>14</x:v>
      </x:c>
      <x:c r="O37" s="50" t="n">
        <x:v>143</x:v>
      </x:c>
      <x:c r="P37" s="50" t="n">
        <x:v>21</x:v>
      </x:c>
    </x:row>
    <x:row r="38" ht="36" customHeight="1">
      <x:c r="A38" s="53" t="n">
        <x:v>19</x:v>
      </x:c>
      <x:c r="B38" s="53" t="n">
        <x:v>1</x:v>
      </x:c>
      <x:c r="C38" s="40" t="str">
        <x:v>High-Value Frequent Shoppers</x:v>
      </x:c>
      <x:c r="D38" s="60" t="n">
        <x:v>11299.61</x:v>
      </x:c>
      <x:c r="E38" s="50" t="n">
        <x:v>421</x:v>
      </x:c>
      <x:c r="F38" s="46" t="n">
        <x:v>19.13636363636364</x:v>
      </x:c>
      <x:c r="G38" s="46" t="n">
        <x:v>0</x:v>
      </x:c>
      <x:c r="H38" s="61" t="n">
        <x:v>26.83992874109264</x:v>
      </x:c>
      <x:c r="I38" s="52" t="n">
        <x:v>0.8574821852731591</x:v>
      </x:c>
      <x:c r="J38" s="52" t="n">
        <x:v>0.6480648447158796</x:v>
      </x:c>
      <x:c r="K38" s="60" t="n">
        <x:v>10804.63</x:v>
      </x:c>
      <x:c r="L38" s="60" t="n">
        <x:v>494.98</x:v>
      </x:c>
      <x:c r="M38" s="50" t="n">
        <x:v>361</x:v>
      </x:c>
      <x:c r="N38" s="50" t="n">
        <x:v>60</x:v>
      </x:c>
      <x:c r="O38" s="50" t="n">
        <x:v>176</x:v>
      </x:c>
      <x:c r="P38" s="50" t="n">
        <x:v>22</x:v>
      </x:c>
    </x:row>
    <x:row r="39" ht="36" customHeight="1">
      <x:c r="A39" s="53" t="n">
        <x:v>20</x:v>
      </x:c>
      <x:c r="B39" s="53" t="n">
        <x:v>1</x:v>
      </x:c>
      <x:c r="C39" s="40" t="str">
        <x:v>High-Value Frequent Shoppers</x:v>
      </x:c>
      <x:c r="D39" s="60" t="n">
        <x:v>7486.11</x:v>
      </x:c>
      <x:c r="E39" s="50" t="n">
        <x:v>387</x:v>
      </x:c>
      <x:c r="F39" s="46" t="n">
        <x:v>19.35</x:v>
      </x:c>
      <x:c r="G39" s="46" t="n">
        <x:v>0</x:v>
      </x:c>
      <x:c r="H39" s="61" t="n">
        <x:v>19.34395348837209</x:v>
      </x:c>
      <x:c r="I39" s="52" t="n">
        <x:v>0.8087855297157622</x:v>
      </x:c>
      <x:c r="J39" s="52" t="n">
        <x:v>0.4635130929147447</x:v>
      </x:c>
      <x:c r="K39" s="60" t="n">
        <x:v>6647.42</x:v>
      </x:c>
      <x:c r="L39" s="60" t="n">
        <x:v>838.69</x:v>
      </x:c>
      <x:c r="M39" s="50" t="n">
        <x:v>313</x:v>
      </x:c>
      <x:c r="N39" s="50" t="n">
        <x:v>74</x:v>
      </x:c>
      <x:c r="O39" s="50" t="n">
        <x:v>115</x:v>
      </x:c>
      <x:c r="P39" s="50" t="n">
        <x:v>20</x:v>
      </x:c>
    </x:row>
    <x:row r="40" ht="36" customHeight="1">
      <x:c r="A40" s="53" t="n">
        <x:v>21</x:v>
      </x:c>
      <x:c r="B40" s="53" t="n">
        <x:v>2</x:v>
      </x:c>
      <x:c r="C40" s="40" t="str">
        <x:v>Large-Basket Occasional Shoppers</x:v>
      </x:c>
      <x:c r="D40" s="60" t="n">
        <x:v>870.11</x:v>
      </x:c>
      <x:c r="E40" s="50" t="n">
        <x:v>27</x:v>
      </x:c>
      <x:c r="F40" s="46" t="n">
        <x:v>2.25</x:v>
      </x:c>
      <x:c r="G40" s="46" t="n">
        <x:v>29</x:v>
      </x:c>
      <x:c r="H40" s="61" t="n">
        <x:v>32.2262962962963</x:v>
      </x:c>
      <x:c r="I40" s="52" t="n">
        <x:v>0.8148148148148148</x:v>
      </x:c>
      <x:c r="J40" s="52" t="n">
        <x:v>0.5642734826631115</x:v>
      </x:c>
      <x:c r="K40" s="60" t="n">
        <x:v>768.69</x:v>
      </x:c>
      <x:c r="L40" s="60" t="n">
        <x:v>101.42</x:v>
      </x:c>
      <x:c r="M40" s="50" t="n">
        <x:v>22</x:v>
      </x:c>
      <x:c r="N40" s="50" t="n">
        <x:v>5</x:v>
      </x:c>
      <x:c r="O40" s="50" t="n">
        <x:v>86</x:v>
      </x:c>
      <x:c r="P40" s="50" t="n">
        <x:v>12</x:v>
      </x:c>
    </x:row>
    <x:row r="41" ht="36" customHeight="1">
      <x:c r="A41" s="53" t="n">
        <x:v>22</x:v>
      </x:c>
      <x:c r="B41" s="53" t="n">
        <x:v>1</x:v>
      </x:c>
      <x:c r="C41" s="40" t="str">
        <x:v>High-Value Frequent Shoppers</x:v>
      </x:c>
      <x:c r="D41" s="60" t="n">
        <x:v>6256.04</x:v>
      </x:c>
      <x:c r="E41" s="50" t="n">
        <x:v>136</x:v>
      </x:c>
      <x:c r="F41" s="46" t="n">
        <x:v>5.666666666666666</x:v>
      </x:c>
      <x:c r="G41" s="46" t="n">
        <x:v>0</x:v>
      </x:c>
      <x:c r="H41" s="61" t="n">
        <x:v>46.00029411764706</x:v>
      </x:c>
      <x:c r="I41" s="52" t="n">
        <x:v>0.9705882352941176</x:v>
      </x:c>
      <x:c r="J41" s="52" t="n">
        <x:v>0.5109813875870358</x:v>
      </x:c>
      <x:c r="K41" s="60" t="n">
        <x:v>6251.34</x:v>
      </x:c>
      <x:c r="L41" s="60" t="n">
        <x:v>4.7</x:v>
      </x:c>
      <x:c r="M41" s="50" t="n">
        <x:v>132</x:v>
      </x:c>
      <x:c r="N41" s="50" t="n">
        <x:v>4</x:v>
      </x:c>
      <x:c r="O41" s="50" t="n">
        <x:v>142</x:v>
      </x:c>
      <x:c r="P41" s="50" t="n">
        <x:v>24</x:v>
      </x:c>
    </x:row>
    <x:row r="42" ht="36" customHeight="1">
      <x:c r="A42" s="53" t="n">
        <x:v>23</x:v>
      </x:c>
      <x:c r="B42" s="53" t="n">
        <x:v>1</x:v>
      </x:c>
      <x:c r="C42" s="40" t="str">
        <x:v>High-Value Frequent Shoppers</x:v>
      </x:c>
      <x:c r="D42" s="60" t="n">
        <x:v>3158.58</x:v>
      </x:c>
      <x:c r="E42" s="50" t="n">
        <x:v>110</x:v>
      </x:c>
      <x:c r="F42" s="46" t="n">
        <x:v>5.238095238095238</x:v>
      </x:c>
      <x:c r="G42" s="46" t="n">
        <x:v>0</x:v>
      </x:c>
      <x:c r="H42" s="61" t="n">
        <x:v>28.71436363636364</x:v>
      </x:c>
      <x:c r="I42" s="52" t="n">
        <x:v>0.6545454545454545</x:v>
      </x:c>
      <x:c r="J42" s="52" t="n">
        <x:v>0.3897036009852528</x:v>
      </x:c>
      <x:c r="K42" s="60" t="n">
        <x:v>2595.54</x:v>
      </x:c>
      <x:c r="L42" s="60" t="n">
        <x:v>563.04</x:v>
      </x:c>
      <x:c r="M42" s="50" t="n">
        <x:v>72</x:v>
      </x:c>
      <x:c r="N42" s="50" t="n">
        <x:v>38</x:v>
      </x:c>
      <x:c r="O42" s="50" t="n">
        <x:v>128</x:v>
      </x:c>
      <x:c r="P42" s="50" t="n">
        <x:v>21</x:v>
      </x:c>
    </x:row>
    <x:row r="43" ht="36" customHeight="1">
      <x:c r="A43" s="53" t="n">
        <x:v>24</x:v>
      </x:c>
      <x:c r="B43" s="53" t="n">
        <x:v>2</x:v>
      </x:c>
      <x:c r="C43" s="40" t="str">
        <x:v>Large-Basket Occasional Shoppers</x:v>
      </x:c>
      <x:c r="D43" s="60" t="n">
        <x:v>1911.11</x:v>
      </x:c>
      <x:c r="E43" s="50" t="n">
        <x:v>74</x:v>
      </x:c>
      <x:c r="F43" s="46" t="n">
        <x:v>4.625</x:v>
      </x:c>
      <x:c r="G43" s="46" t="n">
        <x:v>2</x:v>
      </x:c>
      <x:c r="H43" s="61" t="n">
        <x:v>25.825810810810808</x:v>
      </x:c>
      <x:c r="I43" s="52" t="n">
        <x:v>0.9189189189189187</x:v>
      </x:c>
      <x:c r="J43" s="52" t="n">
        <x:v>0.5392520577046847</x:v>
      </x:c>
      <x:c r="K43" s="60" t="n">
        <x:v>1846.04</x:v>
      </x:c>
      <x:c r="L43" s="60" t="n">
        <x:v>65.07</x:v>
      </x:c>
      <x:c r="M43" s="50" t="n">
        <x:v>68</x:v>
      </x:c>
      <x:c r="N43" s="50" t="n">
        <x:v>6</x:v>
      </x:c>
      <x:c r="O43" s="50" t="n">
        <x:v>95</x:v>
      </x:c>
      <x:c r="P43" s="50" t="n">
        <x:v>16</x:v>
      </x:c>
    </x:row>
    <x:row r="44" ht="36" customHeight="1">
      <x:c r="A44" s="53" t="n">
        <x:v>25</x:v>
      </x:c>
      <x:c r="B44" s="53" t="n">
        <x:v>2</x:v>
      </x:c>
      <x:c r="C44" s="40" t="str">
        <x:v>Large-Basket Occasional Shoppers</x:v>
      </x:c>
      <x:c r="D44" s="60" t="n">
        <x:v>3149.65</x:v>
      </x:c>
      <x:c r="E44" s="50" t="n">
        <x:v>94</x:v>
      </x:c>
      <x:c r="F44" s="46" t="n">
        <x:v>3.9166666666666665</x:v>
      </x:c>
      <x:c r="G44" s="46" t="n">
        <x:v>6</x:v>
      </x:c>
      <x:c r="H44" s="61" t="n">
        <x:v>33.50691489361702</x:v>
      </x:c>
      <x:c r="I44" s="52" t="n">
        <x:v>0.851063829787234</x:v>
      </x:c>
      <x:c r="J44" s="52" t="n">
        <x:v>0.5106059403425777</x:v>
      </x:c>
      <x:c r="K44" s="60" t="n">
        <x:v>3007.46</x:v>
      </x:c>
      <x:c r="L44" s="60" t="n">
        <x:v>142.19</x:v>
      </x:c>
      <x:c r="M44" s="50" t="n">
        <x:v>80</x:v>
      </x:c>
      <x:c r="N44" s="50" t="n">
        <x:v>14</x:v>
      </x:c>
      <x:c r="O44" s="50" t="n">
        <x:v>114</x:v>
      </x:c>
      <x:c r="P44" s="50" t="n">
        <x:v>24</x:v>
      </x:c>
    </x:row>
    <x:row r="45" ht="36" customHeight="1">
      <x:c r="A45" s="53" t="n">
        <x:v>26</x:v>
      </x:c>
      <x:c r="B45" s="53" t="n">
        <x:v>2</x:v>
      </x:c>
      <x:c r="C45" s="40" t="str">
        <x:v>Large-Basket Occasional Shoppers</x:v>
      </x:c>
      <x:c r="D45" s="60" t="n">
        <x:v>1937.39</x:v>
      </x:c>
      <x:c r="E45" s="50" t="n">
        <x:v>113</x:v>
      </x:c>
      <x:c r="F45" s="46" t="n">
        <x:v>5.136363636363637</x:v>
      </x:c>
      <x:c r="G45" s="46" t="n">
        <x:v>6</x:v>
      </x:c>
      <x:c r="H45" s="61" t="n">
        <x:v>17.14504424778761</x:v>
      </x:c>
      <x:c r="I45" s="52" t="n">
        <x:v>0.8672566371681415</x:v>
      </x:c>
      <x:c r="J45" s="52" t="n">
        <x:v>0.453568976819329</x:v>
      </x:c>
      <x:c r="K45" s="60" t="n">
        <x:v>1845.82</x:v>
      </x:c>
      <x:c r="L45" s="60" t="n">
        <x:v>91.57</x:v>
      </x:c>
      <x:c r="M45" s="50" t="n">
        <x:v>98</x:v>
      </x:c>
      <x:c r="N45" s="50" t="n">
        <x:v>15</x:v>
      </x:c>
      <x:c r="O45" s="50" t="n">
        <x:v>118</x:v>
      </x:c>
      <x:c r="P45" s="50" t="n">
        <x:v>22</x:v>
      </x:c>
    </x:row>
    <x:row r="46" ht="36" customHeight="1">
      <x:c r="A46" s="53" t="n">
        <x:v>27</x:v>
      </x:c>
      <x:c r="B46" s="53" t="n">
        <x:v>1</x:v>
      </x:c>
      <x:c r="C46" s="40" t="str">
        <x:v>High-Value Frequent Shoppers</x:v>
      </x:c>
      <x:c r="D46" s="60" t="n">
        <x:v>5736.24</x:v>
      </x:c>
      <x:c r="E46" s="50" t="n">
        <x:v>405</x:v>
      </x:c>
      <x:c r="F46" s="46" t="n">
        <x:v>17.60869565217391</x:v>
      </x:c>
      <x:c r="G46" s="46" t="n">
        <x:v>0</x:v>
      </x:c>
      <x:c r="H46" s="61" t="n">
        <x:v>14.163555555555556</x:v>
      </x:c>
      <x:c r="I46" s="52" t="n">
        <x:v>0.8</x:v>
      </x:c>
      <x:c r="J46" s="52" t="n">
        <x:v>0.1665394056036706</x:v>
      </x:c>
      <x:c r="K46" s="60" t="n">
        <x:v>5083.26</x:v>
      </x:c>
      <x:c r="L46" s="60" t="n">
        <x:v>652.98</x:v>
      </x:c>
      <x:c r="M46" s="50" t="n">
        <x:v>324</x:v>
      </x:c>
      <x:c r="N46" s="50" t="n">
        <x:v>81</x:v>
      </x:c>
      <x:c r="O46" s="50" t="n">
        <x:v>88</x:v>
      </x:c>
      <x:c r="P46" s="50" t="n">
        <x:v>23</x:v>
      </x:c>
    </x:row>
    <x:row r="47" ht="36" customHeight="1">
      <x:c r="A47" s="53" t="n">
        <x:v>28</x:v>
      </x:c>
      <x:c r="B47" s="53" t="n">
        <x:v>1</x:v>
      </x:c>
      <x:c r="C47" s="40" t="str">
        <x:v>High-Value Frequent Shoppers</x:v>
      </x:c>
      <x:c r="D47" s="60" t="n">
        <x:v>2119.62</x:v>
      </x:c>
      <x:c r="E47" s="50" t="n">
        <x:v>125</x:v>
      </x:c>
      <x:c r="F47" s="46" t="n">
        <x:v>5.952380952380952</x:v>
      </x:c>
      <x:c r="G47" s="46" t="n">
        <x:v>9</x:v>
      </x:c>
      <x:c r="H47" s="61" t="n">
        <x:v>16.95696</x:v>
      </x:c>
      <x:c r="I47" s="52" t="n">
        <x:v>0.824</x:v>
      </x:c>
      <x:c r="J47" s="52" t="n">
        <x:v>0.3935233673960426</x:v>
      </x:c>
      <x:c r="K47" s="60" t="n">
        <x:v>1825.7</x:v>
      </x:c>
      <x:c r="L47" s="60" t="n">
        <x:v>293.92</x:v>
      </x:c>
      <x:c r="M47" s="50" t="n">
        <x:v>103</x:v>
      </x:c>
      <x:c r="N47" s="50" t="n">
        <x:v>22</x:v>
      </x:c>
      <x:c r="O47" s="50" t="n">
        <x:v>113</x:v>
      </x:c>
      <x:c r="P47" s="50" t="n">
        <x:v>21</x:v>
      </x:c>
    </x:row>
    <x:row r="48" ht="36" customHeight="1">
      <x:c r="A48" s="53" t="n">
        <x:v>29</x:v>
      </x:c>
      <x:c r="B48" s="53" t="n">
        <x:v>3</x:v>
      </x:c>
      <x:c r="C48" s="40" t="str">
        <x:v>Low-Value Low-Engagement Shoppers</x:v>
      </x:c>
      <x:c r="D48" s="60" t="n">
        <x:v>1343.03</x:v>
      </x:c>
      <x:c r="E48" s="50" t="n">
        <x:v>69</x:v>
      </x:c>
      <x:c r="F48" s="46" t="n">
        <x:v>3.2857142857142856</x:v>
      </x:c>
      <x:c r="G48" s="46" t="n">
        <x:v>2</x:v>
      </x:c>
      <x:c r="H48" s="61" t="n">
        <x:v>19.464202898550724</x:v>
      </x:c>
      <x:c r="I48" s="52" t="n">
        <x:v>0.7536231884057971</x:v>
      </x:c>
      <x:c r="J48" s="52" t="n">
        <x:v>0.5204574730274081</x:v>
      </x:c>
      <x:c r="K48" s="60" t="n">
        <x:v>1113.82</x:v>
      </x:c>
      <x:c r="L48" s="60" t="n">
        <x:v>229.21</x:v>
      </x:c>
      <x:c r="M48" s="50" t="n">
        <x:v>52</x:v>
      </x:c>
      <x:c r="N48" s="50" t="n">
        <x:v>17</x:v>
      </x:c>
      <x:c r="O48" s="50" t="n">
        <x:v>88</x:v>
      </x:c>
      <x:c r="P48" s="50" t="n">
        <x:v>21</x:v>
      </x:c>
    </x:row>
    <x:row r="49" ht="36" customHeight="1">
      <x:c r="A49" s="53" t="n">
        <x:v>30</x:v>
      </x:c>
      <x:c r="B49" s="53" t="n">
        <x:v>2</x:v>
      </x:c>
      <x:c r="C49" s="40" t="str">
        <x:v>Large-Basket Occasional Shoppers</x:v>
      </x:c>
      <x:c r="D49" s="60" t="n">
        <x:v>622.8</x:v>
      </x:c>
      <x:c r="E49" s="50" t="n">
        <x:v>28</x:v>
      </x:c>
      <x:c r="F49" s="46" t="n">
        <x:v>1.75</x:v>
      </x:c>
      <x:c r="G49" s="46" t="n">
        <x:v>0</x:v>
      </x:c>
      <x:c r="H49" s="61" t="n">
        <x:v>22.242857142857144</x:v>
      </x:c>
      <x:c r="I49" s="52" t="n">
        <x:v>0.8571428571428571</x:v>
      </x:c>
      <x:c r="J49" s="52" t="n">
        <x:v>0.6526653821451509</x:v>
      </x:c>
      <x:c r="K49" s="60" t="n">
        <x:v>587.32</x:v>
      </x:c>
      <x:c r="L49" s="60" t="n">
        <x:v>35.48</x:v>
      </x:c>
      <x:c r="M49" s="50" t="n">
        <x:v>24</x:v>
      </x:c>
      <x:c r="N49" s="50" t="n">
        <x:v>4</x:v>
      </x:c>
      <x:c r="O49" s="50" t="n">
        <x:v>67</x:v>
      </x:c>
      <x:c r="P49" s="50" t="n">
        <x:v>16</x:v>
      </x:c>
    </x:row>
    <x:row r="50" ht="36" customHeight="1">
      <x:c r="A50" s="53" t="n">
        <x:v>31</x:v>
      </x:c>
      <x:c r="B50" s="53" t="n">
        <x:v>1</x:v>
      </x:c>
      <x:c r="C50" s="40" t="str">
        <x:v>High-Value Frequent Shoppers</x:v>
      </x:c>
      <x:c r="D50" s="60" t="n">
        <x:v>4396.9</x:v>
      </x:c>
      <x:c r="E50" s="50" t="n">
        <x:v>69</x:v>
      </x:c>
      <x:c r="F50" s="46" t="n">
        <x:v>3.8333333333333326</x:v>
      </x:c>
      <x:c r="G50" s="46" t="n">
        <x:v>1</x:v>
      </x:c>
      <x:c r="H50" s="61" t="n">
        <x:v>63.7231884057971</x:v>
      </x:c>
      <x:c r="I50" s="52" t="n">
        <x:v>0.8840579710144927</x:v>
      </x:c>
      <x:c r="J50" s="52" t="n">
        <x:v>0.772207691782847</x:v>
      </x:c>
      <x:c r="K50" s="60" t="n">
        <x:v>4280.61</x:v>
      </x:c>
      <x:c r="L50" s="60" t="n">
        <x:v>116.29</x:v>
      </x:c>
      <x:c r="M50" s="50" t="n">
        <x:v>61</x:v>
      </x:c>
      <x:c r="N50" s="50" t="n">
        <x:v>8</x:v>
      </x:c>
      <x:c r="O50" s="50" t="n">
        <x:v>136</x:v>
      </x:c>
      <x:c r="P50" s="50" t="n">
        <x:v>18</x:v>
      </x:c>
    </x:row>
    <x:row r="51" ht="36" customHeight="1">
      <x:c r="A51" s="53" t="n">
        <x:v>32</x:v>
      </x:c>
      <x:c r="B51" s="53" t="n">
        <x:v>1</x:v>
      </x:c>
      <x:c r="C51" s="40" t="str">
        <x:v>High-Value Frequent Shoppers</x:v>
      </x:c>
      <x:c r="D51" s="60" t="n">
        <x:v>3381.82</x:v>
      </x:c>
      <x:c r="E51" s="50" t="n">
        <x:v>116</x:v>
      </x:c>
      <x:c r="F51" s="46" t="n">
        <x:v>5.0434782608695645</x:v>
      </x:c>
      <x:c r="G51" s="46" t="n">
        <x:v>0</x:v>
      </x:c>
      <x:c r="H51" s="61" t="n">
        <x:v>29.153620689655167</x:v>
      </x:c>
      <x:c r="I51" s="52" t="n">
        <x:v>0.8189655172413793</x:v>
      </x:c>
      <x:c r="J51" s="52" t="n">
        <x:v>0.4785174846680189</x:v>
      </x:c>
      <x:c r="K51" s="60" t="n">
        <x:v>3187.93</x:v>
      </x:c>
      <x:c r="L51" s="60" t="n">
        <x:v>193.89</x:v>
      </x:c>
      <x:c r="M51" s="50" t="n">
        <x:v>95</x:v>
      </x:c>
      <x:c r="N51" s="50" t="n">
        <x:v>21</x:v>
      </x:c>
      <x:c r="O51" s="50" t="n">
        <x:v>153</x:v>
      </x:c>
      <x:c r="P51" s="50" t="n">
        <x:v>23</x:v>
      </x:c>
    </x:row>
    <x:row r="52" ht="36" customHeight="1">
      <x:c r="A52" s="53" t="n">
        <x:v>33</x:v>
      </x:c>
      <x:c r="B52" s="53" t="n">
        <x:v>3</x:v>
      </x:c>
      <x:c r="C52" s="40" t="str">
        <x:v>Low-Value Low-Engagement Shoppers</x:v>
      </x:c>
      <x:c r="D52" s="60" t="n">
        <x:v>1200.74</x:v>
      </x:c>
      <x:c r="E52" s="50" t="n">
        <x:v>52</x:v>
      </x:c>
      <x:c r="F52" s="46" t="n">
        <x:v>2.888888888888889</x:v>
      </x:c>
      <x:c r="G52" s="46" t="n">
        <x:v>0</x:v>
      </x:c>
      <x:c r="H52" s="61" t="n">
        <x:v>23.091153846153848</x:v>
      </x:c>
      <x:c r="I52" s="52" t="n">
        <x:v>0.75</x:v>
      </x:c>
      <x:c r="J52" s="52" t="n">
        <x:v>0.549819278111831</x:v>
      </x:c>
      <x:c r="K52" s="60" t="n">
        <x:v>1035.49</x:v>
      </x:c>
      <x:c r="L52" s="60" t="n">
        <x:v>165.25</x:v>
      </x:c>
      <x:c r="M52" s="50" t="n">
        <x:v>39</x:v>
      </x:c>
      <x:c r="N52" s="50" t="n">
        <x:v>13</x:v>
      </x:c>
      <x:c r="O52" s="50" t="n">
        <x:v>75</x:v>
      </x:c>
      <x:c r="P52" s="50" t="n">
        <x:v>18</x:v>
      </x:c>
    </x:row>
    <x:row r="53" ht="36" customHeight="1">
      <x:c r="A53" s="53" t="n">
        <x:v>34</x:v>
      </x:c>
      <x:c r="B53" s="53" t="n">
        <x:v>3</x:v>
      </x:c>
      <x:c r="C53" s="40" t="str">
        <x:v>Low-Value Low-Engagement Shoppers</x:v>
      </x:c>
      <x:c r="D53" s="60" t="n">
        <x:v>407.38</x:v>
      </x:c>
      <x:c r="E53" s="50" t="n">
        <x:v>36</x:v>
      </x:c>
      <x:c r="F53" s="46" t="n">
        <x:v>1.8947368421052635</x:v>
      </x:c>
      <x:c r="G53" s="46" t="n">
        <x:v>2</x:v>
      </x:c>
      <x:c r="H53" s="61" t="n">
        <x:v>11.316111111111113</x:v>
      </x:c>
      <x:c r="I53" s="52" t="n">
        <x:v>0.7777777777777777</x:v>
      </x:c>
      <x:c r="J53" s="52" t="n">
        <x:v>0.5291128675929107</x:v>
      </x:c>
      <x:c r="K53" s="60" t="n">
        <x:v>343.87</x:v>
      </x:c>
      <x:c r="L53" s="60" t="n">
        <x:v>63.51</x:v>
      </x:c>
      <x:c r="M53" s="50" t="n">
        <x:v>28</x:v>
      </x:c>
      <x:c r="N53" s="50" t="n">
        <x:v>8</x:v>
      </x:c>
      <x:c r="O53" s="50" t="n">
        <x:v>58</x:v>
      </x:c>
      <x:c r="P53" s="50" t="n">
        <x:v>19</x:v>
      </x:c>
    </x:row>
    <x:row r="54" ht="36" customHeight="1">
      <x:c r="A54" s="53" t="n">
        <x:v>35</x:v>
      </x:c>
      <x:c r="B54" s="53" t="n">
        <x:v>3</x:v>
      </x:c>
      <x:c r="C54" s="40" t="str">
        <x:v>Low-Value Low-Engagement Shoppers</x:v>
      </x:c>
      <x:c r="D54" s="60" t="n">
        <x:v>1119.51</x:v>
      </x:c>
      <x:c r="E54" s="50" t="n">
        <x:v>60</x:v>
      </x:c>
      <x:c r="F54" s="46" t="n">
        <x:v>3.1578947368421053</x:v>
      </x:c>
      <x:c r="G54" s="46" t="n">
        <x:v>4</x:v>
      </x:c>
      <x:c r="H54" s="61" t="n">
        <x:v>18.6585</x:v>
      </x:c>
      <x:c r="I54" s="52" t="n">
        <x:v>0.8166666666666667</x:v>
      </x:c>
      <x:c r="J54" s="52" t="n">
        <x:v>0.4899107645309108</x:v>
      </x:c>
      <x:c r="K54" s="60" t="n">
        <x:v>1061.35</x:v>
      </x:c>
      <x:c r="L54" s="60" t="n">
        <x:v>58.16</x:v>
      </x:c>
      <x:c r="M54" s="50" t="n">
        <x:v>49</x:v>
      </x:c>
      <x:c r="N54" s="50" t="n">
        <x:v>11</x:v>
      </x:c>
      <x:c r="O54" s="50" t="n">
        <x:v>78</x:v>
      </x:c>
      <x:c r="P54" s="50" t="n">
        <x:v>19</x:v>
      </x:c>
    </x:row>
    <x:row r="55" ht="36" customHeight="1">
      <x:c r="A55" s="53" t="n">
        <x:v>36</x:v>
      </x:c>
      <x:c r="B55" s="53" t="n">
        <x:v>1</x:v>
      </x:c>
      <x:c r="C55" s="40" t="str">
        <x:v>High-Value Frequent Shoppers</x:v>
      </x:c>
      <x:c r="D55" s="60" t="n">
        <x:v>4898.25</x:v>
      </x:c>
      <x:c r="E55" s="50" t="n">
        <x:v>221</x:v>
      </x:c>
      <x:c r="F55" s="46" t="n">
        <x:v>10.045454545454543</x:v>
      </x:c>
      <x:c r="G55" s="46" t="n">
        <x:v>3</x:v>
      </x:c>
      <x:c r="H55" s="61" t="n">
        <x:v>22.164027149321267</x:v>
      </x:c>
      <x:c r="I55" s="52" t="n">
        <x:v>0.7873303167420814</x:v>
      </x:c>
      <x:c r="J55" s="52" t="n">
        <x:v>0.5290195477976828</x:v>
      </x:c>
      <x:c r="K55" s="60" t="n">
        <x:v>4660.09</x:v>
      </x:c>
      <x:c r="L55" s="60" t="n">
        <x:v>238.16</x:v>
      </x:c>
      <x:c r="M55" s="50" t="n">
        <x:v>174</x:v>
      </x:c>
      <x:c r="N55" s="50" t="n">
        <x:v>47</x:v>
      </x:c>
      <x:c r="O55" s="50" t="n">
        <x:v>128</x:v>
      </x:c>
      <x:c r="P55" s="50" t="n">
        <x:v>22</x:v>
      </x:c>
    </x:row>
    <x:row r="56" ht="36" customHeight="1">
      <x:c r="A56" s="53" t="n">
        <x:v>37</x:v>
      </x:c>
      <x:c r="B56" s="53" t="n">
        <x:v>2</x:v>
      </x:c>
      <x:c r="C56" s="40" t="str">
        <x:v>Large-Basket Occasional Shoppers</x:v>
      </x:c>
      <x:c r="D56" s="60" t="n">
        <x:v>2976.66</x:v>
      </x:c>
      <x:c r="E56" s="50" t="n">
        <x:v>63</x:v>
      </x:c>
      <x:c r="F56" s="46" t="n">
        <x:v>3.15</x:v>
      </x:c>
      <x:c r="G56" s="46" t="n">
        <x:v>1</x:v>
      </x:c>
      <x:c r="H56" s="61" t="n">
        <x:v>47.24857142857143</x:v>
      </x:c>
      <x:c r="I56" s="52" t="n">
        <x:v>0.9047619047619048</x:v>
      </x:c>
      <x:c r="J56" s="52" t="n">
        <x:v>0.6913822875303192</x:v>
      </x:c>
      <x:c r="K56" s="60" t="n">
        <x:v>2848.97</x:v>
      </x:c>
      <x:c r="L56" s="60" t="n">
        <x:v>127.69</x:v>
      </x:c>
      <x:c r="M56" s="50" t="n">
        <x:v>57</x:v>
      </x:c>
      <x:c r="N56" s="50" t="n">
        <x:v>6</x:v>
      </x:c>
      <x:c r="O56" s="50" t="n">
        <x:v>81</x:v>
      </x:c>
      <x:c r="P56" s="50" t="n">
        <x:v>20</x:v>
      </x:c>
    </x:row>
    <x:row r="57" ht="36" customHeight="1">
      <x:c r="A57" s="53" t="n">
        <x:v>38</x:v>
      </x:c>
      <x:c r="B57" s="53" t="n">
        <x:v>3</x:v>
      </x:c>
      <x:c r="C57" s="40" t="str">
        <x:v>Low-Value Low-Engagement Shoppers</x:v>
      </x:c>
      <x:c r="D57" s="60" t="n">
        <x:v>706.13</x:v>
      </x:c>
      <x:c r="E57" s="50" t="n">
        <x:v>27</x:v>
      </x:c>
      <x:c r="F57" s="46" t="n">
        <x:v>2.0769230769230766</x:v>
      </x:c>
      <x:c r="G57" s="46" t="n">
        <x:v>160</x:v>
      </x:c>
      <x:c r="H57" s="61" t="n">
        <x:v>26.152962962962963</x:v>
      </x:c>
      <x:c r="I57" s="52" t="n">
        <x:v>0.5925925925925924</x:v>
      </x:c>
      <x:c r="J57" s="52" t="n">
        <x:v>0.3261439111778284</x:v>
      </x:c>
      <x:c r="K57" s="60" t="n">
        <x:v>577.92</x:v>
      </x:c>
      <x:c r="L57" s="60" t="n">
        <x:v>128.21</x:v>
      </x:c>
      <x:c r="M57" s="50" t="n">
        <x:v>16</x:v>
      </x:c>
      <x:c r="N57" s="50" t="n">
        <x:v>11</x:v>
      </x:c>
      <x:c r="O57" s="50" t="n">
        <x:v>68</x:v>
      </x:c>
      <x:c r="P57" s="50" t="n">
        <x:v>13</x:v>
      </x:c>
    </x:row>
    <x:row r="58" ht="36" customHeight="1">
      <x:c r="A58" s="53" t="n">
        <x:v>39</x:v>
      </x:c>
      <x:c r="B58" s="53" t="n">
        <x:v>2</x:v>
      </x:c>
      <x:c r="C58" s="40" t="str">
        <x:v>Large-Basket Occasional Shoppers</x:v>
      </x:c>
      <x:c r="D58" s="60" t="n">
        <x:v>5033.66</x:v>
      </x:c>
      <x:c r="E58" s="50" t="n">
        <x:v>64</x:v>
      </x:c>
      <x:c r="F58" s="46" t="n">
        <x:v>2.9090909090909087</x:v>
      </x:c>
      <x:c r="G58" s="46" t="n">
        <x:v>26</x:v>
      </x:c>
      <x:c r="H58" s="61" t="n">
        <x:v>78.6509375</x:v>
      </x:c>
      <x:c r="I58" s="52" t="n">
        <x:v>0.890625</x:v>
      </x:c>
      <x:c r="J58" s="52" t="n">
        <x:v>0.4801496326728463</x:v>
      </x:c>
      <x:c r="K58" s="60" t="n">
        <x:v>4984.46</x:v>
      </x:c>
      <x:c r="L58" s="60" t="n">
        <x:v>49.2</x:v>
      </x:c>
      <x:c r="M58" s="50" t="n">
        <x:v>57</x:v>
      </x:c>
      <x:c r="N58" s="50" t="n">
        <x:v>7</x:v>
      </x:c>
      <x:c r="O58" s="50" t="n">
        <x:v>172</x:v>
      </x:c>
      <x:c r="P58" s="50" t="n">
        <x:v>22</x:v>
      </x:c>
    </x:row>
    <x:row r="59" ht="36" customHeight="1">
      <x:c r="A59" s="53" t="n">
        <x:v>40</x:v>
      </x:c>
      <x:c r="B59" s="53" t="n">
        <x:v>1</x:v>
      </x:c>
      <x:c r="C59" s="40" t="str">
        <x:v>High-Value Frequent Shoppers</x:v>
      </x:c>
      <x:c r="D59" s="60" t="n">
        <x:v>12907.89</x:v>
      </x:c>
      <x:c r="E59" s="50" t="n">
        <x:v>400</x:v>
      </x:c>
      <x:c r="F59" s="46" t="n">
        <x:v>18.18181818181818</x:v>
      </x:c>
      <x:c r="G59" s="46" t="n">
        <x:v>1</x:v>
      </x:c>
      <x:c r="H59" s="61" t="n">
        <x:v>32.269725</x:v>
      </x:c>
      <x:c r="I59" s="52" t="n">
        <x:v>0.88</x:v>
      </x:c>
      <x:c r="J59" s="52" t="n">
        <x:v>0.4770864951591623</x:v>
      </x:c>
      <x:c r="K59" s="60" t="n">
        <x:v>12402.5</x:v>
      </x:c>
      <x:c r="L59" s="60" t="n">
        <x:v>505.39</x:v>
      </x:c>
      <x:c r="M59" s="50" t="n">
        <x:v>352</x:v>
      </x:c>
      <x:c r="N59" s="50" t="n">
        <x:v>48</x:v>
      </x:c>
      <x:c r="O59" s="50" t="n">
        <x:v>194</x:v>
      </x:c>
      <x:c r="P59" s="50" t="n">
        <x:v>22</x:v>
      </x:c>
    </x:row>
    <x:row r="60" ht="36" customHeight="1">
      <x:c r="A60" s="53" t="n">
        <x:v>41</x:v>
      </x:c>
      <x:c r="B60" s="53" t="n">
        <x:v>2</x:v>
      </x:c>
      <x:c r="C60" s="40" t="str">
        <x:v>Large-Basket Occasional Shoppers</x:v>
      </x:c>
      <x:c r="D60" s="60" t="n">
        <x:v>3107.13</x:v>
      </x:c>
      <x:c r="E60" s="50" t="n">
        <x:v>73</x:v>
      </x:c>
      <x:c r="F60" s="46" t="n">
        <x:v>3.3181818181818183</x:v>
      </x:c>
      <x:c r="G60" s="46" t="n">
        <x:v>4</x:v>
      </x:c>
      <x:c r="H60" s="61" t="n">
        <x:v>42.56342465753425</x:v>
      </x:c>
      <x:c r="I60" s="52" t="n">
        <x:v>0.958904109589041</x:v>
      </x:c>
      <x:c r="J60" s="52" t="n">
        <x:v>0.5398325786175666</x:v>
      </x:c>
      <x:c r="K60" s="60" t="n">
        <x:v>3093.26</x:v>
      </x:c>
      <x:c r="L60" s="60" t="n">
        <x:v>13.87</x:v>
      </x:c>
      <x:c r="M60" s="50" t="n">
        <x:v>70</x:v>
      </x:c>
      <x:c r="N60" s="50" t="n">
        <x:v>3</x:v>
      </x:c>
      <x:c r="O60" s="50" t="n">
        <x:v>89</x:v>
      </x:c>
      <x:c r="P60" s="50" t="n">
        <x:v>22</x:v>
      </x:c>
    </x:row>
    <x:row r="61" ht="36" customHeight="1">
      <x:c r="A61" s="53" t="n">
        <x:v>42</x:v>
      </x:c>
      <x:c r="B61" s="53" t="n">
        <x:v>2</x:v>
      </x:c>
      <x:c r="C61" s="40" t="str">
        <x:v>Large-Basket Occasional Shoppers</x:v>
      </x:c>
      <x:c r="D61" s="60" t="n">
        <x:v>1985.86</x:v>
      </x:c>
      <x:c r="E61" s="50" t="n">
        <x:v>89</x:v>
      </x:c>
      <x:c r="F61" s="46" t="n">
        <x:v>4.238095238095238</x:v>
      </x:c>
      <x:c r="G61" s="46" t="n">
        <x:v>1</x:v>
      </x:c>
      <x:c r="H61" s="61" t="n">
        <x:v>22.313033707865166</x:v>
      </x:c>
      <x:c r="I61" s="52" t="n">
        <x:v>0.9775280898876404</x:v>
      </x:c>
      <x:c r="J61" s="52" t="n">
        <x:v>0.5207063942070437</x:v>
      </x:c>
      <x:c r="K61" s="60" t="n">
        <x:v>1952.26</x:v>
      </x:c>
      <x:c r="L61" s="60" t="n">
        <x:v>33.6</x:v>
      </x:c>
      <x:c r="M61" s="50" t="n">
        <x:v>87</x:v>
      </x:c>
      <x:c r="N61" s="50" t="n">
        <x:v>2</x:v>
      </x:c>
      <x:c r="O61" s="50" t="n">
        <x:v>75</x:v>
      </x:c>
      <x:c r="P61" s="50" t="n">
        <x:v>21</x:v>
      </x:c>
    </x:row>
    <x:row r="62" ht="36" customHeight="1">
      <x:c r="A62" s="53" t="n">
        <x:v>43</x:v>
      </x:c>
      <x:c r="B62" s="53" t="n">
        <x:v>3</x:v>
      </x:c>
      <x:c r="C62" s="40" t="str">
        <x:v>Low-Value Low-Engagement Shoppers</x:v>
      </x:c>
      <x:c r="D62" s="60" t="n">
        <x:v>884.84</x:v>
      </x:c>
      <x:c r="E62" s="50" t="n">
        <x:v>106</x:v>
      </x:c>
      <x:c r="F62" s="46" t="n">
        <x:v>5.3</x:v>
      </x:c>
      <x:c r="G62" s="46" t="n">
        <x:v>1</x:v>
      </x:c>
      <x:c r="H62" s="61" t="n">
        <x:v>8.347547169811321</x:v>
      </x:c>
      <x:c r="I62" s="52" t="n">
        <x:v>0.6698113207547169</x:v>
      </x:c>
      <x:c r="J62" s="52" t="n">
        <x:v>0.6314361918538944</x:v>
      </x:c>
      <x:c r="K62" s="60" t="n">
        <x:v>745.76</x:v>
      </x:c>
      <x:c r="L62" s="60" t="n">
        <x:v>139.08</x:v>
      </x:c>
      <x:c r="M62" s="50" t="n">
        <x:v>71</x:v>
      </x:c>
      <x:c r="N62" s="50" t="n">
        <x:v>35</x:v>
      </x:c>
      <x:c r="O62" s="50" t="n">
        <x:v>72</x:v>
      </x:c>
      <x:c r="P62" s="50" t="n">
        <x:v>20</x:v>
      </x:c>
    </x:row>
    <x:row r="63" ht="36" customHeight="1">
      <x:c r="A63" s="53" t="n">
        <x:v>44</x:v>
      </x:c>
      <x:c r="B63" s="53" t="n">
        <x:v>2</x:v>
      </x:c>
      <x:c r="C63" s="40" t="str">
        <x:v>Large-Basket Occasional Shoppers</x:v>
      </x:c>
      <x:c r="D63" s="60" t="n">
        <x:v>877.76</x:v>
      </x:c>
      <x:c r="E63" s="50" t="n">
        <x:v>31</x:v>
      </x:c>
      <x:c r="F63" s="46" t="n">
        <x:v>1.9375</x:v>
      </x:c>
      <x:c r="G63" s="46" t="n">
        <x:v>83</x:v>
      </x:c>
      <x:c r="H63" s="61" t="n">
        <x:v>28.314838709677417</x:v>
      </x:c>
      <x:c r="I63" s="52" t="n">
        <x:v>0.9032258064516128</x:v>
      </x:c>
      <x:c r="J63" s="52" t="n">
        <x:v>0.4750273423259205</x:v>
      </x:c>
      <x:c r="K63" s="60" t="n">
        <x:v>863.63</x:v>
      </x:c>
      <x:c r="L63" s="60" t="n">
        <x:v>14.13</x:v>
      </x:c>
      <x:c r="M63" s="50" t="n">
        <x:v>28</x:v>
      </x:c>
      <x:c r="N63" s="50" t="n">
        <x:v>3</x:v>
      </x:c>
      <x:c r="O63" s="50" t="n">
        <x:v>91</x:v>
      </x:c>
      <x:c r="P63" s="50" t="n">
        <x:v>16</x:v>
      </x:c>
    </x:row>
    <x:row r="64" ht="36" customHeight="1">
      <x:c r="A64" s="53" t="n">
        <x:v>45</x:v>
      </x:c>
      <x:c r="B64" s="53" t="n">
        <x:v>3</x:v>
      </x:c>
      <x:c r="C64" s="40" t="str">
        <x:v>Low-Value Low-Engagement Shoppers</x:v>
      </x:c>
      <x:c r="D64" s="60" t="n">
        <x:v>807.09</x:v>
      </x:c>
      <x:c r="E64" s="50" t="n">
        <x:v>57</x:v>
      </x:c>
      <x:c r="F64" s="46" t="n">
        <x:v>4.384615384615385</x:v>
      </x:c>
      <x:c r="G64" s="46" t="n">
        <x:v>124</x:v>
      </x:c>
      <x:c r="H64" s="61" t="n">
        <x:v>14.159473684210528</x:v>
      </x:c>
      <x:c r="I64" s="52" t="n">
        <x:v>0.5964912280701754</x:v>
      </x:c>
      <x:c r="J64" s="52" t="n">
        <x:v>0.284342514465549</x:v>
      </x:c>
      <x:c r="K64" s="60" t="n">
        <x:v>598.24</x:v>
      </x:c>
      <x:c r="L64" s="60" t="n">
        <x:v>208.85</x:v>
      </x:c>
      <x:c r="M64" s="50" t="n">
        <x:v>34</x:v>
      </x:c>
      <x:c r="N64" s="50" t="n">
        <x:v>23</x:v>
      </x:c>
      <x:c r="O64" s="50" t="n">
        <x:v>64</x:v>
      </x:c>
      <x:c r="P64" s="50" t="n">
        <x:v>13</x:v>
      </x:c>
    </x:row>
    <x:row r="65" ht="36" customHeight="1">
      <x:c r="A65" s="53" t="n">
        <x:v>46</x:v>
      </x:c>
      <x:c r="B65" s="53" t="n">
        <x:v>1</x:v>
      </x:c>
      <x:c r="C65" s="40" t="str">
        <x:v>High-Value Frequent Shoppers</x:v>
      </x:c>
      <x:c r="D65" s="60" t="n">
        <x:v>8433.43</x:v>
      </x:c>
      <x:c r="E65" s="50" t="n">
        <x:v>137</x:v>
      </x:c>
      <x:c r="F65" s="46" t="n">
        <x:v>6.227272727272728</x:v>
      </x:c>
      <x:c r="G65" s="46" t="n">
        <x:v>0</x:v>
      </x:c>
      <x:c r="H65" s="61" t="n">
        <x:v>61.55788321167884</x:v>
      </x:c>
      <x:c r="I65" s="52" t="n">
        <x:v>0.8686131386861313</x:v>
      </x:c>
      <x:c r="J65" s="52" t="n">
        <x:v>0.4820055422289625</x:v>
      </x:c>
      <x:c r="K65" s="60" t="n">
        <x:v>8176.64</x:v>
      </x:c>
      <x:c r="L65" s="60" t="n">
        <x:v>256.79</x:v>
      </x:c>
      <x:c r="M65" s="50" t="n">
        <x:v>119</x:v>
      </x:c>
      <x:c r="N65" s="50" t="n">
        <x:v>18</x:v>
      </x:c>
      <x:c r="O65" s="50" t="n">
        <x:v>196</x:v>
      </x:c>
      <x:c r="P65" s="50" t="n">
        <x:v>22</x:v>
      </x:c>
    </x:row>
    <x:row r="66" ht="36" customHeight="1">
      <x:c r="A66" s="53" t="n">
        <x:v>47</x:v>
      </x:c>
      <x:c r="B66" s="53" t="n">
        <x:v>1</x:v>
      </x:c>
      <x:c r="C66" s="40" t="str">
        <x:v>High-Value Frequent Shoppers</x:v>
      </x:c>
      <x:c r="D66" s="60" t="n">
        <x:v>2329.13</x:v>
      </x:c>
      <x:c r="E66" s="50" t="n">
        <x:v>111</x:v>
      </x:c>
      <x:c r="F66" s="46" t="n">
        <x:v>5.285714285714286</x:v>
      </x:c>
      <x:c r="G66" s="46" t="n">
        <x:v>3</x:v>
      </x:c>
      <x:c r="H66" s="61" t="n">
        <x:v>20.98315315315316</x:v>
      </x:c>
      <x:c r="I66" s="52" t="n">
        <x:v>0.7657657657657657</x:v>
      </x:c>
      <x:c r="J66" s="52" t="n">
        <x:v>0.3877585192754376</x:v>
      </x:c>
      <x:c r="K66" s="60" t="n">
        <x:v>1961.31</x:v>
      </x:c>
      <x:c r="L66" s="60" t="n">
        <x:v>367.82</x:v>
      </x:c>
      <x:c r="M66" s="50" t="n">
        <x:v>85</x:v>
      </x:c>
      <x:c r="N66" s="50" t="n">
        <x:v>26</x:v>
      </x:c>
      <x:c r="O66" s="50" t="n">
        <x:v>135</x:v>
      </x:c>
      <x:c r="P66" s="50" t="n">
        <x:v>21</x:v>
      </x:c>
    </x:row>
    <x:row r="67" ht="36" customHeight="1">
      <x:c r="A67" s="53" t="n">
        <x:v>48</x:v>
      </x:c>
      <x:c r="B67" s="53" t="n">
        <x:v>2</x:v>
      </x:c>
      <x:c r="C67" s="40" t="str">
        <x:v>Large-Basket Occasional Shoppers</x:v>
      </x:c>
      <x:c r="D67" s="60" t="n">
        <x:v>1172.83</x:v>
      </x:c>
      <x:c r="E67" s="50" t="n">
        <x:v>50</x:v>
      </x:c>
      <x:c r="F67" s="46" t="n">
        <x:v>3.125</x:v>
      </x:c>
      <x:c r="G67" s="46" t="n">
        <x:v>2</x:v>
      </x:c>
      <x:c r="H67" s="61" t="n">
        <x:v>23.4566</x:v>
      </x:c>
      <x:c r="I67" s="52" t="n">
        <x:v>0.9</x:v>
      </x:c>
      <x:c r="J67" s="52" t="n">
        <x:v>0.5070982154276408</x:v>
      </x:c>
      <x:c r="K67" s="60" t="n">
        <x:v>1124.75</x:v>
      </x:c>
      <x:c r="L67" s="60" t="n">
        <x:v>48.08</x:v>
      </x:c>
      <x:c r="M67" s="50" t="n">
        <x:v>45</x:v>
      </x:c>
      <x:c r="N67" s="50" t="n">
        <x:v>5</x:v>
      </x:c>
      <x:c r="O67" s="50" t="n">
        <x:v>87</x:v>
      </x:c>
      <x:c r="P67" s="50" t="n">
        <x:v>16</x:v>
      </x:c>
    </x:row>
    <x:row r="68" ht="36" customHeight="1">
      <x:c r="A68" s="53" t="n">
        <x:v>49</x:v>
      </x:c>
      <x:c r="B68" s="53" t="n">
        <x:v>1</x:v>
      </x:c>
      <x:c r="C68" s="40" t="str">
        <x:v>High-Value Frequent Shoppers</x:v>
      </x:c>
      <x:c r="D68" s="60" t="n">
        <x:v>6445.03</x:v>
      </x:c>
      <x:c r="E68" s="50" t="n">
        <x:v>121</x:v>
      </x:c>
      <x:c r="F68" s="46" t="n">
        <x:v>5.761904761904762</x:v>
      </x:c>
      <x:c r="G68" s="46" t="n">
        <x:v>9</x:v>
      </x:c>
      <x:c r="H68" s="61" t="n">
        <x:v>53.26471074380165</x:v>
      </x:c>
      <x:c r="I68" s="52" t="n">
        <x:v>0.9173553719008264</x:v>
      </x:c>
      <x:c r="J68" s="52" t="n">
        <x:v>0.6698960284125907</x:v>
      </x:c>
      <x:c r="K68" s="60" t="n">
        <x:v>6354.71</x:v>
      </x:c>
      <x:c r="L68" s="60" t="n">
        <x:v>90.32</x:v>
      </x:c>
      <x:c r="M68" s="50" t="n">
        <x:v>111</x:v>
      </x:c>
      <x:c r="N68" s="50" t="n">
        <x:v>10</x:v>
      </x:c>
      <x:c r="O68" s="50" t="n">
        <x:v>162</x:v>
      </x:c>
      <x:c r="P68" s="50" t="n">
        <x:v>21</x:v>
      </x:c>
    </x:row>
    <x:row r="69" ht="36" customHeight="1">
      <x:c r="A69" s="53" t="n">
        <x:v>50</x:v>
      </x:c>
      <x:c r="B69" s="53" t="n">
        <x:v>3</x:v>
      </x:c>
      <x:c r="C69" s="40" t="str">
        <x:v>Low-Value Low-Engagement Shoppers</x:v>
      </x:c>
      <x:c r="D69" s="60" t="n">
        <x:v>351.39</x:v>
      </x:c>
      <x:c r="E69" s="50" t="n">
        <x:v>15</x:v>
      </x:c>
      <x:c r="F69" s="46" t="n">
        <x:v>1.5</x:v>
      </x:c>
      <x:c r="G69" s="46" t="n">
        <x:v>36</x:v>
      </x:c>
      <x:c r="H69" s="61" t="n">
        <x:v>23.426</x:v>
      </x:c>
      <x:c r="I69" s="52" t="n">
        <x:v>0.3333333333333333</x:v>
      </x:c>
      <x:c r="J69" s="52" t="n">
        <x:v>0.3307436182019977</x:v>
      </x:c>
      <x:c r="K69" s="60" t="n">
        <x:v>230.5</x:v>
      </x:c>
      <x:c r="L69" s="60" t="n">
        <x:v>120.89</x:v>
      </x:c>
      <x:c r="M69" s="50" t="n">
        <x:v>5</x:v>
      </x:c>
      <x:c r="N69" s="50" t="n">
        <x:v>10</x:v>
      </x:c>
      <x:c r="O69" s="50" t="n">
        <x:v>53</x:v>
      </x:c>
      <x:c r="P69" s="50" t="n">
        <x:v>10</x:v>
      </x:c>
    </x:row>
    <x:row r="70" ht="36" customHeight="1">
      <x:c r="A70" s="53" t="n">
        <x:v>51</x:v>
      </x:c>
      <x:c r="B70" s="53" t="n">
        <x:v>2</x:v>
      </x:c>
      <x:c r="C70" s="40" t="str">
        <x:v>Large-Basket Occasional Shoppers</x:v>
      </x:c>
      <x:c r="D70" s="60" t="n">
        <x:v>3046.86</x:v>
      </x:c>
      <x:c r="E70" s="50" t="n">
        <x:v>83</x:v>
      </x:c>
      <x:c r="F70" s="46" t="n">
        <x:v>3.6086956521739126</x:v>
      </x:c>
      <x:c r="G70" s="46" t="n">
        <x:v>1</x:v>
      </x:c>
      <x:c r="H70" s="61" t="n">
        <x:v>36.709156626506015</x:v>
      </x:c>
      <x:c r="I70" s="52" t="n">
        <x:v>0.891566265060241</x:v>
      </x:c>
      <x:c r="J70" s="52" t="n">
        <x:v>0.3912486953781926</x:v>
      </x:c>
      <x:c r="K70" s="60" t="n">
        <x:v>2942.57</x:v>
      </x:c>
      <x:c r="L70" s="60" t="n">
        <x:v>104.29</x:v>
      </x:c>
      <x:c r="M70" s="50" t="n">
        <x:v>74</x:v>
      </x:c>
      <x:c r="N70" s="50" t="n">
        <x:v>9</x:v>
      </x:c>
      <x:c r="O70" s="50" t="n">
        <x:v>112</x:v>
      </x:c>
      <x:c r="P70" s="50" t="n">
        <x:v>23</x:v>
      </x:c>
    </x:row>
    <x:row r="71" ht="36" customHeight="1">
      <x:c r="A71" s="53" t="n">
        <x:v>52</x:v>
      </x:c>
      <x:c r="B71" s="53" t="n">
        <x:v>1</x:v>
      </x:c>
      <x:c r="C71" s="40" t="str">
        <x:v>High-Value Frequent Shoppers</x:v>
      </x:c>
      <x:c r="D71" s="60" t="n">
        <x:v>5487.28</x:v>
      </x:c>
      <x:c r="E71" s="50" t="n">
        <x:v>139</x:v>
      </x:c>
      <x:c r="F71" s="46" t="n">
        <x:v>5.791666666666666</x:v>
      </x:c>
      <x:c r="G71" s="46" t="n">
        <x:v>0</x:v>
      </x:c>
      <x:c r="H71" s="61" t="n">
        <x:v>39.4768345323741</x:v>
      </x:c>
      <x:c r="I71" s="52" t="n">
        <x:v>0.8201438848920863</x:v>
      </x:c>
      <x:c r="J71" s="52" t="n">
        <x:v>0.412339082386902</x:v>
      </x:c>
      <x:c r="K71" s="60" t="n">
        <x:v>5175.53</x:v>
      </x:c>
      <x:c r="L71" s="60" t="n">
        <x:v>311.75</x:v>
      </x:c>
      <x:c r="M71" s="50" t="n">
        <x:v>114</x:v>
      </x:c>
      <x:c r="N71" s="50" t="n">
        <x:v>25</x:v>
      </x:c>
      <x:c r="O71" s="50" t="n">
        <x:v>178</x:v>
      </x:c>
      <x:c r="P71" s="50" t="n">
        <x:v>24</x:v>
      </x:c>
    </x:row>
    <x:row r="72" ht="36" customHeight="1">
      <x:c r="A72" s="53" t="n">
        <x:v>53</x:v>
      </x:c>
      <x:c r="B72" s="53" t="n">
        <x:v>2</x:v>
      </x:c>
      <x:c r="C72" s="40" t="str">
        <x:v>Large-Basket Occasional Shoppers</x:v>
      </x:c>
      <x:c r="D72" s="60" t="n">
        <x:v>1961.49</x:v>
      </x:c>
      <x:c r="E72" s="50" t="n">
        <x:v>56</x:v>
      </x:c>
      <x:c r="F72" s="46" t="n">
        <x:v>2.5454545454545454</x:v>
      </x:c>
      <x:c r="G72" s="46" t="n">
        <x:v>5</x:v>
      </x:c>
      <x:c r="H72" s="61" t="n">
        <x:v>35.026607142857145</x:v>
      </x:c>
      <x:c r="I72" s="52" t="n">
        <x:v>0.8928571428571428</x:v>
      </x:c>
      <x:c r="J72" s="52" t="n">
        <x:v>0.5794880422535928</x:v>
      </x:c>
      <x:c r="K72" s="60" t="n">
        <x:v>1915.18</x:v>
      </x:c>
      <x:c r="L72" s="60" t="n">
        <x:v>46.31</x:v>
      </x:c>
      <x:c r="M72" s="50" t="n">
        <x:v>50</x:v>
      </x:c>
      <x:c r="N72" s="50" t="n">
        <x:v>6</x:v>
      </x:c>
      <x:c r="O72" s="50" t="n">
        <x:v>101</x:v>
      </x:c>
      <x:c r="P72" s="50" t="n">
        <x:v>22</x:v>
      </x:c>
    </x:row>
    <x:row r="73" ht="36" customHeight="1">
      <x:c r="A73" s="53" t="n">
        <x:v>54</x:v>
      </x:c>
      <x:c r="B73" s="53" t="n">
        <x:v>3</x:v>
      </x:c>
      <x:c r="C73" s="40" t="str">
        <x:v>Low-Value Low-Engagement Shoppers</x:v>
      </x:c>
      <x:c r="D73" s="60" t="n">
        <x:v>103.09</x:v>
      </x:c>
      <x:c r="E73" s="50" t="n">
        <x:v>11</x:v>
      </x:c>
      <x:c r="F73" s="46" t="n">
        <x:v>1.222222222222222</x:v>
      </x:c>
      <x:c r="G73" s="46" t="n">
        <x:v>216</x:v>
      </x:c>
      <x:c r="H73" s="61" t="n">
        <x:v>9.37181818181818</x:v>
      </x:c>
      <x:c r="I73" s="52" t="n">
        <x:v>0.909090909090909</x:v>
      </x:c>
      <x:c r="J73" s="52" t="n">
        <x:v>0.5364244834610534</x:v>
      </x:c>
      <x:c r="K73" s="60" t="n">
        <x:v>82.12</x:v>
      </x:c>
      <x:c r="L73" s="60" t="n">
        <x:v>20.97</x:v>
      </x:c>
      <x:c r="M73" s="50" t="n">
        <x:v>10</x:v>
      </x:c>
      <x:c r="N73" s="50" t="n">
        <x:v>1</x:v>
      </x:c>
      <x:c r="O73" s="50" t="n">
        <x:v>19</x:v>
      </x:c>
      <x:c r="P73" s="50" t="n">
        <x:v>9</x:v>
      </x:c>
    </x:row>
    <x:row r="74" ht="36" customHeight="1">
      <x:c r="A74" s="53" t="n">
        <x:v>55</x:v>
      </x:c>
      <x:c r="B74" s="53" t="n">
        <x:v>3</x:v>
      </x:c>
      <x:c r="C74" s="40" t="str">
        <x:v>Low-Value Low-Engagement Shoppers</x:v>
      </x:c>
      <x:c r="D74" s="60" t="n">
        <x:v>1072.79</x:v>
      </x:c>
      <x:c r="E74" s="50" t="n">
        <x:v>141</x:v>
      </x:c>
      <x:c r="F74" s="46" t="n">
        <x:v>6.409090909090909</x:v>
      </x:c>
      <x:c r="G74" s="46" t="n">
        <x:v>8</x:v>
      </x:c>
      <x:c r="H74" s="61" t="n">
        <x:v>7.608439716312056</x:v>
      </x:c>
      <x:c r="I74" s="52" t="n">
        <x:v>0.8226950354609929</x:v>
      </x:c>
      <x:c r="J74" s="52" t="n">
        <x:v>0.4890798758377688</x:v>
      </x:c>
      <x:c r="K74" s="60" t="n">
        <x:v>824.57</x:v>
      </x:c>
      <x:c r="L74" s="60" t="n">
        <x:v>248.22</x:v>
      </x:c>
      <x:c r="M74" s="50" t="n">
        <x:v>116</x:v>
      </x:c>
      <x:c r="N74" s="50" t="n">
        <x:v>25</x:v>
      </x:c>
      <x:c r="O74" s="50" t="n">
        <x:v>83</x:v>
      </x:c>
      <x:c r="P74" s="50" t="n">
        <x:v>22</x:v>
      </x:c>
    </x:row>
    <x:row r="75" ht="36" customHeight="1">
      <x:c r="A75" s="53" t="n">
        <x:v>56</x:v>
      </x:c>
      <x:c r="B75" s="53" t="n">
        <x:v>1</x:v>
      </x:c>
      <x:c r="C75" s="40" t="str">
        <x:v>High-Value Frequent Shoppers</x:v>
      </x:c>
      <x:c r="D75" s="60" t="n">
        <x:v>6691.53</x:v>
      </x:c>
      <x:c r="E75" s="50" t="n">
        <x:v>201</x:v>
      </x:c>
      <x:c r="F75" s="46" t="n">
        <x:v>9.571428571428571</x:v>
      </x:c>
      <x:c r="G75" s="46" t="n">
        <x:v>2</x:v>
      </x:c>
      <x:c r="H75" s="61" t="n">
        <x:v>33.29119402985074</x:v>
      </x:c>
      <x:c r="I75" s="52" t="n">
        <x:v>0.8457711442786069</x:v>
      </x:c>
      <x:c r="J75" s="52" t="n">
        <x:v>0.4613503937066709</x:v>
      </x:c>
      <x:c r="K75" s="60" t="n">
        <x:v>6354.89</x:v>
      </x:c>
      <x:c r="L75" s="60" t="n">
        <x:v>336.64</x:v>
      </x:c>
      <x:c r="M75" s="50" t="n">
        <x:v>170</x:v>
      </x:c>
      <x:c r="N75" s="50" t="n">
        <x:v>31</x:v>
      </x:c>
      <x:c r="O75" s="50" t="n">
        <x:v>180</x:v>
      </x:c>
      <x:c r="P75" s="50" t="n">
        <x:v>21</x:v>
      </x:c>
    </x:row>
    <x:row r="76" ht="36" customHeight="1">
      <x:c r="A76" s="53" t="n">
        <x:v>57</x:v>
      </x:c>
      <x:c r="B76" s="53" t="n">
        <x:v>1</x:v>
      </x:c>
      <x:c r="C76" s="40" t="str">
        <x:v>High-Value Frequent Shoppers</x:v>
      </x:c>
      <x:c r="D76" s="60" t="n">
        <x:v>3105.87</x:v>
      </x:c>
      <x:c r="E76" s="50" t="n">
        <x:v>193</x:v>
      </x:c>
      <x:c r="F76" s="46" t="n">
        <x:v>8.391304347826086</x:v>
      </x:c>
      <x:c r="G76" s="46" t="n">
        <x:v>2</x:v>
      </x:c>
      <x:c r="H76" s="61" t="n">
        <x:v>16.092590673575128</x:v>
      </x:c>
      <x:c r="I76" s="52" t="n">
        <x:v>0.8290155440414507</x:v>
      </x:c>
      <x:c r="J76" s="52" t="n">
        <x:v>0.4889129293885449</x:v>
      </x:c>
      <x:c r="K76" s="60" t="n">
        <x:v>2711.01</x:v>
      </x:c>
      <x:c r="L76" s="60" t="n">
        <x:v>394.86</x:v>
      </x:c>
      <x:c r="M76" s="50" t="n">
        <x:v>160</x:v>
      </x:c>
      <x:c r="N76" s="50" t="n">
        <x:v>33</x:v>
      </x:c>
      <x:c r="O76" s="50" t="n">
        <x:v>142</x:v>
      </x:c>
      <x:c r="P76" s="50" t="n">
        <x:v>23</x:v>
      </x:c>
    </x:row>
    <x:row r="77" ht="36" customHeight="1">
      <x:c r="A77" s="53" t="n">
        <x:v>58</x:v>
      </x:c>
      <x:c r="B77" s="53" t="n">
        <x:v>1</x:v>
      </x:c>
      <x:c r="C77" s="40" t="str">
        <x:v>High-Value Frequent Shoppers</x:v>
      </x:c>
      <x:c r="D77" s="60" t="n">
        <x:v>10367.08</x:v>
      </x:c>
      <x:c r="E77" s="50" t="n">
        <x:v>268</x:v>
      </x:c>
      <x:c r="F77" s="46" t="n">
        <x:v>12.18181818181818</x:v>
      </x:c>
      <x:c r="G77" s="46" t="n">
        <x:v>0</x:v>
      </x:c>
      <x:c r="H77" s="61" t="n">
        <x:v>38.68313432835821</x:v>
      </x:c>
      <x:c r="I77" s="52" t="n">
        <x:v>0.8917910447761194</x:v>
      </x:c>
      <x:c r="J77" s="52" t="n">
        <x:v>0.6366199547027706</x:v>
      </x:c>
      <x:c r="K77" s="60" t="n">
        <x:v>9998.33</x:v>
      </x:c>
      <x:c r="L77" s="60" t="n">
        <x:v>368.75</x:v>
      </x:c>
      <x:c r="M77" s="50" t="n">
        <x:v>239</x:v>
      </x:c>
      <x:c r="N77" s="50" t="n">
        <x:v>29</x:v>
      </x:c>
      <x:c r="O77" s="50" t="n">
        <x:v>183</x:v>
      </x:c>
      <x:c r="P77" s="50" t="n">
        <x:v>22</x:v>
      </x:c>
    </x:row>
    <x:row r="78" ht="36" customHeight="1">
      <x:c r="A78" s="53" t="n">
        <x:v>59</x:v>
      </x:c>
      <x:c r="B78" s="53" t="n">
        <x:v>2</x:v>
      </x:c>
      <x:c r="C78" s="40" t="str">
        <x:v>Large-Basket Occasional Shoppers</x:v>
      </x:c>
      <x:c r="D78" s="60" t="n">
        <x:v>1688.33</x:v>
      </x:c>
      <x:c r="E78" s="50" t="n">
        <x:v>44</x:v>
      </x:c>
      <x:c r="F78" s="46" t="n">
        <x:v>2.2</x:v>
      </x:c>
      <x:c r="G78" s="46" t="n">
        <x:v>27</x:v>
      </x:c>
      <x:c r="H78" s="61" t="n">
        <x:v>38.37113636363636</x:v>
      </x:c>
      <x:c r="I78" s="52" t="n">
        <x:v>0.8181818181818181</x:v>
      </x:c>
      <x:c r="J78" s="52" t="n">
        <x:v>0.5435074896495353</x:v>
      </x:c>
      <x:c r="K78" s="60" t="n">
        <x:v>1618.27</x:v>
      </x:c>
      <x:c r="L78" s="60" t="n">
        <x:v>70.06</x:v>
      </x:c>
      <x:c r="M78" s="50" t="n">
        <x:v>36</x:v>
      </x:c>
      <x:c r="N78" s="50" t="n">
        <x:v>8</x:v>
      </x:c>
      <x:c r="O78" s="50" t="n">
        <x:v>121</x:v>
      </x:c>
      <x:c r="P78" s="50" t="n">
        <x:v>20</x:v>
      </x:c>
    </x:row>
    <x:row r="79" ht="36" customHeight="1">
      <x:c r="A79" s="53" t="n">
        <x:v>60</x:v>
      </x:c>
      <x:c r="B79" s="53" t="n">
        <x:v>3</x:v>
      </x:c>
      <x:c r="C79" s="40" t="str">
        <x:v>Low-Value Low-Engagement Shoppers</x:v>
      </x:c>
      <x:c r="D79" s="60" t="n">
        <x:v>400.94</x:v>
      </x:c>
      <x:c r="E79" s="50" t="n">
        <x:v>8</x:v>
      </x:c>
      <x:c r="F79" s="46" t="n">
        <x:v>1.6</x:v>
      </x:c>
      <x:c r="G79" s="46" t="n">
        <x:v>14</x:v>
      </x:c>
      <x:c r="H79" s="61" t="n">
        <x:v>50.1175</x:v>
      </x:c>
      <x:c r="I79" s="52" t="n">
        <x:v>0.75</x:v>
      </x:c>
      <x:c r="J79" s="52" t="n">
        <x:v>0.5282087095325984</x:v>
      </x:c>
      <x:c r="K79" s="60" t="n">
        <x:v>377.49</x:v>
      </x:c>
      <x:c r="L79" s="60" t="n">
        <x:v>23.45</x:v>
      </x:c>
      <x:c r="M79" s="50" t="n">
        <x:v>6</x:v>
      </x:c>
      <x:c r="N79" s="50" t="n">
        <x:v>2</x:v>
      </x:c>
      <x:c r="O79" s="50" t="n">
        <x:v>57</x:v>
      </x:c>
      <x:c r="P79" s="50" t="n">
        <x:v>5</x:v>
      </x:c>
    </x:row>
    <x:row r="80" ht="36" customHeight="1">
      <x:c r="A80" s="53" t="n">
        <x:v>61</x:v>
      </x:c>
      <x:c r="B80" s="53" t="n">
        <x:v>3</x:v>
      </x:c>
      <x:c r="C80" s="40" t="str">
        <x:v>Low-Value Low-Engagement Shoppers</x:v>
      </x:c>
      <x:c r="D80" s="60" t="n">
        <x:v>183.8</x:v>
      </x:c>
      <x:c r="E80" s="50" t="n">
        <x:v>11</x:v>
      </x:c>
      <x:c r="F80" s="46" t="n">
        <x:v>1.5714285714285714</x:v>
      </x:c>
      <x:c r="G80" s="46" t="n">
        <x:v>16</x:v>
      </x:c>
      <x:c r="H80" s="61" t="n">
        <x:v>16.709090909090907</x:v>
      </x:c>
      <x:c r="I80" s="52" t="n">
        <x:v>0.7272727272727272</x:v>
      </x:c>
      <x:c r="J80" s="52" t="n">
        <x:v>0.5505984766050054</x:v>
      </x:c>
      <x:c r="K80" s="60" t="n">
        <x:v>137.05</x:v>
      </x:c>
      <x:c r="L80" s="60" t="n">
        <x:v>46.75</x:v>
      </x:c>
      <x:c r="M80" s="50" t="n">
        <x:v>8</x:v>
      </x:c>
      <x:c r="N80" s="50" t="n">
        <x:v>3</x:v>
      </x:c>
      <x:c r="O80" s="50" t="n">
        <x:v>23</x:v>
      </x:c>
      <x:c r="P80" s="50" t="n">
        <x:v>7</x:v>
      </x:c>
    </x:row>
    <x:row r="81" ht="36" customHeight="1">
      <x:c r="A81" s="53" t="n">
        <x:v>62</x:v>
      </x:c>
      <x:c r="B81" s="53" t="n">
        <x:v>3</x:v>
      </x:c>
      <x:c r="C81" s="40" t="str">
        <x:v>Low-Value Low-Engagement Shoppers</x:v>
      </x:c>
      <x:c r="D81" s="60" t="n">
        <x:v>359.29</x:v>
      </x:c>
      <x:c r="E81" s="50" t="n">
        <x:v>33</x:v>
      </x:c>
      <x:c r="F81" s="46" t="n">
        <x:v>2.2</x:v>
      </x:c>
      <x:c r="G81" s="46" t="n">
        <x:v>42</x:v>
      </x:c>
      <x:c r="H81" s="61" t="n">
        <x:v>10.887575757575757</x:v>
      </x:c>
      <x:c r="I81" s="52" t="n">
        <x:v>0.9393939393939392</x:v>
      </x:c>
      <x:c r="J81" s="52" t="n">
        <x:v>0.5152383868184474</x:v>
      </x:c>
      <x:c r="K81" s="60" t="n">
        <x:v>351.02</x:v>
      </x:c>
      <x:c r="L81" s="60" t="n">
        <x:v>8.27</x:v>
      </x:c>
      <x:c r="M81" s="50" t="n">
        <x:v>31</x:v>
      </x:c>
      <x:c r="N81" s="50" t="n">
        <x:v>2</x:v>
      </x:c>
      <x:c r="O81" s="50" t="n">
        <x:v>85</x:v>
      </x:c>
      <x:c r="P81" s="50" t="n">
        <x:v>15</x:v>
      </x:c>
    </x:row>
    <x:row r="82" ht="36" customHeight="1">
      <x:c r="A82" s="53" t="n">
        <x:v>63</x:v>
      </x:c>
      <x:c r="B82" s="53" t="n">
        <x:v>3</x:v>
      </x:c>
      <x:c r="C82" s="40" t="str">
        <x:v>Low-Value Low-Engagement Shoppers</x:v>
      </x:c>
      <x:c r="D82" s="60" t="n">
        <x:v>589.6</x:v>
      </x:c>
      <x:c r="E82" s="50" t="n">
        <x:v>33</x:v>
      </x:c>
      <x:c r="F82" s="46" t="n">
        <x:v>1.736842105263158</x:v>
      </x:c>
      <x:c r="G82" s="46" t="n">
        <x:v>1</x:v>
      </x:c>
      <x:c r="H82" s="61" t="n">
        <x:v>17.866666666666667</x:v>
      </x:c>
      <x:c r="I82" s="52" t="n">
        <x:v>0.6969696969696969</x:v>
      </x:c>
      <x:c r="J82" s="52" t="n">
        <x:v>0.3159599728629579</x:v>
      </x:c>
      <x:c r="K82" s="60" t="n">
        <x:v>426.3</x:v>
      </x:c>
      <x:c r="L82" s="60" t="n">
        <x:v>163.3</x:v>
      </x:c>
      <x:c r="M82" s="50" t="n">
        <x:v>23</x:v>
      </x:c>
      <x:c r="N82" s="50" t="n">
        <x:v>10</x:v>
      </x:c>
      <x:c r="O82" s="50" t="n">
        <x:v>34</x:v>
      </x:c>
      <x:c r="P82" s="50" t="n">
        <x:v>19</x:v>
      </x:c>
    </x:row>
    <x:row r="83" ht="36" customHeight="1">
      <x:c r="A83" s="53" t="n">
        <x:v>64</x:v>
      </x:c>
      <x:c r="B83" s="53" t="n">
        <x:v>1</x:v>
      </x:c>
      <x:c r="C83" s="40" t="str">
        <x:v>High-Value Frequent Shoppers</x:v>
      </x:c>
      <x:c r="D83" s="60" t="n">
        <x:v>3917.81</x:v>
      </x:c>
      <x:c r="E83" s="50" t="n">
        <x:v>262</x:v>
      </x:c>
      <x:c r="F83" s="46" t="n">
        <x:v>12.476190476190476</x:v>
      </x:c>
      <x:c r="G83" s="46" t="n">
        <x:v>0</x:v>
      </x:c>
      <x:c r="H83" s="61" t="n">
        <x:v>14.953473282442747</x:v>
      </x:c>
      <x:c r="I83" s="52" t="n">
        <x:v>0.7977099236641221</x:v>
      </x:c>
      <x:c r="J83" s="52" t="n">
        <x:v>0.373205949242051</x:v>
      </x:c>
      <x:c r="K83" s="60" t="n">
        <x:v>3110.57</x:v>
      </x:c>
      <x:c r="L83" s="60" t="n">
        <x:v>807.24</x:v>
      </x:c>
      <x:c r="M83" s="50" t="n">
        <x:v>209</x:v>
      </x:c>
      <x:c r="N83" s="50" t="n">
        <x:v>53</x:v>
      </x:c>
      <x:c r="O83" s="50" t="n">
        <x:v>146</x:v>
      </x:c>
      <x:c r="P83" s="50" t="n">
        <x:v>21</x:v>
      </x:c>
    </x:row>
    <x:row r="84" ht="36" customHeight="1">
      <x:c r="A84" s="53" t="n">
        <x:v>65</x:v>
      </x:c>
      <x:c r="B84" s="53" t="n">
        <x:v>3</x:v>
      </x:c>
      <x:c r="C84" s="40" t="str">
        <x:v>Low-Value Low-Engagement Shoppers</x:v>
      </x:c>
      <x:c r="D84" s="60" t="n">
        <x:v>2042.17</x:v>
      </x:c>
      <x:c r="E84" s="50" t="n">
        <x:v>122</x:v>
      </x:c>
      <x:c r="F84" s="46" t="n">
        <x:v>5.545454545454546</x:v>
      </x:c>
      <x:c r="G84" s="46" t="n">
        <x:v>40</x:v>
      </x:c>
      <x:c r="H84" s="61" t="n">
        <x:v>16.739098360655735</x:v>
      </x:c>
      <x:c r="I84" s="52" t="n">
        <x:v>0.6393442622950819</x:v>
      </x:c>
      <x:c r="J84" s="52" t="n">
        <x:v>0.3060225152656243</x:v>
      </x:c>
      <x:c r="K84" s="60" t="n">
        <x:v>1528.05</x:v>
      </x:c>
      <x:c r="L84" s="60" t="n">
        <x:v>514.12</x:v>
      </x:c>
      <x:c r="M84" s="50" t="n">
        <x:v>78</x:v>
      </x:c>
      <x:c r="N84" s="50" t="n">
        <x:v>44</x:v>
      </x:c>
      <x:c r="O84" s="50" t="n">
        <x:v>121</x:v>
      </x:c>
      <x:c r="P84" s="50" t="n">
        <x:v>22</x:v>
      </x:c>
    </x:row>
    <x:row r="85" ht="36" customHeight="1">
      <x:c r="A85" s="53" t="n">
        <x:v>66</x:v>
      </x:c>
      <x:c r="B85" s="53" t="n">
        <x:v>3</x:v>
      </x:c>
      <x:c r="C85" s="40" t="str">
        <x:v>Low-Value Low-Engagement Shoppers</x:v>
      </x:c>
      <x:c r="D85" s="60" t="n">
        <x:v>395.95</x:v>
      </x:c>
      <x:c r="E85" s="50" t="n">
        <x:v>29</x:v>
      </x:c>
      <x:c r="F85" s="46" t="n">
        <x:v>2.230769230769231</x:v>
      </x:c>
      <x:c r="G85" s="46" t="n">
        <x:v>26</x:v>
      </x:c>
      <x:c r="H85" s="61" t="n">
        <x:v>13.653448275862068</x:v>
      </x:c>
      <x:c r="I85" s="52" t="n">
        <x:v>0.8275862068965517</x:v>
      </x:c>
      <x:c r="J85" s="52" t="n">
        <x:v>0.4887738350801868</x:v>
      </x:c>
      <x:c r="K85" s="60" t="n">
        <x:v>363.64</x:v>
      </x:c>
      <x:c r="L85" s="60" t="n">
        <x:v>32.31</x:v>
      </x:c>
      <x:c r="M85" s="50" t="n">
        <x:v>24</x:v>
      </x:c>
      <x:c r="N85" s="50" t="n">
        <x:v>5</x:v>
      </x:c>
      <x:c r="O85" s="50" t="n">
        <x:v>70</x:v>
      </x:c>
      <x:c r="P85" s="50" t="n">
        <x:v>13</x:v>
      </x:c>
    </x:row>
    <x:row r="86" ht="36" customHeight="1">
      <x:c r="A86" s="53" t="n">
        <x:v>67</x:v>
      </x:c>
      <x:c r="B86" s="53" t="n">
        <x:v>1</x:v>
      </x:c>
      <x:c r="C86" s="40" t="str">
        <x:v>High-Value Frequent Shoppers</x:v>
      </x:c>
      <x:c r="D86" s="60" t="n">
        <x:v>9618.9</x:v>
      </x:c>
      <x:c r="E86" s="50" t="n">
        <x:v>227</x:v>
      </x:c>
      <x:c r="F86" s="46" t="n">
        <x:v>10.809523809523808</x:v>
      </x:c>
      <x:c r="G86" s="46" t="n">
        <x:v>2</x:v>
      </x:c>
      <x:c r="H86" s="61" t="n">
        <x:v>42.37400881057269</x:v>
      </x:c>
      <x:c r="I86" s="52" t="n">
        <x:v>0.8854625550660792</x:v>
      </x:c>
      <x:c r="J86" s="52" t="n">
        <x:v>0.6057033548534655</x:v>
      </x:c>
      <x:c r="K86" s="60" t="n">
        <x:v>9385.89</x:v>
      </x:c>
      <x:c r="L86" s="60" t="n">
        <x:v>233.01</x:v>
      </x:c>
      <x:c r="M86" s="50" t="n">
        <x:v>201</x:v>
      </x:c>
      <x:c r="N86" s="50" t="n">
        <x:v>26</x:v>
      </x:c>
      <x:c r="O86" s="50" t="n">
        <x:v>192</x:v>
      </x:c>
      <x:c r="P86" s="50" t="n">
        <x:v>21</x:v>
      </x:c>
    </x:row>
    <x:row r="87" ht="36" customHeight="1">
      <x:c r="A87" s="53" t="n">
        <x:v>68</x:v>
      </x:c>
      <x:c r="B87" s="53" t="n">
        <x:v>1</x:v>
      </x:c>
      <x:c r="C87" s="40" t="str">
        <x:v>High-Value Frequent Shoppers</x:v>
      </x:c>
      <x:c r="D87" s="60" t="n">
        <x:v>4960.77</x:v>
      </x:c>
      <x:c r="E87" s="50" t="n">
        <x:v>552</x:v>
      </x:c>
      <x:c r="F87" s="46" t="n">
        <x:v>23</x:v>
      </x:c>
      <x:c r="G87" s="46" t="n">
        <x:v>5</x:v>
      </x:c>
      <x:c r="H87" s="61" t="n">
        <x:v>8.986902173913043</x:v>
      </x:c>
      <x:c r="I87" s="52" t="n">
        <x:v>0.8858695652173914</x:v>
      </x:c>
      <x:c r="J87" s="52" t="n">
        <x:v>0.7190597427415502</x:v>
      </x:c>
      <x:c r="K87" s="60" t="n">
        <x:v>4719.93</x:v>
      </x:c>
      <x:c r="L87" s="60" t="n">
        <x:v>240.84</x:v>
      </x:c>
      <x:c r="M87" s="50" t="n">
        <x:v>489</x:v>
      </x:c>
      <x:c r="N87" s="50" t="n">
        <x:v>63</x:v>
      </x:c>
      <x:c r="O87" s="50" t="n">
        <x:v>165</x:v>
      </x:c>
      <x:c r="P87" s="50" t="n">
        <x:v>24</x:v>
      </x:c>
    </x:row>
    <x:row r="88" ht="36" customHeight="1">
      <x:c r="A88" s="53" t="n">
        <x:v>69</x:v>
      </x:c>
      <x:c r="B88" s="53" t="n">
        <x:v>1</x:v>
      </x:c>
      <x:c r="C88" s="40" t="str">
        <x:v>High-Value Frequent Shoppers</x:v>
      </x:c>
      <x:c r="D88" s="60" t="n">
        <x:v>5704.34</x:v>
      </x:c>
      <x:c r="E88" s="50" t="n">
        <x:v>183</x:v>
      </x:c>
      <x:c r="F88" s="46" t="n">
        <x:v>8.714285714285714</x:v>
      </x:c>
      <x:c r="G88" s="46" t="n">
        <x:v>0</x:v>
      </x:c>
      <x:c r="H88" s="61" t="n">
        <x:v>31.171256830601088</x:v>
      </x:c>
      <x:c r="I88" s="52" t="n">
        <x:v>0.8469945355191256</x:v>
      </x:c>
      <x:c r="J88" s="52" t="n">
        <x:v>0.4929439689780062</x:v>
      </x:c>
      <x:c r="K88" s="60" t="n">
        <x:v>5488</x:v>
      </x:c>
      <x:c r="L88" s="60" t="n">
        <x:v>216.34</x:v>
      </x:c>
      <x:c r="M88" s="50" t="n">
        <x:v>155</x:v>
      </x:c>
      <x:c r="N88" s="50" t="n">
        <x:v>28</x:v>
      </x:c>
      <x:c r="O88" s="50" t="n">
        <x:v>155</x:v>
      </x:c>
      <x:c r="P88" s="50" t="n">
        <x:v>21</x:v>
      </x:c>
    </x:row>
    <x:row r="89" ht="36" customHeight="1">
      <x:c r="A89" s="53" t="n">
        <x:v>70</x:v>
      </x:c>
      <x:c r="B89" s="53" t="n">
        <x:v>3</x:v>
      </x:c>
      <x:c r="C89" s="40" t="str">
        <x:v>Low-Value Low-Engagement Shoppers</x:v>
      </x:c>
      <x:c r="D89" s="60" t="n">
        <x:v>76.4</x:v>
      </x:c>
      <x:c r="E89" s="50" t="n">
        <x:v>32</x:v>
      </x:c>
      <x:c r="F89" s="46" t="n">
        <x:v>2</x:v>
      </x:c>
      <x:c r="G89" s="46" t="n">
        <x:v>6</x:v>
      </x:c>
      <x:c r="H89" s="61" t="n">
        <x:v>2.3875</x:v>
      </x:c>
      <x:c r="I89" s="52" t="n">
        <x:v>0.25</x:v>
      </x:c>
      <x:c r="J89" s="52" t="n">
        <x:v>0.2465968586387434</x:v>
      </x:c>
      <x:c r="K89" s="60" t="n">
        <x:v>48.03</x:v>
      </x:c>
      <x:c r="L89" s="60" t="n">
        <x:v>28.37</x:v>
      </x:c>
      <x:c r="M89" s="50" t="n">
        <x:v>8</x:v>
      </x:c>
      <x:c r="N89" s="50" t="n">
        <x:v>24</x:v>
      </x:c>
      <x:c r="O89" s="50" t="n">
        <x:v>12</x:v>
      </x:c>
      <x:c r="P89" s="50" t="n">
        <x:v>16</x:v>
      </x:c>
    </x:row>
    <x:row r="90" ht="36" customHeight="1">
      <x:c r="A90" s="53" t="n">
        <x:v>71</x:v>
      </x:c>
      <x:c r="B90" s="53" t="n">
        <x:v>1</x:v>
      </x:c>
      <x:c r="C90" s="40" t="str">
        <x:v>High-Value Frequent Shoppers</x:v>
      </x:c>
      <x:c r="D90" s="60" t="n">
        <x:v>3376.03</x:v>
      </x:c>
      <x:c r="E90" s="50" t="n">
        <x:v>90</x:v>
      </x:c>
      <x:c r="F90" s="46" t="n">
        <x:v>4.090909090909091</x:v>
      </x:c>
      <x:c r="G90" s="46" t="n">
        <x:v>0</x:v>
      </x:c>
      <x:c r="H90" s="61" t="n">
        <x:v>37.51144444444445</x:v>
      </x:c>
      <x:c r="I90" s="52" t="n">
        <x:v>0.8888888888888888</x:v>
      </x:c>
      <x:c r="J90" s="52" t="n">
        <x:v>0.4015929953229088</x:v>
      </x:c>
      <x:c r="K90" s="60" t="n">
        <x:v>3114.99</x:v>
      </x:c>
      <x:c r="L90" s="60" t="n">
        <x:v>261.04</x:v>
      </x:c>
      <x:c r="M90" s="50" t="n">
        <x:v>80</x:v>
      </x:c>
      <x:c r="N90" s="50" t="n">
        <x:v>10</x:v>
      </x:c>
      <x:c r="O90" s="50" t="n">
        <x:v>108</x:v>
      </x:c>
      <x:c r="P90" s="50" t="n">
        <x:v>22</x:v>
      </x:c>
    </x:row>
    <x:row r="91" ht="36" customHeight="1">
      <x:c r="A91" s="53" t="n">
        <x:v>72</x:v>
      </x:c>
      <x:c r="B91" s="53" t="n">
        <x:v>1</x:v>
      </x:c>
      <x:c r="C91" s="40" t="str">
        <x:v>High-Value Frequent Shoppers</x:v>
      </x:c>
      <x:c r="D91" s="60" t="n">
        <x:v>6473.43</x:v>
      </x:c>
      <x:c r="E91" s="50" t="n">
        <x:v>107</x:v>
      </x:c>
      <x:c r="F91" s="46" t="n">
        <x:v>5.095238095238095</x:v>
      </x:c>
      <x:c r="G91" s="46" t="n">
        <x:v>17</x:v>
      </x:c>
      <x:c r="H91" s="61" t="n">
        <x:v>60.49934579439252</x:v>
      </x:c>
      <x:c r="I91" s="52" t="n">
        <x:v>0.9532710280373832</x:v>
      </x:c>
      <x:c r="J91" s="52" t="n">
        <x:v>0.4798445337325034</x:v>
      </x:c>
      <x:c r="K91" s="60" t="n">
        <x:v>6359.1</x:v>
      </x:c>
      <x:c r="L91" s="60" t="n">
        <x:v>114.33</x:v>
      </x:c>
      <x:c r="M91" s="50" t="n">
        <x:v>102</x:v>
      </x:c>
      <x:c r="N91" s="50" t="n">
        <x:v>5</x:v>
      </x:c>
      <x:c r="O91" s="50" t="n">
        <x:v>170</x:v>
      </x:c>
      <x:c r="P91" s="50" t="n">
        <x:v>21</x:v>
      </x:c>
    </x:row>
    <x:row r="92" ht="36" customHeight="1">
      <x:c r="A92" s="53" t="n">
        <x:v>73</x:v>
      </x:c>
      <x:c r="B92" s="53" t="n">
        <x:v>1</x:v>
      </x:c>
      <x:c r="C92" s="40" t="str">
        <x:v>High-Value Frequent Shoppers</x:v>
      </x:c>
      <x:c r="D92" s="60" t="n">
        <x:v>2864.18</x:v>
      </x:c>
      <x:c r="E92" s="50" t="n">
        <x:v>164</x:v>
      </x:c>
      <x:c r="F92" s="46" t="n">
        <x:v>9.647058823529411</x:v>
      </x:c>
      <x:c r="G92" s="46" t="n">
        <x:v>49</x:v>
      </x:c>
      <x:c r="H92" s="61" t="n">
        <x:v>17.46451219512195</x:v>
      </x:c>
      <x:c r="I92" s="52" t="n">
        <x:v>0.774390243902439</x:v>
      </x:c>
      <x:c r="J92" s="52" t="n">
        <x:v>0.4562073612691939</x:v>
      </x:c>
      <x:c r="K92" s="60" t="n">
        <x:v>2425.69</x:v>
      </x:c>
      <x:c r="L92" s="60" t="n">
        <x:v>438.49</x:v>
      </x:c>
      <x:c r="M92" s="50" t="n">
        <x:v>127</x:v>
      </x:c>
      <x:c r="N92" s="50" t="n">
        <x:v>37</x:v>
      </x:c>
      <x:c r="O92" s="50" t="n">
        <x:v>114</x:v>
      </x:c>
      <x:c r="P92" s="50" t="n">
        <x:v>17</x:v>
      </x:c>
    </x:row>
    <x:row r="93" ht="36" customHeight="1">
      <x:c r="A93" s="53" t="n">
        <x:v>74</x:v>
      </x:c>
      <x:c r="B93" s="53" t="n">
        <x:v>2</x:v>
      </x:c>
      <x:c r="C93" s="40" t="str">
        <x:v>Large-Basket Occasional Shoppers</x:v>
      </x:c>
      <x:c r="D93" s="60" t="n">
        <x:v>2047.64</x:v>
      </x:c>
      <x:c r="E93" s="50" t="n">
        <x:v>130</x:v>
      </x:c>
      <x:c r="F93" s="46" t="n">
        <x:v>6.5</x:v>
      </x:c>
      <x:c r="G93" s="46" t="n">
        <x:v>55</x:v>
      </x:c>
      <x:c r="H93" s="61" t="n">
        <x:v>15.751076923076925</x:v>
      </x:c>
      <x:c r="I93" s="52" t="n">
        <x:v>0.9692307692307692</x:v>
      </x:c>
      <x:c r="J93" s="52" t="n">
        <x:v>0.6043298626711726</x:v>
      </x:c>
      <x:c r="K93" s="60" t="n">
        <x:v>2039.1</x:v>
      </x:c>
      <x:c r="L93" s="60" t="n">
        <x:v>8.54</x:v>
      </x:c>
      <x:c r="M93" s="50" t="n">
        <x:v>126</x:v>
      </x:c>
      <x:c r="N93" s="50" t="n">
        <x:v>4</x:v>
      </x:c>
      <x:c r="O93" s="50" t="n">
        <x:v>108</x:v>
      </x:c>
      <x:c r="P93" s="50" t="n">
        <x:v>20</x:v>
      </x:c>
    </x:row>
    <x:row r="94" ht="36" customHeight="1">
      <x:c r="A94" s="53" t="n">
        <x:v>75</x:v>
      </x:c>
      <x:c r="B94" s="53" t="n">
        <x:v>3</x:v>
      </x:c>
      <x:c r="C94" s="40" t="str">
        <x:v>Low-Value Low-Engagement Shoppers</x:v>
      </x:c>
      <x:c r="D94" s="60" t="n">
        <x:v>1167.09</x:v>
      </x:c>
      <x:c r="E94" s="50" t="n">
        <x:v>64</x:v>
      </x:c>
      <x:c r="F94" s="46" t="n">
        <x:v>2.9090909090909087</x:v>
      </x:c>
      <x:c r="G94" s="46" t="n">
        <x:v>2</x:v>
      </x:c>
      <x:c r="H94" s="61" t="n">
        <x:v>18.23578125</x:v>
      </x:c>
      <x:c r="I94" s="52" t="n">
        <x:v>0.859375</x:v>
      </x:c>
      <x:c r="J94" s="52" t="n">
        <x:v>0.7732394245516626</x:v>
      </x:c>
      <x:c r="K94" s="60" t="n">
        <x:v>1099.09</x:v>
      </x:c>
      <x:c r="L94" s="60" t="n">
        <x:v>68</x:v>
      </x:c>
      <x:c r="M94" s="50" t="n">
        <x:v>55</x:v>
      </x:c>
      <x:c r="N94" s="50" t="n">
        <x:v>9</x:v>
      </x:c>
      <x:c r="O94" s="50" t="n">
        <x:v>54</x:v>
      </x:c>
      <x:c r="P94" s="50" t="n">
        <x:v>22</x:v>
      </x:c>
    </x:row>
    <x:row r="95" ht="36" customHeight="1">
      <x:c r="A95" s="53" t="n">
        <x:v>76</x:v>
      </x:c>
      <x:c r="B95" s="53" t="n">
        <x:v>3</x:v>
      </x:c>
      <x:c r="C95" s="40" t="str">
        <x:v>Low-Value Low-Engagement Shoppers</x:v>
      </x:c>
      <x:c r="D95" s="60" t="n">
        <x:v>315.94</x:v>
      </x:c>
      <x:c r="E95" s="50" t="n">
        <x:v>16</x:v>
      </x:c>
      <x:c r="F95" s="46" t="n">
        <x:v>1.4545454545454544</x:v>
      </x:c>
      <x:c r="G95" s="46" t="n">
        <x:v>0</x:v>
      </x:c>
      <x:c r="H95" s="61" t="n">
        <x:v>19.74625</x:v>
      </x:c>
      <x:c r="I95" s="52" t="n">
        <x:v>0.75</x:v>
      </x:c>
      <x:c r="J95" s="52" t="n">
        <x:v>0.4659429005507374</x:v>
      </x:c>
      <x:c r="K95" s="60" t="n">
        <x:v>270.73</x:v>
      </x:c>
      <x:c r="L95" s="60" t="n">
        <x:v>45.21</x:v>
      </x:c>
      <x:c r="M95" s="50" t="n">
        <x:v>12</x:v>
      </x:c>
      <x:c r="N95" s="50" t="n">
        <x:v>4</x:v>
      </x:c>
      <x:c r="O95" s="50" t="n">
        <x:v>61</x:v>
      </x:c>
      <x:c r="P95" s="50" t="n">
        <x:v>11</x:v>
      </x:c>
    </x:row>
    <x:row r="96" ht="36" customHeight="1">
      <x:c r="A96" s="53" t="n">
        <x:v>77</x:v>
      </x:c>
      <x:c r="B96" s="53" t="n">
        <x:v>1</x:v>
      </x:c>
      <x:c r="C96" s="40" t="str">
        <x:v>High-Value Frequent Shoppers</x:v>
      </x:c>
      <x:c r="D96" s="60" t="n">
        <x:v>6227.1</x:v>
      </x:c>
      <x:c r="E96" s="50" t="n">
        <x:v>87</x:v>
      </x:c>
      <x:c r="F96" s="46" t="n">
        <x:v>3.782608695652173</x:v>
      </x:c>
      <x:c r="G96" s="46" t="n">
        <x:v>1</x:v>
      </x:c>
      <x:c r="H96" s="61" t="n">
        <x:v>71.57586206896552</x:v>
      </x:c>
      <x:c r="I96" s="52" t="n">
        <x:v>0.8850574712643678</x:v>
      </x:c>
      <x:c r="J96" s="52" t="n">
        <x:v>0.5210370798606092</x:v>
      </x:c>
      <x:c r="K96" s="60" t="n">
        <x:v>6101.99</x:v>
      </x:c>
      <x:c r="L96" s="60" t="n">
        <x:v>125.11</x:v>
      </x:c>
      <x:c r="M96" s="50" t="n">
        <x:v>77</x:v>
      </x:c>
      <x:c r="N96" s="50" t="n">
        <x:v>10</x:v>
      </x:c>
      <x:c r="O96" s="50" t="n">
        <x:v>169</x:v>
      </x:c>
      <x:c r="P96" s="50" t="n">
        <x:v>23</x:v>
      </x:c>
    </x:row>
    <x:row r="97" ht="36" customHeight="1">
      <x:c r="A97" s="53" t="n">
        <x:v>78</x:v>
      </x:c>
      <x:c r="B97" s="53" t="n">
        <x:v>1</x:v>
      </x:c>
      <x:c r="C97" s="40" t="str">
        <x:v>High-Value Frequent Shoppers</x:v>
      </x:c>
      <x:c r="D97" s="60" t="n">
        <x:v>2505.14</x:v>
      </x:c>
      <x:c r="E97" s="50" t="n">
        <x:v>209</x:v>
      </x:c>
      <x:c r="F97" s="46" t="n">
        <x:v>9.952380952380953</x:v>
      </x:c>
      <x:c r="G97" s="46" t="n">
        <x:v>2</x:v>
      </x:c>
      <x:c r="H97" s="61" t="n">
        <x:v>11.986315789473684</x:v>
      </x:c>
      <x:c r="I97" s="52" t="n">
        <x:v>0.7942583732057416</x:v>
      </x:c>
      <x:c r="J97" s="52" t="n">
        <x:v>0.4275808936825885</x:v>
      </x:c>
      <x:c r="K97" s="60" t="n">
        <x:v>2227.26</x:v>
      </x:c>
      <x:c r="L97" s="60" t="n">
        <x:v>277.88</x:v>
      </x:c>
      <x:c r="M97" s="50" t="n">
        <x:v>166</x:v>
      </x:c>
      <x:c r="N97" s="50" t="n">
        <x:v>43</x:v>
      </x:c>
      <x:c r="O97" s="50" t="n">
        <x:v>93</x:v>
      </x:c>
      <x:c r="P97" s="50" t="n">
        <x:v>21</x:v>
      </x:c>
    </x:row>
    <x:row r="98" ht="36" customHeight="1">
      <x:c r="A98" s="53" t="n">
        <x:v>79</x:v>
      </x:c>
      <x:c r="B98" s="53" t="n">
        <x:v>1</x:v>
      </x:c>
      <x:c r="C98" s="40" t="str">
        <x:v>High-Value Frequent Shoppers</x:v>
      </x:c>
      <x:c r="D98" s="60" t="n">
        <x:v>3950.12</x:v>
      </x:c>
      <x:c r="E98" s="50" t="n">
        <x:v>151</x:v>
      </x:c>
      <x:c r="F98" s="46" t="n">
        <x:v>7.190476190476192</x:v>
      </x:c>
      <x:c r="G98" s="46" t="n">
        <x:v>3</x:v>
      </x:c>
      <x:c r="H98" s="61" t="n">
        <x:v>26.159735099337748</x:v>
      </x:c>
      <x:c r="I98" s="52" t="n">
        <x:v>0.8344370860927152</x:v>
      </x:c>
      <x:c r="J98" s="52" t="n">
        <x:v>0.6034753374581024</x:v>
      </x:c>
      <x:c r="K98" s="60" t="n">
        <x:v>3714.04</x:v>
      </x:c>
      <x:c r="L98" s="60" t="n">
        <x:v>236.08</x:v>
      </x:c>
      <x:c r="M98" s="50" t="n">
        <x:v>126</x:v>
      </x:c>
      <x:c r="N98" s="50" t="n">
        <x:v>25</x:v>
      </x:c>
      <x:c r="O98" s="50" t="n">
        <x:v>172</x:v>
      </x:c>
      <x:c r="P98" s="50" t="n">
        <x:v>21</x:v>
      </x:c>
    </x:row>
    <x:row r="99" ht="36" customHeight="1">
      <x:c r="A99" s="53" t="n">
        <x:v>80</x:v>
      </x:c>
      <x:c r="B99" s="53" t="n">
        <x:v>2</x:v>
      </x:c>
      <x:c r="C99" s="40" t="str">
        <x:v>Large-Basket Occasional Shoppers</x:v>
      </x:c>
      <x:c r="D99" s="60" t="n">
        <x:v>3002.09</x:v>
      </x:c>
      <x:c r="E99" s="50" t="n">
        <x:v>94</x:v>
      </x:c>
      <x:c r="F99" s="46" t="n">
        <x:v>4.2727272727272725</x:v>
      </x:c>
      <x:c r="G99" s="46" t="n">
        <x:v>17</x:v>
      </x:c>
      <x:c r="H99" s="61" t="n">
        <x:v>31.937127659574468</x:v>
      </x:c>
      <x:c r="I99" s="52" t="n">
        <x:v>0.9148936170212764</x:v>
      </x:c>
      <x:c r="J99" s="52" t="n">
        <x:v>0.6634044948685748</x:v>
      </x:c>
      <x:c r="K99" s="60" t="n">
        <x:v>2949.45</x:v>
      </x:c>
      <x:c r="L99" s="60" t="n">
        <x:v>52.64</x:v>
      </x:c>
      <x:c r="M99" s="50" t="n">
        <x:v>86</x:v>
      </x:c>
      <x:c r="N99" s="50" t="n">
        <x:v>8</x:v>
      </x:c>
      <x:c r="O99" s="50" t="n">
        <x:v>145</x:v>
      </x:c>
      <x:c r="P99" s="50" t="n">
        <x:v>22</x:v>
      </x:c>
    </x:row>
    <x:row r="100" ht="36" customHeight="1">
      <x:c r="A100" s="53" t="n">
        <x:v>81</x:v>
      </x:c>
      <x:c r="B100" s="53" t="n">
        <x:v>1</x:v>
      </x:c>
      <x:c r="C100" s="40" t="str">
        <x:v>High-Value Frequent Shoppers</x:v>
      </x:c>
      <x:c r="D100" s="60" t="n">
        <x:v>5553.7</x:v>
      </x:c>
      <x:c r="E100" s="50" t="n">
        <x:v>151</x:v>
      </x:c>
      <x:c r="F100" s="46" t="n">
        <x:v>6.565217391304348</x:v>
      </x:c>
      <x:c r="G100" s="46" t="n">
        <x:v>5</x:v>
      </x:c>
      <x:c r="H100" s="61" t="n">
        <x:v>36.7794701986755</x:v>
      </x:c>
      <x:c r="I100" s="52" t="n">
        <x:v>0.9602649006622516</x:v>
      </x:c>
      <x:c r="J100" s="52" t="n">
        <x:v>0.5550425842231305</x:v>
      </x:c>
      <x:c r="K100" s="60" t="n">
        <x:v>5522.67</x:v>
      </x:c>
      <x:c r="L100" s="60" t="n">
        <x:v>31.03</x:v>
      </x:c>
      <x:c r="M100" s="50" t="n">
        <x:v>145</x:v>
      </x:c>
      <x:c r="N100" s="50" t="n">
        <x:v>6</x:v>
      </x:c>
      <x:c r="O100" s="50" t="n">
        <x:v>159</x:v>
      </x:c>
      <x:c r="P100" s="50" t="n">
        <x:v>23</x:v>
      </x:c>
    </x:row>
    <x:row r="101" ht="36" customHeight="1">
      <x:c r="A101" s="53" t="n">
        <x:v>82</x:v>
      </x:c>
      <x:c r="B101" s="53" t="n">
        <x:v>3</x:v>
      </x:c>
      <x:c r="C101" s="40" t="str">
        <x:v>Low-Value Low-Engagement Shoppers</x:v>
      </x:c>
      <x:c r="D101" s="60" t="n">
        <x:v>566.51</x:v>
      </x:c>
      <x:c r="E101" s="50" t="n">
        <x:v>51</x:v>
      </x:c>
      <x:c r="F101" s="46" t="n">
        <x:v>2.428571428571429</x:v>
      </x:c>
      <x:c r="G101" s="46" t="n">
        <x:v>3</x:v>
      </x:c>
      <x:c r="H101" s="61" t="n">
        <x:v>11.108039215686274</x:v>
      </x:c>
      <x:c r="I101" s="52" t="n">
        <x:v>0.588235294117647</x:v>
      </x:c>
      <x:c r="J101" s="52" t="n">
        <x:v>0.3536212952992886</x:v>
      </x:c>
      <x:c r="K101" s="60" t="n">
        <x:v>389.14</x:v>
      </x:c>
      <x:c r="L101" s="60" t="n">
        <x:v>177.37</x:v>
      </x:c>
      <x:c r="M101" s="50" t="n">
        <x:v>30</x:v>
      </x:c>
      <x:c r="N101" s="50" t="n">
        <x:v>21</x:v>
      </x:c>
      <x:c r="O101" s="50" t="n">
        <x:v>30</x:v>
      </x:c>
      <x:c r="P101" s="50" t="n">
        <x:v>21</x:v>
      </x:c>
    </x:row>
    <x:row r="102" ht="36" customHeight="1">
      <x:c r="A102" s="53" t="n">
        <x:v>83</x:v>
      </x:c>
      <x:c r="B102" s="53" t="n">
        <x:v>3</x:v>
      </x:c>
      <x:c r="C102" s="40" t="str">
        <x:v>Low-Value Low-Engagement Shoppers</x:v>
      </x:c>
      <x:c r="D102" s="60" t="n">
        <x:v>1183.74</x:v>
      </x:c>
      <x:c r="E102" s="50" t="n">
        <x:v>110</x:v>
      </x:c>
      <x:c r="F102" s="46" t="n">
        <x:v>4.782608695652174</x:v>
      </x:c>
      <x:c r="G102" s="46" t="n">
        <x:v>1</x:v>
      </x:c>
      <x:c r="H102" s="61" t="n">
        <x:v>10.761272727272727</x:v>
      </x:c>
      <x:c r="I102" s="52" t="n">
        <x:v>0.5636363636363636</x:v>
      </x:c>
      <x:c r="J102" s="52" t="n">
        <x:v>0.4310828391369726</x:v>
      </x:c>
      <x:c r="K102" s="60" t="n">
        <x:v>854.71</x:v>
      </x:c>
      <x:c r="L102" s="60" t="n">
        <x:v>329.03</x:v>
      </x:c>
      <x:c r="M102" s="50" t="n">
        <x:v>62</x:v>
      </x:c>
      <x:c r="N102" s="50" t="n">
        <x:v>48</x:v>
      </x:c>
      <x:c r="O102" s="50" t="n">
        <x:v>94</x:v>
      </x:c>
      <x:c r="P102" s="50" t="n">
        <x:v>23</x:v>
      </x:c>
    </x:row>
    <x:row r="103" ht="36" customHeight="1">
      <x:c r="A103" s="53" t="n">
        <x:v>84</x:v>
      </x:c>
      <x:c r="B103" s="53" t="n">
        <x:v>3</x:v>
      </x:c>
      <x:c r="C103" s="40" t="str">
        <x:v>Low-Value Low-Engagement Shoppers</x:v>
      </x:c>
      <x:c r="D103" s="60" t="n">
        <x:v>1208.09</x:v>
      </x:c>
      <x:c r="E103" s="50" t="n">
        <x:v>52</x:v>
      </x:c>
      <x:c r="F103" s="46" t="n">
        <x:v>3.058823529411765</x:v>
      </x:c>
      <x:c r="G103" s="46" t="n">
        <x:v>15</x:v>
      </x:c>
      <x:c r="H103" s="61" t="n">
        <x:v>23.2325</x:v>
      </x:c>
      <x:c r="I103" s="52" t="n">
        <x:v>0.7692307692307692</x:v>
      </x:c>
      <x:c r="J103" s="52" t="n">
        <x:v>0.3762716353914029</x:v>
      </x:c>
      <x:c r="K103" s="60" t="n">
        <x:v>1117.21</x:v>
      </x:c>
      <x:c r="L103" s="60" t="n">
        <x:v>90.88</x:v>
      </x:c>
      <x:c r="M103" s="50" t="n">
        <x:v>40</x:v>
      </x:c>
      <x:c r="N103" s="50" t="n">
        <x:v>12</x:v>
      </x:c>
      <x:c r="O103" s="50" t="n">
        <x:v>105</x:v>
      </x:c>
      <x:c r="P103" s="50" t="n">
        <x:v>17</x:v>
      </x:c>
    </x:row>
    <x:row r="104" ht="36" customHeight="1">
      <x:c r="A104" s="53" t="n">
        <x:v>85</x:v>
      </x:c>
      <x:c r="B104" s="53" t="n">
        <x:v>1</x:v>
      </x:c>
      <x:c r="C104" s="40" t="str">
        <x:v>High-Value Frequent Shoppers</x:v>
      </x:c>
      <x:c r="D104" s="60" t="n">
        <x:v>4696.49</x:v>
      </x:c>
      <x:c r="E104" s="50" t="n">
        <x:v>282</x:v>
      </x:c>
      <x:c r="F104" s="46" t="n">
        <x:v>11.75</x:v>
      </x:c>
      <x:c r="G104" s="46" t="n">
        <x:v>1</x:v>
      </x:c>
      <x:c r="H104" s="61" t="n">
        <x:v>16.65421985815603</x:v>
      </x:c>
      <x:c r="I104" s="52" t="n">
        <x:v>0.8865248226950354</x:v>
      </x:c>
      <x:c r="J104" s="52" t="n">
        <x:v>0.6049347491424446</x:v>
      </x:c>
      <x:c r="K104" s="60" t="n">
        <x:v>4448.24</x:v>
      </x:c>
      <x:c r="L104" s="60" t="n">
        <x:v>248.25</x:v>
      </x:c>
      <x:c r="M104" s="50" t="n">
        <x:v>250</x:v>
      </x:c>
      <x:c r="N104" s="50" t="n">
        <x:v>32</x:v>
      </x:c>
      <x:c r="O104" s="50" t="n">
        <x:v>163</x:v>
      </x:c>
      <x:c r="P104" s="50" t="n">
        <x:v>24</x:v>
      </x:c>
    </x:row>
    <x:row r="105" ht="36" customHeight="1">
      <x:c r="A105" s="53" t="n">
        <x:v>86</x:v>
      </x:c>
      <x:c r="B105" s="53" t="n">
        <x:v>2</x:v>
      </x:c>
      <x:c r="C105" s="40" t="str">
        <x:v>Large-Basket Occasional Shoppers</x:v>
      </x:c>
      <x:c r="D105" s="60" t="n">
        <x:v>4019.44</x:v>
      </x:c>
      <x:c r="E105" s="50" t="n">
        <x:v>46</x:v>
      </x:c>
      <x:c r="F105" s="46" t="n">
        <x:v>2.3</x:v>
      </x:c>
      <x:c r="G105" s="46" t="n">
        <x:v>38</x:v>
      </x:c>
      <x:c r="H105" s="61" t="n">
        <x:v>87.3791304347826</x:v>
      </x:c>
      <x:c r="I105" s="52" t="n">
        <x:v>0.8695652173913043</x:v>
      </x:c>
      <x:c r="J105" s="52" t="n">
        <x:v>0.3760150667754712</x:v>
      </x:c>
      <x:c r="K105" s="60" t="n">
        <x:v>3767.93</x:v>
      </x:c>
      <x:c r="L105" s="60" t="n">
        <x:v>251.51</x:v>
      </x:c>
      <x:c r="M105" s="50" t="n">
        <x:v>40</x:v>
      </x:c>
      <x:c r="N105" s="50" t="n">
        <x:v>6</x:v>
      </x:c>
      <x:c r="O105" s="50" t="n">
        <x:v>153</x:v>
      </x:c>
      <x:c r="P105" s="50" t="n">
        <x:v>20</x:v>
      </x:c>
    </x:row>
    <x:row r="106" ht="36" customHeight="1">
      <x:c r="A106" s="53" t="n">
        <x:v>87</x:v>
      </x:c>
      <x:c r="B106" s="53" t="n">
        <x:v>3</x:v>
      </x:c>
      <x:c r="C106" s="40" t="str">
        <x:v>Low-Value Low-Engagement Shoppers</x:v>
      </x:c>
      <x:c r="D106" s="60" t="n">
        <x:v>1202.3</x:v>
      </x:c>
      <x:c r="E106" s="50" t="n">
        <x:v>45</x:v>
      </x:c>
      <x:c r="F106" s="46" t="n">
        <x:v>2.3684210526315788</x:v>
      </x:c>
      <x:c r="G106" s="46" t="n">
        <x:v>4</x:v>
      </x:c>
      <x:c r="H106" s="61" t="n">
        <x:v>26.717777777777776</x:v>
      </x:c>
      <x:c r="I106" s="52" t="n">
        <x:v>0.6666666666666666</x:v>
      </x:c>
      <x:c r="J106" s="52" t="n">
        <x:v>0.2263578141894701</x:v>
      </x:c>
      <x:c r="K106" s="60" t="n">
        <x:v>1000.05</x:v>
      </x:c>
      <x:c r="L106" s="60" t="n">
        <x:v>202.25</x:v>
      </x:c>
      <x:c r="M106" s="50" t="n">
        <x:v>30</x:v>
      </x:c>
      <x:c r="N106" s="50" t="n">
        <x:v>15</x:v>
      </x:c>
      <x:c r="O106" s="50" t="n">
        <x:v>71</x:v>
      </x:c>
      <x:c r="P106" s="50" t="n">
        <x:v>19</x:v>
      </x:c>
    </x:row>
    <x:row r="107" ht="36" customHeight="1">
      <x:c r="A107" s="53" t="n">
        <x:v>88</x:v>
      </x:c>
      <x:c r="B107" s="53" t="n">
        <x:v>1</x:v>
      </x:c>
      <x:c r="C107" s="40" t="str">
        <x:v>High-Value Frequent Shoppers</x:v>
      </x:c>
      <x:c r="D107" s="60" t="n">
        <x:v>11615.66</x:v>
      </x:c>
      <x:c r="E107" s="50" t="n">
        <x:v>229</x:v>
      </x:c>
      <x:c r="F107" s="46" t="n">
        <x:v>10.409090909090908</x:v>
      </x:c>
      <x:c r="G107" s="46" t="n">
        <x:v>3</x:v>
      </x:c>
      <x:c r="H107" s="61" t="n">
        <x:v>50.72340611353712</x:v>
      </x:c>
      <x:c r="I107" s="52" t="n">
        <x:v>0.9039301310043668</x:v>
      </x:c>
      <x:c r="J107" s="52" t="n">
        <x:v>0.5405375157330706</x:v>
      </x:c>
      <x:c r="K107" s="60" t="n">
        <x:v>11340.19</x:v>
      </x:c>
      <x:c r="L107" s="60" t="n">
        <x:v>275.47</x:v>
      </x:c>
      <x:c r="M107" s="50" t="n">
        <x:v>207</x:v>
      </x:c>
      <x:c r="N107" s="50" t="n">
        <x:v>22</x:v>
      </x:c>
      <x:c r="O107" s="50" t="n">
        <x:v>186</x:v>
      </x:c>
      <x:c r="P107" s="50" t="n">
        <x:v>22</x:v>
      </x:c>
    </x:row>
    <x:row r="108" ht="36" customHeight="1">
      <x:c r="A108" s="53" t="n">
        <x:v>89</x:v>
      </x:c>
      <x:c r="B108" s="53" t="n">
        <x:v>3</x:v>
      </x:c>
      <x:c r="C108" s="40" t="str">
        <x:v>Low-Value Low-Engagement Shoppers</x:v>
      </x:c>
      <x:c r="D108" s="60" t="n">
        <x:v>177.56</x:v>
      </x:c>
      <x:c r="E108" s="50" t="n">
        <x:v>11</x:v>
      </x:c>
      <x:c r="F108" s="46" t="n">
        <x:v>1.1</x:v>
      </x:c>
      <x:c r="G108" s="46" t="n">
        <x:v>73</x:v>
      </x:c>
      <x:c r="H108" s="61" t="n">
        <x:v>16.14181818181818</x:v>
      </x:c>
      <x:c r="I108" s="52" t="n">
        <x:v>0.4545454545454545</x:v>
      </x:c>
      <x:c r="J108" s="52" t="n">
        <x:v>0.1314485244424419</x:v>
      </x:c>
      <x:c r="K108" s="60" t="n">
        <x:v>89.66</x:v>
      </x:c>
      <x:c r="L108" s="60" t="n">
        <x:v>87.9</x:v>
      </x:c>
      <x:c r="M108" s="50" t="n">
        <x:v>5</x:v>
      </x:c>
      <x:c r="N108" s="50" t="n">
        <x:v>6</x:v>
      </x:c>
      <x:c r="O108" s="50" t="n">
        <x:v>21</x:v>
      </x:c>
      <x:c r="P108" s="50" t="n">
        <x:v>10</x:v>
      </x:c>
    </x:row>
    <x:row r="109" ht="36" customHeight="1">
      <x:c r="A109" s="53" t="n">
        <x:v>90</x:v>
      </x:c>
      <x:c r="B109" s="53" t="n">
        <x:v>2</x:v>
      </x:c>
      <x:c r="C109" s="40" t="str">
        <x:v>Large-Basket Occasional Shoppers</x:v>
      </x:c>
      <x:c r="D109" s="60" t="n">
        <x:v>490.41</x:v>
      </x:c>
      <x:c r="E109" s="50" t="n">
        <x:v>10</x:v>
      </x:c>
      <x:c r="F109" s="46" t="n">
        <x:v>1.25</x:v>
      </x:c>
      <x:c r="G109" s="46" t="n">
        <x:v>34</x:v>
      </x:c>
      <x:c r="H109" s="61" t="n">
        <x:v>49.041</x:v>
      </x:c>
      <x:c r="I109" s="52" t="n">
        <x:v>0.9</x:v>
      </x:c>
      <x:c r="J109" s="52" t="n">
        <x:v>0.5194021329091985</x:v>
      </x:c>
      <x:c r="K109" s="60" t="n">
        <x:v>470.42</x:v>
      </x:c>
      <x:c r="L109" s="60" t="n">
        <x:v>19.99</x:v>
      </x:c>
      <x:c r="M109" s="50" t="n">
        <x:v>9</x:v>
      </x:c>
      <x:c r="N109" s="50" t="n">
        <x:v>1</x:v>
      </x:c>
      <x:c r="O109" s="50" t="n">
        <x:v>45</x:v>
      </x:c>
      <x:c r="P109" s="50" t="n">
        <x:v>8</x:v>
      </x:c>
    </x:row>
    <x:row r="110" ht="36" customHeight="1">
      <x:c r="A110" s="53" t="n">
        <x:v>91</x:v>
      </x:c>
      <x:c r="B110" s="53" t="n">
        <x:v>1</x:v>
      </x:c>
      <x:c r="C110" s="40" t="str">
        <x:v>High-Value Frequent Shoppers</x:v>
      </x:c>
      <x:c r="D110" s="60" t="n">
        <x:v>2899.66</x:v>
      </x:c>
      <x:c r="E110" s="50" t="n">
        <x:v>181</x:v>
      </x:c>
      <x:c r="F110" s="46" t="n">
        <x:v>10.055555555555555</x:v>
      </x:c>
      <x:c r="G110" s="46" t="n">
        <x:v>1</x:v>
      </x:c>
      <x:c r="H110" s="61" t="n">
        <x:v>16.02022099447514</x:v>
      </x:c>
      <x:c r="I110" s="52" t="n">
        <x:v>0.861878453038674</x:v>
      </x:c>
      <x:c r="J110" s="52" t="n">
        <x:v>0.5904761247870439</x:v>
      </x:c>
      <x:c r="K110" s="60" t="n">
        <x:v>2754.46</x:v>
      </x:c>
      <x:c r="L110" s="60" t="n">
        <x:v>145.2</x:v>
      </x:c>
      <x:c r="M110" s="50" t="n">
        <x:v>156</x:v>
      </x:c>
      <x:c r="N110" s="50" t="n">
        <x:v>25</x:v>
      </x:c>
      <x:c r="O110" s="50" t="n">
        <x:v>125</x:v>
      </x:c>
      <x:c r="P110" s="50" t="n">
        <x:v>18</x:v>
      </x:c>
    </x:row>
    <x:row r="111" ht="36" customHeight="1">
      <x:c r="A111" s="53" t="n">
        <x:v>92</x:v>
      </x:c>
      <x:c r="B111" s="53" t="n">
        <x:v>2</x:v>
      </x:c>
      <x:c r="C111" s="40" t="str">
        <x:v>Large-Basket Occasional Shoppers</x:v>
      </x:c>
      <x:c r="D111" s="60" t="n">
        <x:v>1587.38</x:v>
      </x:c>
      <x:c r="E111" s="50" t="n">
        <x:v>57</x:v>
      </x:c>
      <x:c r="F111" s="46" t="n">
        <x:v>3</x:v>
      </x:c>
      <x:c r="G111" s="46" t="n">
        <x:v>6</x:v>
      </x:c>
      <x:c r="H111" s="61" t="n">
        <x:v>27.84877192982456</x:v>
      </x:c>
      <x:c r="I111" s="52" t="n">
        <x:v>0.9298245614035088</x:v>
      </x:c>
      <x:c r="J111" s="52" t="n">
        <x:v>0.5444065063185878</x:v>
      </x:c>
      <x:c r="K111" s="60" t="n">
        <x:v>1575.41</x:v>
      </x:c>
      <x:c r="L111" s="60" t="n">
        <x:v>11.97</x:v>
      </x:c>
      <x:c r="M111" s="50" t="n">
        <x:v>53</x:v>
      </x:c>
      <x:c r="N111" s="50" t="n">
        <x:v>4</x:v>
      </x:c>
      <x:c r="O111" s="50" t="n">
        <x:v>133</x:v>
      </x:c>
      <x:c r="P111" s="50" t="n">
        <x:v>19</x:v>
      </x:c>
    </x:row>
    <x:row r="112" ht="36" customHeight="1">
      <x:c r="A112" s="53" t="n">
        <x:v>93</x:v>
      </x:c>
      <x:c r="B112" s="53" t="n">
        <x:v>2</x:v>
      </x:c>
      <x:c r="C112" s="40" t="str">
        <x:v>Large-Basket Occasional Shoppers</x:v>
      </x:c>
      <x:c r="D112" s="60" t="n">
        <x:v>3346.72</x:v>
      </x:c>
      <x:c r="E112" s="50" t="n">
        <x:v>106</x:v>
      </x:c>
      <x:c r="F112" s="46" t="n">
        <x:v>5.578947368421053</x:v>
      </x:c>
      <x:c r="G112" s="46" t="n">
        <x:v>160</x:v>
      </x:c>
      <x:c r="H112" s="61" t="n">
        <x:v>31.572830188679244</x:v>
      </x:c>
      <x:c r="I112" s="52" t="n">
        <x:v>0.9056603773584904</x:v>
      </x:c>
      <x:c r="J112" s="52" t="n">
        <x:v>0.5685596643878185</x:v>
      </x:c>
      <x:c r="K112" s="60" t="n">
        <x:v>3254.48</x:v>
      </x:c>
      <x:c r="L112" s="60" t="n">
        <x:v>92.24</x:v>
      </x:c>
      <x:c r="M112" s="50" t="n">
        <x:v>96</x:v>
      </x:c>
      <x:c r="N112" s="50" t="n">
        <x:v>10</x:v>
      </x:c>
      <x:c r="O112" s="50" t="n">
        <x:v>106</x:v>
      </x:c>
      <x:c r="P112" s="50" t="n">
        <x:v>19</x:v>
      </x:c>
    </x:row>
    <x:row r="113" ht="36" customHeight="1">
      <x:c r="A113" s="53" t="n">
        <x:v>94</x:v>
      </x:c>
      <x:c r="B113" s="53" t="n">
        <x:v>3</x:v>
      </x:c>
      <x:c r="C113" s="40" t="str">
        <x:v>Low-Value Low-Engagement Shoppers</x:v>
      </x:c>
      <x:c r="D113" s="60" t="n">
        <x:v>442.64</x:v>
      </x:c>
      <x:c r="E113" s="50" t="n">
        <x:v>36</x:v>
      </x:c>
      <x:c r="F113" s="46" t="n">
        <x:v>2</x:v>
      </x:c>
      <x:c r="G113" s="46" t="n">
        <x:v>13</x:v>
      </x:c>
      <x:c r="H113" s="61" t="n">
        <x:v>12.295555555555556</x:v>
      </x:c>
      <x:c r="I113" s="52" t="n">
        <x:v>0.7222222222222222</x:v>
      </x:c>
      <x:c r="J113" s="52" t="n">
        <x:v>0.5429468642689318</x:v>
      </x:c>
      <x:c r="K113" s="60" t="n">
        <x:v>373.12</x:v>
      </x:c>
      <x:c r="L113" s="60" t="n">
        <x:v>69.52</x:v>
      </x:c>
      <x:c r="M113" s="50" t="n">
        <x:v>26</x:v>
      </x:c>
      <x:c r="N113" s="50" t="n">
        <x:v>10</x:v>
      </x:c>
      <x:c r="O113" s="50" t="n">
        <x:v>57</x:v>
      </x:c>
      <x:c r="P113" s="50" t="n">
        <x:v>18</x:v>
      </x:c>
    </x:row>
    <x:row r="114" ht="36" customHeight="1">
      <x:c r="A114" s="53" t="n">
        <x:v>95</x:v>
      </x:c>
      <x:c r="B114" s="53" t="n">
        <x:v>1</x:v>
      </x:c>
      <x:c r="C114" s="40" t="str">
        <x:v>High-Value Frequent Shoppers</x:v>
      </x:c>
      <x:c r="D114" s="60" t="n">
        <x:v>6500.18</x:v>
      </x:c>
      <x:c r="E114" s="50" t="n">
        <x:v>306</x:v>
      </x:c>
      <x:c r="F114" s="46" t="n">
        <x:v>13.909090909090908</x:v>
      </x:c>
      <x:c r="G114" s="46" t="n">
        <x:v>2</x:v>
      </x:c>
      <x:c r="H114" s="61" t="n">
        <x:v>21.2424183006536</x:v>
      </x:c>
      <x:c r="I114" s="52" t="n">
        <x:v>0.8169934640522875</x:v>
      </x:c>
      <x:c r="J114" s="52" t="n">
        <x:v>0.7061665984634271</x:v>
      </x:c>
      <x:c r="K114" s="60" t="n">
        <x:v>6240.12</x:v>
      </x:c>
      <x:c r="L114" s="60" t="n">
        <x:v>260.06</x:v>
      </x:c>
      <x:c r="M114" s="50" t="n">
        <x:v>250</x:v>
      </x:c>
      <x:c r="N114" s="50" t="n">
        <x:v>56</x:v>
      </x:c>
      <x:c r="O114" s="50" t="n">
        <x:v>161</x:v>
      </x:c>
      <x:c r="P114" s="50" t="n">
        <x:v>22</x:v>
      </x:c>
    </x:row>
    <x:row r="115" ht="36" customHeight="1">
      <x:c r="A115" s="53" t="n">
        <x:v>96</x:v>
      </x:c>
      <x:c r="B115" s="53" t="n">
        <x:v>3</x:v>
      </x:c>
      <x:c r="C115" s="40" t="str">
        <x:v>Low-Value Low-Engagement Shoppers</x:v>
      </x:c>
      <x:c r="D115" s="60" t="n">
        <x:v>1182.43</x:v>
      </x:c>
      <x:c r="E115" s="50" t="n">
        <x:v>59</x:v>
      </x:c>
      <x:c r="F115" s="46" t="n">
        <x:v>4.2142857142857135</x:v>
      </x:c>
      <x:c r="G115" s="46" t="n">
        <x:v>3</x:v>
      </x:c>
      <x:c r="H115" s="61" t="n">
        <x:v>20.04118644067797</x:v>
      </x:c>
      <x:c r="I115" s="52" t="n">
        <x:v>0.711864406779661</x:v>
      </x:c>
      <x:c r="J115" s="52" t="n">
        <x:v>0.3558857606792791</x:v>
      </x:c>
      <x:c r="K115" s="60" t="n">
        <x:v>929.19</x:v>
      </x:c>
      <x:c r="L115" s="60" t="n">
        <x:v>253.24</x:v>
      </x:c>
      <x:c r="M115" s="50" t="n">
        <x:v>42</x:v>
      </x:c>
      <x:c r="N115" s="50" t="n">
        <x:v>17</x:v>
      </x:c>
      <x:c r="O115" s="50" t="n">
        <x:v>83</x:v>
      </x:c>
      <x:c r="P115" s="50" t="n">
        <x:v>14</x:v>
      </x:c>
    </x:row>
    <x:row r="116" ht="36" customHeight="1">
      <x:c r="A116" s="53" t="n">
        <x:v>97</x:v>
      </x:c>
      <x:c r="B116" s="53" t="n">
        <x:v>1</x:v>
      </x:c>
      <x:c r="C116" s="40" t="str">
        <x:v>High-Value Frequent Shoppers</x:v>
      </x:c>
      <x:c r="D116" s="60" t="n">
        <x:v>5323.95</x:v>
      </x:c>
      <x:c r="E116" s="50" t="n">
        <x:v>180</x:v>
      </x:c>
      <x:c r="F116" s="46" t="n">
        <x:v>7.826086956521739</x:v>
      </x:c>
      <x:c r="G116" s="46" t="n">
        <x:v>5</x:v>
      </x:c>
      <x:c r="H116" s="61" t="n">
        <x:v>29.5775</x:v>
      </x:c>
      <x:c r="I116" s="52" t="n">
        <x:v>0.9388888888888888</x:v>
      </x:c>
      <x:c r="J116" s="52" t="n">
        <x:v>0.6071131396801247</x:v>
      </x:c>
      <x:c r="K116" s="60" t="n">
        <x:v>5173.32</x:v>
      </x:c>
      <x:c r="L116" s="60" t="n">
        <x:v>150.63</x:v>
      </x:c>
      <x:c r="M116" s="50" t="n">
        <x:v>169</x:v>
      </x:c>
      <x:c r="N116" s="50" t="n">
        <x:v>11</x:v>
      </x:c>
      <x:c r="O116" s="50" t="n">
        <x:v>138</x:v>
      </x:c>
      <x:c r="P116" s="50" t="n">
        <x:v>23</x:v>
      </x:c>
    </x:row>
    <x:row r="117" ht="36" customHeight="1">
      <x:c r="A117" s="53" t="n">
        <x:v>98</x:v>
      </x:c>
      <x:c r="B117" s="53" t="n">
        <x:v>1</x:v>
      </x:c>
      <x:c r="C117" s="40" t="str">
        <x:v>High-Value Frequent Shoppers</x:v>
      </x:c>
      <x:c r="D117" s="60" t="n">
        <x:v>2547.3</x:v>
      </x:c>
      <x:c r="E117" s="50" t="n">
        <x:v>205</x:v>
      </x:c>
      <x:c r="F117" s="46" t="n">
        <x:v>8.541666666666666</x:v>
      </x:c>
      <x:c r="G117" s="46" t="n">
        <x:v>1</x:v>
      </x:c>
      <x:c r="H117" s="61" t="n">
        <x:v>12.425853658536584</x:v>
      </x:c>
      <x:c r="I117" s="52" t="n">
        <x:v>0.824390243902439</x:v>
      </x:c>
      <x:c r="J117" s="52" t="n">
        <x:v>0.5047972362894044</x:v>
      </x:c>
      <x:c r="K117" s="60" t="n">
        <x:v>2335.25</x:v>
      </x:c>
      <x:c r="L117" s="60" t="n">
        <x:v>212.05</x:v>
      </x:c>
      <x:c r="M117" s="50" t="n">
        <x:v>169</x:v>
      </x:c>
      <x:c r="N117" s="50" t="n">
        <x:v>36</x:v>
      </x:c>
      <x:c r="O117" s="50" t="n">
        <x:v>136</x:v>
      </x:c>
      <x:c r="P117" s="50" t="n">
        <x:v>24</x:v>
      </x:c>
    </x:row>
    <x:row r="118" ht="36" customHeight="1">
      <x:c r="A118" s="53" t="n">
        <x:v>99</x:v>
      </x:c>
      <x:c r="B118" s="53" t="n">
        <x:v>1</x:v>
      </x:c>
      <x:c r="C118" s="40" t="str">
        <x:v>High-Value Frequent Shoppers</x:v>
      </x:c>
      <x:c r="D118" s="60" t="n">
        <x:v>6926.15</x:v>
      </x:c>
      <x:c r="E118" s="50" t="n">
        <x:v>254</x:v>
      </x:c>
      <x:c r="F118" s="46" t="n">
        <x:v>11.545454545454543</x:v>
      </x:c>
      <x:c r="G118" s="46" t="n">
        <x:v>2</x:v>
      </x:c>
      <x:c r="H118" s="61" t="n">
        <x:v>27.26830708661417</x:v>
      </x:c>
      <x:c r="I118" s="52" t="n">
        <x:v>0.9330708661417322</x:v>
      </x:c>
      <x:c r="J118" s="52" t="n">
        <x:v>0.6677779141370025</x:v>
      </x:c>
      <x:c r="K118" s="60" t="n">
        <x:v>6687.75</x:v>
      </x:c>
      <x:c r="L118" s="60" t="n">
        <x:v>238.4</x:v>
      </x:c>
      <x:c r="M118" s="50" t="n">
        <x:v>237</x:v>
      </x:c>
      <x:c r="N118" s="50" t="n">
        <x:v>17</x:v>
      </x:c>
      <x:c r="O118" s="50" t="n">
        <x:v>188</x:v>
      </x:c>
      <x:c r="P118" s="50" t="n">
        <x:v>22</x:v>
      </x:c>
    </x:row>
    <x:row r="119" ht="36" customHeight="1">
      <x:c r="A119" s="53" t="n">
        <x:v>100</x:v>
      </x:c>
      <x:c r="B119" s="53" t="n">
        <x:v>2</x:v>
      </x:c>
      <x:c r="C119" s="40" t="str">
        <x:v>Large-Basket Occasional Shoppers</x:v>
      </x:c>
      <x:c r="D119" s="60" t="n">
        <x:v>2294.62</x:v>
      </x:c>
      <x:c r="E119" s="50" t="n">
        <x:v>33</x:v>
      </x:c>
      <x:c r="F119" s="46" t="n">
        <x:v>1.9411764705882355</x:v>
      </x:c>
      <x:c r="G119" s="46" t="n">
        <x:v>20</x:v>
      </x:c>
      <x:c r="H119" s="61" t="n">
        <x:v>69.53393939393939</x:v>
      </x:c>
      <x:c r="I119" s="52" t="n">
        <x:v>0.9393939393939392</x:v>
      </x:c>
      <x:c r="J119" s="52" t="n">
        <x:v>0.5902720276124152</x:v>
      </x:c>
      <x:c r="K119" s="60" t="n">
        <x:v>2270.15</x:v>
      </x:c>
      <x:c r="L119" s="60" t="n">
        <x:v>24.47</x:v>
      </x:c>
      <x:c r="M119" s="50" t="n">
        <x:v>31</x:v>
      </x:c>
      <x:c r="N119" s="50" t="n">
        <x:v>2</x:v>
      </x:c>
      <x:c r="O119" s="50" t="n">
        <x:v>98</x:v>
      </x:c>
      <x:c r="P119" s="50" t="n">
        <x:v>17</x:v>
      </x:c>
    </x:row>
    <x:row r="120" ht="36" customHeight="1">
      <x:c r="A120" s="53" t="n">
        <x:v>101</x:v>
      </x:c>
      <x:c r="B120" s="53" t="n">
        <x:v>1</x:v>
      </x:c>
      <x:c r="C120" s="40" t="str">
        <x:v>High-Value Frequent Shoppers</x:v>
      </x:c>
      <x:c r="D120" s="60" t="n">
        <x:v>6651.58</x:v>
      </x:c>
      <x:c r="E120" s="50" t="n">
        <x:v>240</x:v>
      </x:c>
      <x:c r="F120" s="46" t="n">
        <x:v>11.428571428571429</x:v>
      </x:c>
      <x:c r="G120" s="46" t="n">
        <x:v>3</x:v>
      </x:c>
      <x:c r="H120" s="61" t="n">
        <x:v>27.714916666666664</x:v>
      </x:c>
      <x:c r="I120" s="52" t="n">
        <x:v>0.6958333333333333</x:v>
      </x:c>
      <x:c r="J120" s="52" t="n">
        <x:v>0.6555720595708087</x:v>
      </x:c>
      <x:c r="K120" s="60" t="n">
        <x:v>5762.11</x:v>
      </x:c>
      <x:c r="L120" s="60" t="n">
        <x:v>889.47</x:v>
      </x:c>
      <x:c r="M120" s="50" t="n">
        <x:v>167</x:v>
      </x:c>
      <x:c r="N120" s="50" t="n">
        <x:v>73</x:v>
      </x:c>
      <x:c r="O120" s="50" t="n">
        <x:v>121</x:v>
      </x:c>
      <x:c r="P120" s="50" t="n">
        <x:v>21</x:v>
      </x:c>
    </x:row>
    <x:row r="121" ht="36" customHeight="1">
      <x:c r="A121" s="53" t="n">
        <x:v>102</x:v>
      </x:c>
      <x:c r="B121" s="53" t="n">
        <x:v>3</x:v>
      </x:c>
      <x:c r="C121" s="40" t="str">
        <x:v>Low-Value Low-Engagement Shoppers</x:v>
      </x:c>
      <x:c r="D121" s="60" t="n">
        <x:v>304.84</x:v>
      </x:c>
      <x:c r="E121" s="50" t="n">
        <x:v>8</x:v>
      </x:c>
      <x:c r="F121" s="46" t="n">
        <x:v>2</x:v>
      </x:c>
      <x:c r="G121" s="46" t="n">
        <x:v>532</x:v>
      </x:c>
      <x:c r="H121" s="61" t="n">
        <x:v>38.105</x:v>
      </x:c>
      <x:c r="I121" s="52" t="n">
        <x:v>0.875</x:v>
      </x:c>
      <x:c r="J121" s="52" t="n">
        <x:v>0.3812819839916021</x:v>
      </x:c>
      <x:c r="K121" s="60" t="n">
        <x:v>293.86</x:v>
      </x:c>
      <x:c r="L121" s="60" t="n">
        <x:v>10.98</x:v>
      </x:c>
      <x:c r="M121" s="50" t="n">
        <x:v>7</x:v>
      </x:c>
      <x:c r="N121" s="50" t="n">
        <x:v>1</x:v>
      </x:c>
      <x:c r="O121" s="50" t="n">
        <x:v>45</x:v>
      </x:c>
      <x:c r="P121" s="50" t="n">
        <x:v>4</x:v>
      </x:c>
    </x:row>
    <x:row r="122" ht="36" customHeight="1">
      <x:c r="A122" s="53" t="n">
        <x:v>103</x:v>
      </x:c>
      <x:c r="B122" s="53" t="n">
        <x:v>3</x:v>
      </x:c>
      <x:c r="C122" s="40" t="str">
        <x:v>Low-Value Low-Engagement Shoppers</x:v>
      </x:c>
      <x:c r="D122" s="60" t="n">
        <x:v>541.99</x:v>
      </x:c>
      <x:c r="E122" s="50" t="n">
        <x:v>50</x:v>
      </x:c>
      <x:c r="F122" s="46" t="n">
        <x:v>3.125</x:v>
      </x:c>
      <x:c r="G122" s="46" t="n">
        <x:v>2</x:v>
      </x:c>
      <x:c r="H122" s="61" t="n">
        <x:v>10.8398</x:v>
      </x:c>
      <x:c r="I122" s="52" t="n">
        <x:v>0.88</x:v>
      </x:c>
      <x:c r="J122" s="52" t="n">
        <x:v>0.4900459418070444</x:v>
      </x:c>
      <x:c r="K122" s="60" t="n">
        <x:v>522.79</x:v>
      </x:c>
      <x:c r="L122" s="60" t="n">
        <x:v>19.2</x:v>
      </x:c>
      <x:c r="M122" s="50" t="n">
        <x:v>44</x:v>
      </x:c>
      <x:c r="N122" s="50" t="n">
        <x:v>6</x:v>
      </x:c>
      <x:c r="O122" s="50" t="n">
        <x:v>82</x:v>
      </x:c>
      <x:c r="P122" s="50" t="n">
        <x:v>16</x:v>
      </x:c>
    </x:row>
    <x:row r="123" ht="36" customHeight="1">
      <x:c r="A123" s="53" t="n">
        <x:v>104</x:v>
      </x:c>
      <x:c r="B123" s="53" t="n">
        <x:v>1</x:v>
      </x:c>
      <x:c r="C123" s="40" t="str">
        <x:v>High-Value Frequent Shoppers</x:v>
      </x:c>
      <x:c r="D123" s="60" t="n">
        <x:v>6546.74</x:v>
      </x:c>
      <x:c r="E123" s="50" t="n">
        <x:v>127</x:v>
      </x:c>
      <x:c r="F123" s="46" t="n">
        <x:v>6.35</x:v>
      </x:c>
      <x:c r="G123" s="46" t="n">
        <x:v>0</x:v>
      </x:c>
      <x:c r="H123" s="61" t="n">
        <x:v>51.54913385826772</x:v>
      </x:c>
      <x:c r="I123" s="52" t="n">
        <x:v>0.84251968503937</x:v>
      </x:c>
      <x:c r="J123" s="52" t="n">
        <x:v>0.6691315066735504</x:v>
      </x:c>
      <x:c r="K123" s="60" t="n">
        <x:v>6197.43</x:v>
      </x:c>
      <x:c r="L123" s="60" t="n">
        <x:v>349.31</x:v>
      </x:c>
      <x:c r="M123" s="50" t="n">
        <x:v>107</x:v>
      </x:c>
      <x:c r="N123" s="50" t="n">
        <x:v>20</x:v>
      </x:c>
      <x:c r="O123" s="50" t="n">
        <x:v>151</x:v>
      </x:c>
      <x:c r="P123" s="50" t="n">
        <x:v>20</x:v>
      </x:c>
    </x:row>
    <x:row r="124" ht="36" customHeight="1">
      <x:c r="A124" s="53" t="n">
        <x:v>105</x:v>
      </x:c>
      <x:c r="B124" s="53" t="n">
        <x:v>1</x:v>
      </x:c>
      <x:c r="C124" s="40" t="str">
        <x:v>High-Value Frequent Shoppers</x:v>
      </x:c>
      <x:c r="D124" s="60" t="n">
        <x:v>4591.67</x:v>
      </x:c>
      <x:c r="E124" s="50" t="n">
        <x:v>169</x:v>
      </x:c>
      <x:c r="F124" s="46" t="n">
        <x:v>7.041666666666666</x:v>
      </x:c>
      <x:c r="G124" s="46" t="n">
        <x:v>1</x:v>
      </x:c>
      <x:c r="H124" s="61" t="n">
        <x:v>27.1696449704142</x:v>
      </x:c>
      <x:c r="I124" s="52" t="n">
        <x:v>0.8224852071005917</x:v>
      </x:c>
      <x:c r="J124" s="52" t="n">
        <x:v>0.5685273549710671</x:v>
      </x:c>
      <x:c r="K124" s="60" t="n">
        <x:v>4482.93</x:v>
      </x:c>
      <x:c r="L124" s="60" t="n">
        <x:v>108.74</x:v>
      </x:c>
      <x:c r="M124" s="50" t="n">
        <x:v>139</x:v>
      </x:c>
      <x:c r="N124" s="50" t="n">
        <x:v>30</x:v>
      </x:c>
      <x:c r="O124" s="50" t="n">
        <x:v>143</x:v>
      </x:c>
      <x:c r="P124" s="50" t="n">
        <x:v>24</x:v>
      </x:c>
    </x:row>
    <x:row r="125" ht="36" customHeight="1">
      <x:c r="A125" s="53" t="n">
        <x:v>106</x:v>
      </x:c>
      <x:c r="B125" s="53" t="n">
        <x:v>2</x:v>
      </x:c>
      <x:c r="C125" s="40" t="str">
        <x:v>Large-Basket Occasional Shoppers</x:v>
      </x:c>
      <x:c r="D125" s="60" t="n">
        <x:v>2014.66</x:v>
      </x:c>
      <x:c r="E125" s="50" t="n">
        <x:v>67</x:v>
      </x:c>
      <x:c r="F125" s="46" t="n">
        <x:v>4.466666666666667</x:v>
      </x:c>
      <x:c r="G125" s="46" t="n">
        <x:v>6</x:v>
      </x:c>
      <x:c r="H125" s="61" t="n">
        <x:v>30.06955223880597</x:v>
      </x:c>
      <x:c r="I125" s="52" t="n">
        <x:v>0.8955223880597014</x:v>
      </x:c>
      <x:c r="J125" s="52" t="n">
        <x:v>0.512761458509128</x:v>
      </x:c>
      <x:c r="K125" s="60" t="n">
        <x:v>1830.17</x:v>
      </x:c>
      <x:c r="L125" s="60" t="n">
        <x:v>184.49</x:v>
      </x:c>
      <x:c r="M125" s="50" t="n">
        <x:v>60</x:v>
      </x:c>
      <x:c r="N125" s="50" t="n">
        <x:v>7</x:v>
      </x:c>
      <x:c r="O125" s="50" t="n">
        <x:v>115</x:v>
      </x:c>
      <x:c r="P125" s="50" t="n">
        <x:v>15</x:v>
      </x:c>
    </x:row>
    <x:row r="126" ht="36" customHeight="1">
      <x:c r="A126" s="53" t="n">
        <x:v>107</x:v>
      </x:c>
      <x:c r="B126" s="53" t="n">
        <x:v>2</x:v>
      </x:c>
      <x:c r="C126" s="40" t="str">
        <x:v>Large-Basket Occasional Shoppers</x:v>
      </x:c>
      <x:c r="D126" s="60" t="n">
        <x:v>1222.83</x:v>
      </x:c>
      <x:c r="E126" s="50" t="n">
        <x:v>41</x:v>
      </x:c>
      <x:c r="F126" s="46" t="n">
        <x:v>3.416666666666667</x:v>
      </x:c>
      <x:c r="G126" s="46" t="n">
        <x:v>29</x:v>
      </x:c>
      <x:c r="H126" s="61" t="n">
        <x:v>29.82512195121951</x:v>
      </x:c>
      <x:c r="I126" s="52" t="n">
        <x:v>0.951219512195122</x:v>
      </x:c>
      <x:c r="J126" s="52" t="n">
        <x:v>0.5743725620078015</x:v>
      </x:c>
      <x:c r="K126" s="60" t="n">
        <x:v>1200.14</x:v>
      </x:c>
      <x:c r="L126" s="60" t="n">
        <x:v>22.69</x:v>
      </x:c>
      <x:c r="M126" s="50" t="n">
        <x:v>39</x:v>
      </x:c>
      <x:c r="N126" s="50" t="n">
        <x:v>2</x:v>
      </x:c>
      <x:c r="O126" s="50" t="n">
        <x:v>77</x:v>
      </x:c>
      <x:c r="P126" s="50" t="n">
        <x:v>12</x:v>
      </x:c>
    </x:row>
    <x:row r="127" ht="36" customHeight="1">
      <x:c r="A127" s="53" t="n">
        <x:v>108</x:v>
      </x:c>
      <x:c r="B127" s="53" t="n">
        <x:v>2</x:v>
      </x:c>
      <x:c r="C127" s="40" t="str">
        <x:v>Large-Basket Occasional Shoppers</x:v>
      </x:c>
      <x:c r="D127" s="60" t="n">
        <x:v>2671.16</x:v>
      </x:c>
      <x:c r="E127" s="50" t="n">
        <x:v>62</x:v>
      </x:c>
      <x:c r="F127" s="46" t="n">
        <x:v>2.952380952380953</x:v>
      </x:c>
      <x:c r="G127" s="46" t="n">
        <x:v>22</x:v>
      </x:c>
      <x:c r="H127" s="61" t="n">
        <x:v>43.08322580645161</x:v>
      </x:c>
      <x:c r="I127" s="52" t="n">
        <x:v>0.8709677419354838</x:v>
      </x:c>
      <x:c r="J127" s="52" t="n">
        <x:v>0.4462817652255948</x:v>
      </x:c>
      <x:c r="K127" s="60" t="n">
        <x:v>2610.9</x:v>
      </x:c>
      <x:c r="L127" s="60" t="n">
        <x:v>60.26</x:v>
      </x:c>
      <x:c r="M127" s="50" t="n">
        <x:v>54</x:v>
      </x:c>
      <x:c r="N127" s="50" t="n">
        <x:v>8</x:v>
      </x:c>
      <x:c r="O127" s="50" t="n">
        <x:v>156</x:v>
      </x:c>
      <x:c r="P127" s="50" t="n">
        <x:v>21</x:v>
      </x:c>
    </x:row>
    <x:row r="128" ht="36" customHeight="1">
      <x:c r="A128" s="53" t="n">
        <x:v>109</x:v>
      </x:c>
      <x:c r="B128" s="53" t="n">
        <x:v>1</x:v>
      </x:c>
      <x:c r="C128" s="40" t="str">
        <x:v>High-Value Frequent Shoppers</x:v>
      </x:c>
      <x:c r="D128" s="60" t="n">
        <x:v>3501.07</x:v>
      </x:c>
      <x:c r="E128" s="50" t="n">
        <x:v>104</x:v>
      </x:c>
      <x:c r="F128" s="46" t="n">
        <x:v>4.952380952380952</x:v>
      </x:c>
      <x:c r="G128" s="46" t="n">
        <x:v>3</x:v>
      </x:c>
      <x:c r="H128" s="61" t="n">
        <x:v>33.66413461538461</x:v>
      </x:c>
      <x:c r="I128" s="52" t="n">
        <x:v>0.9134615384615384</x:v>
      </x:c>
      <x:c r="J128" s="52" t="n">
        <x:v>0.3384051161502055</x:v>
      </x:c>
      <x:c r="K128" s="60" t="n">
        <x:v>3398.52</x:v>
      </x:c>
      <x:c r="L128" s="60" t="n">
        <x:v>102.55</x:v>
      </x:c>
      <x:c r="M128" s="50" t="n">
        <x:v>95</x:v>
      </x:c>
      <x:c r="N128" s="50" t="n">
        <x:v>9</x:v>
      </x:c>
      <x:c r="O128" s="50" t="n">
        <x:v>152</x:v>
      </x:c>
      <x:c r="P128" s="50" t="n">
        <x:v>21</x:v>
      </x:c>
    </x:row>
    <x:row r="129" ht="36" customHeight="1">
      <x:c r="A129" s="53" t="n">
        <x:v>110</x:v>
      </x:c>
      <x:c r="B129" s="53" t="n">
        <x:v>1</x:v>
      </x:c>
      <x:c r="C129" s="40" t="str">
        <x:v>High-Value Frequent Shoppers</x:v>
      </x:c>
      <x:c r="D129" s="60" t="n">
        <x:v>3461.32</x:v>
      </x:c>
      <x:c r="E129" s="50" t="n">
        <x:v>185</x:v>
      </x:c>
      <x:c r="F129" s="46" t="n">
        <x:v>8.409090909090908</x:v>
      </x:c>
      <x:c r="G129" s="46" t="n">
        <x:v>0</x:v>
      </x:c>
      <x:c r="H129" s="61" t="n">
        <x:v>18.70983783783784</x:v>
      </x:c>
      <x:c r="I129" s="52" t="n">
        <x:v>0.8594594594594595</x:v>
      </x:c>
      <x:c r="J129" s="52" t="n">
        <x:v>0.5348942022118729</x:v>
      </x:c>
      <x:c r="K129" s="60" t="n">
        <x:v>3276.78</x:v>
      </x:c>
      <x:c r="L129" s="60" t="n">
        <x:v>184.54</x:v>
      </x:c>
      <x:c r="M129" s="50" t="n">
        <x:v>159</x:v>
      </x:c>
      <x:c r="N129" s="50" t="n">
        <x:v>26</x:v>
      </x:c>
      <x:c r="O129" s="50" t="n">
        <x:v>162</x:v>
      </x:c>
      <x:c r="P129" s="50" t="n">
        <x:v>22</x:v>
      </x:c>
    </x:row>
    <x:row r="130" ht="36" customHeight="1">
      <x:c r="A130" s="53" t="n">
        <x:v>111</x:v>
      </x:c>
      <x:c r="B130" s="53" t="n">
        <x:v>2</x:v>
      </x:c>
      <x:c r="C130" s="40" t="str">
        <x:v>Large-Basket Occasional Shoppers</x:v>
      </x:c>
      <x:c r="D130" s="60" t="n">
        <x:v>1515.65</x:v>
      </x:c>
      <x:c r="E130" s="50" t="n">
        <x:v>51</x:v>
      </x:c>
      <x:c r="F130" s="46" t="n">
        <x:v>2.833333333333333</x:v>
      </x:c>
      <x:c r="G130" s="46" t="n">
        <x:v>24</x:v>
      </x:c>
      <x:c r="H130" s="61" t="n">
        <x:v>29.718627450980392</x:v>
      </x:c>
      <x:c r="I130" s="52" t="n">
        <x:v>0.9215686274509804</x:v>
      </x:c>
      <x:c r="J130" s="52" t="n">
        <x:v>0.6005674133210173</x:v>
      </x:c>
      <x:c r="K130" s="60" t="n">
        <x:v>1490.42</x:v>
      </x:c>
      <x:c r="L130" s="60" t="n">
        <x:v>25.23</x:v>
      </x:c>
      <x:c r="M130" s="50" t="n">
        <x:v>47</x:v>
      </x:c>
      <x:c r="N130" s="50" t="n">
        <x:v>4</x:v>
      </x:c>
      <x:c r="O130" s="50" t="n">
        <x:v>132</x:v>
      </x:c>
      <x:c r="P130" s="50" t="n">
        <x:v>18</x:v>
      </x:c>
    </x:row>
    <x:row r="131" ht="36" customHeight="1">
      <x:c r="A131" s="53" t="n">
        <x:v>112</x:v>
      </x:c>
      <x:c r="B131" s="53" t="n">
        <x:v>3</x:v>
      </x:c>
      <x:c r="C131" s="40" t="str">
        <x:v>Low-Value Low-Engagement Shoppers</x:v>
      </x:c>
      <x:c r="D131" s="60" t="n">
        <x:v>1342.65</x:v>
      </x:c>
      <x:c r="E131" s="50" t="n">
        <x:v>80</x:v>
      </x:c>
      <x:c r="F131" s="46" t="n">
        <x:v>3.8095238095238098</x:v>
      </x:c>
      <x:c r="G131" s="46" t="n">
        <x:v>13</x:v>
      </x:c>
      <x:c r="H131" s="61" t="n">
        <x:v>16.783125</x:v>
      </x:c>
      <x:c r="I131" s="52" t="n">
        <x:v>0.7</x:v>
      </x:c>
      <x:c r="J131" s="52" t="n">
        <x:v>0.5745875693591032</x:v>
      </x:c>
      <x:c r="K131" s="60" t="n">
        <x:v>1138.76</x:v>
      </x:c>
      <x:c r="L131" s="60" t="n">
        <x:v>203.89</x:v>
      </x:c>
      <x:c r="M131" s="50" t="n">
        <x:v>56</x:v>
      </x:c>
      <x:c r="N131" s="50" t="n">
        <x:v>24</x:v>
      </x:c>
      <x:c r="O131" s="50" t="n">
        <x:v>72</x:v>
      </x:c>
      <x:c r="P131" s="50" t="n">
        <x:v>21</x:v>
      </x:c>
    </x:row>
    <x:row r="132" ht="36" customHeight="1">
      <x:c r="A132" s="53" t="n">
        <x:v>113</x:v>
      </x:c>
      <x:c r="B132" s="53" t="n">
        <x:v>1</x:v>
      </x:c>
      <x:c r="C132" s="40" t="str">
        <x:v>High-Value Frequent Shoppers</x:v>
      </x:c>
      <x:c r="D132" s="60" t="n">
        <x:v>15324.95</x:v>
      </x:c>
      <x:c r="E132" s="50" t="n">
        <x:v>222</x:v>
      </x:c>
      <x:c r="F132" s="46" t="n">
        <x:v>10.571428571428571</x:v>
      </x:c>
      <x:c r="G132" s="46" t="n">
        <x:v>2</x:v>
      </x:c>
      <x:c r="H132" s="61" t="n">
        <x:v>69.0313063063063</x:v>
      </x:c>
      <x:c r="I132" s="52" t="n">
        <x:v>0.9504504504504504</x:v>
      </x:c>
      <x:c r="J132" s="52" t="n">
        <x:v>0.5650635075481486</x:v>
      </x:c>
      <x:c r="K132" s="60" t="n">
        <x:v>15004.87</x:v>
      </x:c>
      <x:c r="L132" s="60" t="n">
        <x:v>320.08</x:v>
      </x:c>
      <x:c r="M132" s="50" t="n">
        <x:v>211</x:v>
      </x:c>
      <x:c r="N132" s="50" t="n">
        <x:v>11</x:v>
      </x:c>
      <x:c r="O132" s="50" t="n">
        <x:v>215</x:v>
      </x:c>
      <x:c r="P132" s="50" t="n">
        <x:v>21</x:v>
      </x:c>
    </x:row>
    <x:row r="133" ht="36" customHeight="1">
      <x:c r="A133" s="53" t="n">
        <x:v>114</x:v>
      </x:c>
      <x:c r="B133" s="53" t="n">
        <x:v>2</x:v>
      </x:c>
      <x:c r="C133" s="40" t="str">
        <x:v>Large-Basket Occasional Shoppers</x:v>
      </x:c>
      <x:c r="D133" s="60" t="n">
        <x:v>3315.63</x:v>
      </x:c>
      <x:c r="E133" s="50" t="n">
        <x:v>88</x:v>
      </x:c>
      <x:c r="F133" s="46" t="n">
        <x:v>3.6666666666666665</x:v>
      </x:c>
      <x:c r="G133" s="46" t="n">
        <x:v>3</x:v>
      </x:c>
      <x:c r="H133" s="61" t="n">
        <x:v>37.67761363636364</x:v>
      </x:c>
      <x:c r="I133" s="52" t="n">
        <x:v>0.909090909090909</x:v>
      </x:c>
      <x:c r="J133" s="52" t="n">
        <x:v>0.4574967653206178</x:v>
      </x:c>
      <x:c r="K133" s="60" t="n">
        <x:v>3225.48</x:v>
      </x:c>
      <x:c r="L133" s="60" t="n">
        <x:v>90.15</x:v>
      </x:c>
      <x:c r="M133" s="50" t="n">
        <x:v>80</x:v>
      </x:c>
      <x:c r="N133" s="50" t="n">
        <x:v>8</x:v>
      </x:c>
      <x:c r="O133" s="50" t="n">
        <x:v>141</x:v>
      </x:c>
      <x:c r="P133" s="50" t="n">
        <x:v>24</x:v>
      </x:c>
    </x:row>
    <x:row r="134" ht="36" customHeight="1">
      <x:c r="A134" s="53" t="n">
        <x:v>115</x:v>
      </x:c>
      <x:c r="B134" s="53" t="n">
        <x:v>1</x:v>
      </x:c>
      <x:c r="C134" s="40" t="str">
        <x:v>High-Value Frequent Shoppers</x:v>
      </x:c>
      <x:c r="D134" s="60" t="n">
        <x:v>13262.1</x:v>
      </x:c>
      <x:c r="E134" s="50" t="n">
        <x:v>201</x:v>
      </x:c>
      <x:c r="F134" s="46" t="n">
        <x:v>8.739130434782608</x:v>
      </x:c>
      <x:c r="G134" s="46" t="n">
        <x:v>3</x:v>
      </x:c>
      <x:c r="H134" s="61" t="n">
        <x:v>65.98059701492537</x:v>
      </x:c>
      <x:c r="I134" s="52" t="n">
        <x:v>0.8805970149253731</x:v>
      </x:c>
      <x:c r="J134" s="52" t="n">
        <x:v>0.5176834739596293</x:v>
      </x:c>
      <x:c r="K134" s="60" t="n">
        <x:v>12776.41</x:v>
      </x:c>
      <x:c r="L134" s="60" t="n">
        <x:v>485.69</x:v>
      </x:c>
      <x:c r="M134" s="50" t="n">
        <x:v>177</x:v>
      </x:c>
      <x:c r="N134" s="50" t="n">
        <x:v>24</x:v>
      </x:c>
      <x:c r="O134" s="50" t="n">
        <x:v>181</x:v>
      </x:c>
      <x:c r="P134" s="50" t="n">
        <x:v>23</x:v>
      </x:c>
    </x:row>
    <x:row r="135" ht="36" customHeight="1">
      <x:c r="A135" s="53" t="n">
        <x:v>116</x:v>
      </x:c>
      <x:c r="B135" s="53" t="n">
        <x:v>3</x:v>
      </x:c>
      <x:c r="C135" s="40" t="str">
        <x:v>Low-Value Low-Engagement Shoppers</x:v>
      </x:c>
      <x:c r="D135" s="60" t="n">
        <x:v>647.72</x:v>
      </x:c>
      <x:c r="E135" s="50" t="n">
        <x:v>81</x:v>
      </x:c>
      <x:c r="F135" s="46" t="n">
        <x:v>3.5217391304347823</x:v>
      </x:c>
      <x:c r="G135" s="46" t="n">
        <x:v>1</x:v>
      </x:c>
      <x:c r="H135" s="61" t="n">
        <x:v>7.996543209876543</x:v>
      </x:c>
      <x:c r="I135" s="52" t="n">
        <x:v>0.9012345679012344</x:v>
      </x:c>
      <x:c r="J135" s="52" t="n">
        <x:v>0.5230346445995183</x:v>
      </x:c>
      <x:c r="K135" s="60" t="n">
        <x:v>586.81</x:v>
      </x:c>
      <x:c r="L135" s="60" t="n">
        <x:v>60.91</x:v>
      </x:c>
      <x:c r="M135" s="50" t="n">
        <x:v>73</x:v>
      </x:c>
      <x:c r="N135" s="50" t="n">
        <x:v>8</x:v>
      </x:c>
      <x:c r="O135" s="50" t="n">
        <x:v>62</x:v>
      </x:c>
      <x:c r="P135" s="50" t="n">
        <x:v>23</x:v>
      </x:c>
    </x:row>
    <x:row r="136" ht="36" customHeight="1">
      <x:c r="A136" s="53" t="n">
        <x:v>117</x:v>
      </x:c>
      <x:c r="B136" s="53" t="n">
        <x:v>1</x:v>
      </x:c>
      <x:c r="C136" s="40" t="str">
        <x:v>High-Value Frequent Shoppers</x:v>
      </x:c>
      <x:c r="D136" s="60" t="n">
        <x:v>2568.21</x:v>
      </x:c>
      <x:c r="E136" s="50" t="n">
        <x:v>94</x:v>
      </x:c>
      <x:c r="F136" s="46" t="n">
        <x:v>3.9166666666666665</x:v>
      </x:c>
      <x:c r="G136" s="46" t="n">
        <x:v>0</x:v>
      </x:c>
      <x:c r="H136" s="61" t="n">
        <x:v>27.321382978723403</x:v>
      </x:c>
      <x:c r="I136" s="52" t="n">
        <x:v>1</x:v>
      </x:c>
      <x:c r="J136" s="52" t="n">
        <x:v>0.4824332901125686</x:v>
      </x:c>
      <x:c r="K136" s="60" t="n">
        <x:v>2568.21</x:v>
      </x:c>
      <x:c r="L136" s="60" t="n">
        <x:v>0</x:v>
      </x:c>
      <x:c r="M136" s="50" t="n">
        <x:v>94</x:v>
      </x:c>
      <x:c r="N136" s="50" t="n">
        <x:v>0</x:v>
      </x:c>
      <x:c r="O136" s="50" t="n">
        <x:v>133</x:v>
      </x:c>
      <x:c r="P136" s="50" t="n">
        <x:v>24</x:v>
      </x:c>
    </x:row>
    <x:row r="137" ht="36" customHeight="1">
      <x:c r="A137" s="53" t="n">
        <x:v>118</x:v>
      </x:c>
      <x:c r="B137" s="53" t="n">
        <x:v>2</x:v>
      </x:c>
      <x:c r="C137" s="40" t="str">
        <x:v>Large-Basket Occasional Shoppers</x:v>
      </x:c>
      <x:c r="D137" s="60" t="n">
        <x:v>4526.21</x:v>
      </x:c>
      <x:c r="E137" s="50" t="n">
        <x:v>90</x:v>
      </x:c>
      <x:c r="F137" s="46" t="n">
        <x:v>4.285714285714286</x:v>
      </x:c>
      <x:c r="G137" s="46" t="n">
        <x:v>4</x:v>
      </x:c>
      <x:c r="H137" s="61" t="n">
        <x:v>50.291222222222224</x:v>
      </x:c>
      <x:c r="I137" s="52" t="n">
        <x:v>0.9222222222222222</x:v>
      </x:c>
      <x:c r="J137" s="52" t="n">
        <x:v>0.4486910682447345</x:v>
      </x:c>
      <x:c r="K137" s="60" t="n">
        <x:v>4440.99</x:v>
      </x:c>
      <x:c r="L137" s="60" t="n">
        <x:v>85.22</x:v>
      </x:c>
      <x:c r="M137" s="50" t="n">
        <x:v>83</x:v>
      </x:c>
      <x:c r="N137" s="50" t="n">
        <x:v>7</x:v>
      </x:c>
      <x:c r="O137" s="50" t="n">
        <x:v>134</x:v>
      </x:c>
      <x:c r="P137" s="50" t="n">
        <x:v>21</x:v>
      </x:c>
    </x:row>
    <x:row r="138" ht="36" customHeight="1">
      <x:c r="A138" s="53" t="n">
        <x:v>119</x:v>
      </x:c>
      <x:c r="B138" s="53" t="n">
        <x:v>2</x:v>
      </x:c>
      <x:c r="C138" s="40" t="str">
        <x:v>Large-Basket Occasional Shoppers</x:v>
      </x:c>
      <x:c r="D138" s="60" t="n">
        <x:v>2593.01</x:v>
      </x:c>
      <x:c r="E138" s="50" t="n">
        <x:v>62</x:v>
      </x:c>
      <x:c r="F138" s="46" t="n">
        <x:v>3.647058823529412</x:v>
      </x:c>
      <x:c r="G138" s="46" t="n">
        <x:v>2</x:v>
      </x:c>
      <x:c r="H138" s="61" t="n">
        <x:v>41.82274193548387</x:v>
      </x:c>
      <x:c r="I138" s="52" t="n">
        <x:v>0.9193548387096774</x:v>
      </x:c>
      <x:c r="J138" s="52" t="n">
        <x:v>0.2877042510441533</x:v>
      </x:c>
      <x:c r="K138" s="60" t="n">
        <x:v>2547.35</x:v>
      </x:c>
      <x:c r="L138" s="60" t="n">
        <x:v>45.66</x:v>
      </x:c>
      <x:c r="M138" s="50" t="n">
        <x:v>57</x:v>
      </x:c>
      <x:c r="N138" s="50" t="n">
        <x:v>5</x:v>
      </x:c>
      <x:c r="O138" s="50" t="n">
        <x:v>150</x:v>
      </x:c>
      <x:c r="P138" s="50" t="n">
        <x:v>17</x:v>
      </x:c>
    </x:row>
    <x:row r="139" ht="36" customHeight="1">
      <x:c r="A139" s="53" t="n">
        <x:v>120</x:v>
      </x:c>
      <x:c r="B139" s="53" t="n">
        <x:v>3</x:v>
      </x:c>
      <x:c r="C139" s="40" t="str">
        <x:v>Low-Value Low-Engagement Shoppers</x:v>
      </x:c>
      <x:c r="D139" s="60" t="n">
        <x:v>242.32</x:v>
      </x:c>
      <x:c r="E139" s="50" t="n">
        <x:v>19</x:v>
      </x:c>
      <x:c r="F139" s="46" t="n">
        <x:v>1.9</x:v>
      </x:c>
      <x:c r="G139" s="46" t="n">
        <x:v>58</x:v>
      </x:c>
      <x:c r="H139" s="61" t="n">
        <x:v>12.753684210526316</x:v>
      </x:c>
      <x:c r="I139" s="52" t="n">
        <x:v>0.4210526315789473</x:v>
      </x:c>
      <x:c r="J139" s="52" t="n">
        <x:v>0.3096731594585671</x:v>
      </x:c>
      <x:c r="K139" s="60" t="n">
        <x:v>100.89</x:v>
      </x:c>
      <x:c r="L139" s="60" t="n">
        <x:v>141.43</x:v>
      </x:c>
      <x:c r="M139" s="50" t="n">
        <x:v>8</x:v>
      </x:c>
      <x:c r="N139" s="50" t="n">
        <x:v>11</x:v>
      </x:c>
      <x:c r="O139" s="50" t="n">
        <x:v>15</x:v>
      </x:c>
      <x:c r="P139" s="50" t="n">
        <x:v>10</x:v>
      </x:c>
    </x:row>
    <x:row r="140" ht="36" customHeight="1">
      <x:c r="A140" s="53" t="n">
        <x:v>121</x:v>
      </x:c>
      <x:c r="B140" s="53" t="n">
        <x:v>2</x:v>
      </x:c>
      <x:c r="C140" s="40" t="str">
        <x:v>Large-Basket Occasional Shoppers</x:v>
      </x:c>
      <x:c r="D140" s="60" t="n">
        <x:v>2225.58</x:v>
      </x:c>
      <x:c r="E140" s="50" t="n">
        <x:v>111</x:v>
      </x:c>
      <x:c r="F140" s="46" t="n">
        <x:v>5.842105263157896</x:v>
      </x:c>
      <x:c r="G140" s="46" t="n">
        <x:v>42</x:v>
      </x:c>
      <x:c r="H140" s="61" t="n">
        <x:v>20.05027027027027</x:v>
      </x:c>
      <x:c r="I140" s="52" t="n">
        <x:v>0.7927927927927927</x:v>
      </x:c>
      <x:c r="J140" s="52" t="n">
        <x:v>0.4732384367221128</x:v>
      </x:c>
      <x:c r="K140" s="60" t="n">
        <x:v>2091.73</x:v>
      </x:c>
      <x:c r="L140" s="60" t="n">
        <x:v>133.85</x:v>
      </x:c>
      <x:c r="M140" s="50" t="n">
        <x:v>88</x:v>
      </x:c>
      <x:c r="N140" s="50" t="n">
        <x:v>23</x:v>
      </x:c>
      <x:c r="O140" s="50" t="n">
        <x:v>116</x:v>
      </x:c>
      <x:c r="P140" s="50" t="n">
        <x:v>19</x:v>
      </x:c>
    </x:row>
    <x:row r="141" ht="36" customHeight="1">
      <x:c r="A141" s="53" t="n">
        <x:v>122</x:v>
      </x:c>
      <x:c r="B141" s="53" t="n">
        <x:v>2</x:v>
      </x:c>
      <x:c r="C141" s="40" t="str">
        <x:v>Large-Basket Occasional Shoppers</x:v>
      </x:c>
      <x:c r="D141" s="60" t="n">
        <x:v>2354.22</x:v>
      </x:c>
      <x:c r="E141" s="50" t="n">
        <x:v>132</x:v>
      </x:c>
      <x:c r="F141" s="46" t="n">
        <x:v>6.285714285714286</x:v>
      </x:c>
      <x:c r="G141" s="46" t="n">
        <x:v>40</x:v>
      </x:c>
      <x:c r="H141" s="61" t="n">
        <x:v>17.835</x:v>
      </x:c>
      <x:c r="I141" s="52" t="n">
        <x:v>0.8106060606060606</x:v>
      </x:c>
      <x:c r="J141" s="52" t="n">
        <x:v>0.537460390277884</x:v>
      </x:c>
      <x:c r="K141" s="60" t="n">
        <x:v>2158.8</x:v>
      </x:c>
      <x:c r="L141" s="60" t="n">
        <x:v>195.42</x:v>
      </x:c>
      <x:c r="M141" s="50" t="n">
        <x:v>107</x:v>
      </x:c>
      <x:c r="N141" s="50" t="n">
        <x:v>25</x:v>
      </x:c>
      <x:c r="O141" s="50" t="n">
        <x:v>134</x:v>
      </x:c>
      <x:c r="P141" s="50" t="n">
        <x:v>21</x:v>
      </x:c>
    </x:row>
    <x:row r="142" ht="36" customHeight="1">
      <x:c r="A142" s="53" t="n">
        <x:v>123</x:v>
      </x:c>
      <x:c r="B142" s="53" t="n">
        <x:v>1</x:v>
      </x:c>
      <x:c r="C142" s="40" t="str">
        <x:v>High-Value Frequent Shoppers</x:v>
      </x:c>
      <x:c r="D142" s="60" t="n">
        <x:v>3222.65</x:v>
      </x:c>
      <x:c r="E142" s="50" t="n">
        <x:v>174</x:v>
      </x:c>
      <x:c r="F142" s="46" t="n">
        <x:v>8.285714285714285</x:v>
      </x:c>
      <x:c r="G142" s="46" t="n">
        <x:v>20</x:v>
      </x:c>
      <x:c r="H142" s="61" t="n">
        <x:v>18.52097701149425</x:v>
      </x:c>
      <x:c r="I142" s="52" t="n">
        <x:v>0.9195402298850572</x:v>
      </x:c>
      <x:c r="J142" s="52" t="n">
        <x:v>0.5504352008440258</x:v>
      </x:c>
      <x:c r="K142" s="60" t="n">
        <x:v>3071.42</x:v>
      </x:c>
      <x:c r="L142" s="60" t="n">
        <x:v>151.23</x:v>
      </x:c>
      <x:c r="M142" s="50" t="n">
        <x:v>160</x:v>
      </x:c>
      <x:c r="N142" s="50" t="n">
        <x:v>14</x:v>
      </x:c>
      <x:c r="O142" s="50" t="n">
        <x:v>118</x:v>
      </x:c>
      <x:c r="P142" s="50" t="n">
        <x:v>21</x:v>
      </x:c>
    </x:row>
    <x:row r="143" ht="36" customHeight="1">
      <x:c r="A143" s="53" t="n">
        <x:v>124</x:v>
      </x:c>
      <x:c r="B143" s="53" t="n">
        <x:v>3</x:v>
      </x:c>
      <x:c r="C143" s="40" t="str">
        <x:v>Low-Value Low-Engagement Shoppers</x:v>
      </x:c>
      <x:c r="D143" s="60" t="n">
        <x:v>683.41</x:v>
      </x:c>
      <x:c r="E143" s="50" t="n">
        <x:v>61</x:v>
      </x:c>
      <x:c r="F143" s="46" t="n">
        <x:v>3.210526315789473</x:v>
      </x:c>
      <x:c r="G143" s="46" t="n">
        <x:v>0</x:v>
      </x:c>
      <x:c r="H143" s="61" t="n">
        <x:v>11.20344262295082</x:v>
      </x:c>
      <x:c r="I143" s="52" t="n">
        <x:v>0.7868852459016393</x:v>
      </x:c>
      <x:c r="J143" s="52" t="n">
        <x:v>0.4830189783585256</x:v>
      </x:c>
      <x:c r="K143" s="60" t="n">
        <x:v>580.34</x:v>
      </x:c>
      <x:c r="L143" s="60" t="n">
        <x:v>103.07</x:v>
      </x:c>
      <x:c r="M143" s="50" t="n">
        <x:v>48</x:v>
      </x:c>
      <x:c r="N143" s="50" t="n">
        <x:v>13</x:v>
      </x:c>
      <x:c r="O143" s="50" t="n">
        <x:v>64</x:v>
      </x:c>
      <x:c r="P143" s="50" t="n">
        <x:v>19</x:v>
      </x:c>
    </x:row>
    <x:row r="144" ht="36" customHeight="1">
      <x:c r="A144" s="53" t="n">
        <x:v>125</x:v>
      </x:c>
      <x:c r="B144" s="53" t="n">
        <x:v>1</x:v>
      </x:c>
      <x:c r="C144" s="40" t="str">
        <x:v>High-Value Frequent Shoppers</x:v>
      </x:c>
      <x:c r="D144" s="60" t="n">
        <x:v>10601.5</x:v>
      </x:c>
      <x:c r="E144" s="50" t="n">
        <x:v>358</x:v>
      </x:c>
      <x:c r="F144" s="46" t="n">
        <x:v>14.916666666666666</x:v>
      </x:c>
      <x:c r="G144" s="46" t="n">
        <x:v>7</x:v>
      </x:c>
      <x:c r="H144" s="61" t="n">
        <x:v>29.613128491620117</x:v>
      </x:c>
      <x:c r="I144" s="52" t="n">
        <x:v>0.8938547486033519</x:v>
      </x:c>
      <x:c r="J144" s="52" t="n">
        <x:v>0.6357751261613922</x:v>
      </x:c>
      <x:c r="K144" s="60" t="n">
        <x:v>10209.97</x:v>
      </x:c>
      <x:c r="L144" s="60" t="n">
        <x:v>391.53</x:v>
      </x:c>
      <x:c r="M144" s="50" t="n">
        <x:v>320</x:v>
      </x:c>
      <x:c r="N144" s="50" t="n">
        <x:v>38</x:v>
      </x:c>
      <x:c r="O144" s="50" t="n">
        <x:v>188</x:v>
      </x:c>
      <x:c r="P144" s="50" t="n">
        <x:v>24</x:v>
      </x:c>
    </x:row>
    <x:row r="145" ht="36" customHeight="1">
      <x:c r="A145" s="53" t="n">
        <x:v>126</x:v>
      </x:c>
      <x:c r="B145" s="53" t="n">
        <x:v>2</x:v>
      </x:c>
      <x:c r="C145" s="40" t="str">
        <x:v>Large-Basket Occasional Shoppers</x:v>
      </x:c>
      <x:c r="D145" s="60" t="n">
        <x:v>853.45</x:v>
      </x:c>
      <x:c r="E145" s="50" t="n">
        <x:v>31</x:v>
      </x:c>
      <x:c r="F145" s="46" t="n">
        <x:v>1.9375</x:v>
      </x:c>
      <x:c r="G145" s="46" t="n">
        <x:v>12</x:v>
      </x:c>
      <x:c r="H145" s="61" t="n">
        <x:v>27.53064516129032</x:v>
      </x:c>
      <x:c r="I145" s="52" t="n">
        <x:v>0.8387096774193548</x:v>
      </x:c>
      <x:c r="J145" s="52" t="n">
        <x:v>0.5855996250512625</x:v>
      </x:c>
      <x:c r="K145" s="60" t="n">
        <x:v>818.85</x:v>
      </x:c>
      <x:c r="L145" s="60" t="n">
        <x:v>34.6</x:v>
      </x:c>
      <x:c r="M145" s="50" t="n">
        <x:v>26</x:v>
      </x:c>
      <x:c r="N145" s="50" t="n">
        <x:v>5</x:v>
      </x:c>
      <x:c r="O145" s="50" t="n">
        <x:v>91</x:v>
      </x:c>
      <x:c r="P145" s="50" t="n">
        <x:v>16</x:v>
      </x:c>
    </x:row>
    <x:row r="146" ht="36" customHeight="1">
      <x:c r="A146" s="53" t="n">
        <x:v>127</x:v>
      </x:c>
      <x:c r="B146" s="53" t="n">
        <x:v>1</x:v>
      </x:c>
      <x:c r="C146" s="40" t="str">
        <x:v>High-Value Frequent Shoppers</x:v>
      </x:c>
      <x:c r="D146" s="60" t="n">
        <x:v>4658.23</x:v>
      </x:c>
      <x:c r="E146" s="50" t="n">
        <x:v>191</x:v>
      </x:c>
      <x:c r="F146" s="46" t="n">
        <x:v>9.55</x:v>
      </x:c>
      <x:c r="G146" s="46" t="n">
        <x:v>0</x:v>
      </x:c>
      <x:c r="H146" s="61" t="n">
        <x:v>24.38863874345549</x:v>
      </x:c>
      <x:c r="I146" s="52" t="n">
        <x:v>0.9319371727748692</x:v>
      </x:c>
      <x:c r="J146" s="52" t="n">
        <x:v>0.6828344671688602</x:v>
      </x:c>
      <x:c r="K146" s="60" t="n">
        <x:v>4533.27</x:v>
      </x:c>
      <x:c r="L146" s="60" t="n">
        <x:v>124.96</x:v>
      </x:c>
      <x:c r="M146" s="50" t="n">
        <x:v>178</x:v>
      </x:c>
      <x:c r="N146" s="50" t="n">
        <x:v>13</x:v>
      </x:c>
      <x:c r="O146" s="50" t="n">
        <x:v>154</x:v>
      </x:c>
      <x:c r="P146" s="50" t="n">
        <x:v>20</x:v>
      </x:c>
    </x:row>
    <x:row r="147" ht="36" customHeight="1">
      <x:c r="A147" s="53" t="n">
        <x:v>128</x:v>
      </x:c>
      <x:c r="B147" s="53" t="n">
        <x:v>2</x:v>
      </x:c>
      <x:c r="C147" s="40" t="str">
        <x:v>Large-Basket Occasional Shoppers</x:v>
      </x:c>
      <x:c r="D147" s="60" t="n">
        <x:v>1381.08</x:v>
      </x:c>
      <x:c r="E147" s="50" t="n">
        <x:v>41</x:v>
      </x:c>
      <x:c r="F147" s="46" t="n">
        <x:v>2.5625</x:v>
      </x:c>
      <x:c r="G147" s="46" t="n">
        <x:v>0</x:v>
      </x:c>
      <x:c r="H147" s="61" t="n">
        <x:v>33.68487804878049</x:v>
      </x:c>
      <x:c r="I147" s="52" t="n">
        <x:v>0.951219512195122</x:v>
      </x:c>
      <x:c r="J147" s="52" t="n">
        <x:v>0.4396269586121006</x:v>
      </x:c>
      <x:c r="K147" s="60" t="n">
        <x:v>1355.67</x:v>
      </x:c>
      <x:c r="L147" s="60" t="n">
        <x:v>25.41</x:v>
      </x:c>
      <x:c r="M147" s="50" t="n">
        <x:v>39</x:v>
      </x:c>
      <x:c r="N147" s="50" t="n">
        <x:v>2</x:v>
      </x:c>
      <x:c r="O147" s="50" t="n">
        <x:v>86</x:v>
      </x:c>
      <x:c r="P147" s="50" t="n">
        <x:v>16</x:v>
      </x:c>
    </x:row>
    <x:row r="148" ht="36" customHeight="1">
      <x:c r="A148" s="53" t="n">
        <x:v>129</x:v>
      </x:c>
      <x:c r="B148" s="53" t="n">
        <x:v>3</x:v>
      </x:c>
      <x:c r="C148" s="40" t="str">
        <x:v>Low-Value Low-Engagement Shoppers</x:v>
      </x:c>
      <x:c r="D148" s="60" t="n">
        <x:v>475.73</x:v>
      </x:c>
      <x:c r="E148" s="50" t="n">
        <x:v>40</x:v>
      </x:c>
      <x:c r="F148" s="46" t="n">
        <x:v>2.1052631578947367</x:v>
      </x:c>
      <x:c r="G148" s="46" t="n">
        <x:v>21</x:v>
      </x:c>
      <x:c r="H148" s="61" t="n">
        <x:v>11.89325</x:v>
      </x:c>
      <x:c r="I148" s="52" t="n">
        <x:v>0.725</x:v>
      </x:c>
      <x:c r="J148" s="52" t="n">
        <x:v>0.4607235196434952</x:v>
      </x:c>
      <x:c r="K148" s="60" t="n">
        <x:v>413.81</x:v>
      </x:c>
      <x:c r="L148" s="60" t="n">
        <x:v>61.92</x:v>
      </x:c>
      <x:c r="M148" s="50" t="n">
        <x:v>29</x:v>
      </x:c>
      <x:c r="N148" s="50" t="n">
        <x:v>11</x:v>
      </x:c>
      <x:c r="O148" s="50" t="n">
        <x:v>67</x:v>
      </x:c>
      <x:c r="P148" s="50" t="n">
        <x:v>19</x:v>
      </x:c>
    </x:row>
    <x:row r="149" ht="36" customHeight="1">
      <x:c r="A149" s="53" t="n">
        <x:v>130</x:v>
      </x:c>
      <x:c r="B149" s="53" t="n">
        <x:v>3</x:v>
      </x:c>
      <x:c r="C149" s="40" t="str">
        <x:v>Low-Value Low-Engagement Shoppers</x:v>
      </x:c>
      <x:c r="D149" s="60" t="n">
        <x:v>511.62</x:v>
      </x:c>
      <x:c r="E149" s="50" t="n">
        <x:v>20</x:v>
      </x:c>
      <x:c r="F149" s="46" t="n">
        <x:v>2.5</x:v>
      </x:c>
      <x:c r="G149" s="46" t="n">
        <x:v>373</x:v>
      </x:c>
      <x:c r="H149" s="61" t="n">
        <x:v>25.581</x:v>
      </x:c>
      <x:c r="I149" s="52" t="n">
        <x:v>0.85</x:v>
      </x:c>
      <x:c r="J149" s="52" t="n">
        <x:v>0.4060240021891247</x:v>
      </x:c>
      <x:c r="K149" s="60" t="n">
        <x:v>496.23</x:v>
      </x:c>
      <x:c r="L149" s="60" t="n">
        <x:v>15.39</x:v>
      </x:c>
      <x:c r="M149" s="50" t="n">
        <x:v>17</x:v>
      </x:c>
      <x:c r="N149" s="50" t="n">
        <x:v>3</x:v>
      </x:c>
      <x:c r="O149" s="50" t="n">
        <x:v>54</x:v>
      </x:c>
      <x:c r="P149" s="50" t="n">
        <x:v>8</x:v>
      </x:c>
    </x:row>
    <x:row r="150" ht="36" customHeight="1">
      <x:c r="A150" s="53" t="n">
        <x:v>131</x:v>
      </x:c>
      <x:c r="B150" s="53" t="n">
        <x:v>1</x:v>
      </x:c>
      <x:c r="C150" s="40" t="str">
        <x:v>High-Value Frequent Shoppers</x:v>
      </x:c>
      <x:c r="D150" s="60" t="n">
        <x:v>6156.22</x:v>
      </x:c>
      <x:c r="E150" s="50" t="n">
        <x:v>354</x:v>
      </x:c>
      <x:c r="F150" s="46" t="n">
        <x:v>14.75</x:v>
      </x:c>
      <x:c r="G150" s="46" t="n">
        <x:v>2</x:v>
      </x:c>
      <x:c r="H150" s="61" t="n">
        <x:v>17.390451977401128</x:v>
      </x:c>
      <x:c r="I150" s="52" t="n">
        <x:v>0.8418079096045197</x:v>
      </x:c>
      <x:c r="J150" s="52" t="n">
        <x:v>0.5786424136889194</x:v>
      </x:c>
      <x:c r="K150" s="60" t="n">
        <x:v>5570.46</x:v>
      </x:c>
      <x:c r="L150" s="60" t="n">
        <x:v>585.76</x:v>
      </x:c>
      <x:c r="M150" s="50" t="n">
        <x:v>298</x:v>
      </x:c>
      <x:c r="N150" s="50" t="n">
        <x:v>56</x:v>
      </x:c>
      <x:c r="O150" s="50" t="n">
        <x:v>194</x:v>
      </x:c>
      <x:c r="P150" s="50" t="n">
        <x:v>24</x:v>
      </x:c>
    </x:row>
    <x:row r="151" ht="36" customHeight="1">
      <x:c r="A151" s="53" t="n">
        <x:v>132</x:v>
      </x:c>
      <x:c r="B151" s="53" t="n">
        <x:v>2</x:v>
      </x:c>
      <x:c r="C151" s="40" t="str">
        <x:v>Large-Basket Occasional Shoppers</x:v>
      </x:c>
      <x:c r="D151" s="60" t="n">
        <x:v>2875.24</x:v>
      </x:c>
      <x:c r="E151" s="50" t="n">
        <x:v>98</x:v>
      </x:c>
      <x:c r="F151" s="46" t="n">
        <x:v>4.454545454545455</x:v>
      </x:c>
      <x:c r="G151" s="46" t="n">
        <x:v>6</x:v>
      </x:c>
      <x:c r="H151" s="61" t="n">
        <x:v>29.33918367346939</x:v>
      </x:c>
      <x:c r="I151" s="52" t="n">
        <x:v>0.8979591836734693</x:v>
      </x:c>
      <x:c r="J151" s="52" t="n">
        <x:v>0.428193820341954</x:v>
      </x:c>
      <x:c r="K151" s="60" t="n">
        <x:v>2745.13</x:v>
      </x:c>
      <x:c r="L151" s="60" t="n">
        <x:v>130.11</x:v>
      </x:c>
      <x:c r="M151" s="50" t="n">
        <x:v>88</x:v>
      </x:c>
      <x:c r="N151" s="50" t="n">
        <x:v>10</x:v>
      </x:c>
      <x:c r="O151" s="50" t="n">
        <x:v>123</x:v>
      </x:c>
      <x:c r="P151" s="50" t="n">
        <x:v>22</x:v>
      </x:c>
    </x:row>
    <x:row r="152" ht="36" customHeight="1">
      <x:c r="A152" s="53" t="n">
        <x:v>133</x:v>
      </x:c>
      <x:c r="B152" s="53" t="n">
        <x:v>2</x:v>
      </x:c>
      <x:c r="C152" s="40" t="str">
        <x:v>Large-Basket Occasional Shoppers</x:v>
      </x:c>
      <x:c r="D152" s="60" t="n">
        <x:v>3823.89</x:v>
      </x:c>
      <x:c r="E152" s="50" t="n">
        <x:v>75</x:v>
      </x:c>
      <x:c r="F152" s="46" t="n">
        <x:v>3.571428571428572</x:v>
      </x:c>
      <x:c r="G152" s="46" t="n">
        <x:v>5</x:v>
      </x:c>
      <x:c r="H152" s="61" t="n">
        <x:v>50.9852</x:v>
      </x:c>
      <x:c r="I152" s="52" t="n">
        <x:v>0.9333333333333332</x:v>
      </x:c>
      <x:c r="J152" s="52" t="n">
        <x:v>0.4769724024488152</x:v>
      </x:c>
      <x:c r="K152" s="60" t="n">
        <x:v>3748.57</x:v>
      </x:c>
      <x:c r="L152" s="60" t="n">
        <x:v>75.32</x:v>
      </x:c>
      <x:c r="M152" s="50" t="n">
        <x:v>70</x:v>
      </x:c>
      <x:c r="N152" s="50" t="n">
        <x:v>5</x:v>
      </x:c>
      <x:c r="O152" s="50" t="n">
        <x:v>151</x:v>
      </x:c>
      <x:c r="P152" s="50" t="n">
        <x:v>21</x:v>
      </x:c>
    </x:row>
    <x:row r="153" ht="36" customHeight="1">
      <x:c r="A153" s="53" t="n">
        <x:v>134</x:v>
      </x:c>
      <x:c r="B153" s="53" t="n">
        <x:v>1</x:v>
      </x:c>
      <x:c r="C153" s="40" t="str">
        <x:v>High-Value Frequent Shoppers</x:v>
      </x:c>
      <x:c r="D153" s="60" t="n">
        <x:v>5535.09</x:v>
      </x:c>
      <x:c r="E153" s="50" t="n">
        <x:v>86</x:v>
      </x:c>
      <x:c r="F153" s="46" t="n">
        <x:v>3.739130434782609</x:v>
      </x:c>
      <x:c r="G153" s="46" t="n">
        <x:v>2</x:v>
      </x:c>
      <x:c r="H153" s="61" t="n">
        <x:v>64.36151162790698</x:v>
      </x:c>
      <x:c r="I153" s="52" t="n">
        <x:v>0.9534883720930232</x:v>
      </x:c>
      <x:c r="J153" s="52" t="n">
        <x:v>0.5164450803871301</x:v>
      </x:c>
      <x:c r="K153" s="60" t="n">
        <x:v>5499.35</x:v>
      </x:c>
      <x:c r="L153" s="60" t="n">
        <x:v>35.74</x:v>
      </x:c>
      <x:c r="M153" s="50" t="n">
        <x:v>82</x:v>
      </x:c>
      <x:c r="N153" s="50" t="n">
        <x:v>4</x:v>
      </x:c>
      <x:c r="O153" s="50" t="n">
        <x:v>161</x:v>
      </x:c>
      <x:c r="P153" s="50" t="n">
        <x:v>23</x:v>
      </x:c>
    </x:row>
    <x:row r="154" ht="36" customHeight="1">
      <x:c r="A154" s="53" t="n">
        <x:v>135</x:v>
      </x:c>
      <x:c r="B154" s="53" t="n">
        <x:v>3</x:v>
      </x:c>
      <x:c r="C154" s="40" t="str">
        <x:v>Low-Value Low-Engagement Shoppers</x:v>
      </x:c>
      <x:c r="D154" s="60" t="n">
        <x:v>717.5</x:v>
      </x:c>
      <x:c r="E154" s="50" t="n">
        <x:v>74</x:v>
      </x:c>
      <x:c r="F154" s="46" t="n">
        <x:v>3.363636363636364</x:v>
      </x:c>
      <x:c r="G154" s="46" t="n">
        <x:v>0</x:v>
      </x:c>
      <x:c r="H154" s="61" t="n">
        <x:v>9.695945945945946</x:v>
      </x:c>
      <x:c r="I154" s="52" t="n">
        <x:v>0.8783783783783783</x:v>
      </x:c>
      <x:c r="J154" s="52" t="n">
        <x:v>0.3800975609756097</x:v>
      </x:c>
      <x:c r="K154" s="60" t="n">
        <x:v>644.07</x:v>
      </x:c>
      <x:c r="L154" s="60" t="n">
        <x:v>73.43</x:v>
      </x:c>
      <x:c r="M154" s="50" t="n">
        <x:v>65</x:v>
      </x:c>
      <x:c r="N154" s="50" t="n">
        <x:v>9</x:v>
      </x:c>
      <x:c r="O154" s="50" t="n">
        <x:v>75</x:v>
      </x:c>
      <x:c r="P154" s="50" t="n">
        <x:v>22</x:v>
      </x:c>
    </x:row>
    <x:row r="155" ht="36" customHeight="1">
      <x:c r="A155" s="53" t="n">
        <x:v>136</x:v>
      </x:c>
      <x:c r="B155" s="53" t="n">
        <x:v>2</x:v>
      </x:c>
      <x:c r="C155" s="40" t="str">
        <x:v>Large-Basket Occasional Shoppers</x:v>
      </x:c>
      <x:c r="D155" s="60" t="n">
        <x:v>2804.82</x:v>
      </x:c>
      <x:c r="E155" s="50" t="n">
        <x:v>77</x:v>
      </x:c>
      <x:c r="F155" s="46" t="n">
        <x:v>4.277777777777778</x:v>
      </x:c>
      <x:c r="G155" s="46" t="n">
        <x:v>17</x:v>
      </x:c>
      <x:c r="H155" s="61" t="n">
        <x:v>36.42623376623377</x:v>
      </x:c>
      <x:c r="I155" s="52" t="n">
        <x:v>0.961038961038961</x:v>
      </x:c>
      <x:c r="J155" s="52" t="n">
        <x:v>0.4933471666631013</x:v>
      </x:c>
      <x:c r="K155" s="60" t="n">
        <x:v>2778.06</x:v>
      </x:c>
      <x:c r="L155" s="60" t="n">
        <x:v>26.76</x:v>
      </x:c>
      <x:c r="M155" s="50" t="n">
        <x:v>74</x:v>
      </x:c>
      <x:c r="N155" s="50" t="n">
        <x:v>3</x:v>
      </x:c>
      <x:c r="O155" s="50" t="n">
        <x:v>132</x:v>
      </x:c>
      <x:c r="P155" s="50" t="n">
        <x:v>18</x:v>
      </x:c>
    </x:row>
    <x:row r="156" ht="36" customHeight="1">
      <x:c r="A156" s="53" t="n">
        <x:v>137</x:v>
      </x:c>
      <x:c r="B156" s="53" t="n">
        <x:v>2</x:v>
      </x:c>
      <x:c r="C156" s="40" t="str">
        <x:v>Large-Basket Occasional Shoppers</x:v>
      </x:c>
      <x:c r="D156" s="60" t="n">
        <x:v>1062.17</x:v>
      </x:c>
      <x:c r="E156" s="50" t="n">
        <x:v>38</x:v>
      </x:c>
      <x:c r="F156" s="46" t="n">
        <x:v>2.375</x:v>
      </x:c>
      <x:c r="G156" s="46" t="n">
        <x:v>85</x:v>
      </x:c>
      <x:c r="H156" s="61" t="n">
        <x:v>27.95184210526316</x:v>
      </x:c>
      <x:c r="I156" s="52" t="n">
        <x:v>1</x:v>
      </x:c>
      <x:c r="J156" s="52" t="n">
        <x:v>0.5606447178888501</x:v>
      </x:c>
      <x:c r="K156" s="60" t="n">
        <x:v>1062.17</x:v>
      </x:c>
      <x:c r="L156" s="60" t="n">
        <x:v>0</x:v>
      </x:c>
      <x:c r="M156" s="50" t="n">
        <x:v>38</x:v>
      </x:c>
      <x:c r="N156" s="50" t="n">
        <x:v>0</x:v>
      </x:c>
      <x:c r="O156" s="50" t="n">
        <x:v>103</x:v>
      </x:c>
      <x:c r="P156" s="50" t="n">
        <x:v>16</x:v>
      </x:c>
    </x:row>
    <x:row r="157" ht="36" customHeight="1">
      <x:c r="A157" s="53" t="n">
        <x:v>138</x:v>
      </x:c>
      <x:c r="B157" s="53" t="n">
        <x:v>2</x:v>
      </x:c>
      <x:c r="C157" s="40" t="str">
        <x:v>Large-Basket Occasional Shoppers</x:v>
      </x:c>
      <x:c r="D157" s="60" t="n">
        <x:v>3529.19</x:v>
      </x:c>
      <x:c r="E157" s="50" t="n">
        <x:v>67</x:v>
      </x:c>
      <x:c r="F157" s="46" t="n">
        <x:v>3.0454545454545454</x:v>
      </x:c>
      <x:c r="G157" s="46" t="n">
        <x:v>3</x:v>
      </x:c>
      <x:c r="H157" s="61" t="n">
        <x:v>52.6744776119403</x:v>
      </x:c>
      <x:c r="I157" s="52" t="n">
        <x:v>0.8805970149253731</x:v>
      </x:c>
      <x:c r="J157" s="52" t="n">
        <x:v>0.5186090859375664</x:v>
      </x:c>
      <x:c r="K157" s="60" t="n">
        <x:v>3455.46</x:v>
      </x:c>
      <x:c r="L157" s="60" t="n">
        <x:v>73.73</x:v>
      </x:c>
      <x:c r="M157" s="50" t="n">
        <x:v>59</x:v>
      </x:c>
      <x:c r="N157" s="50" t="n">
        <x:v>8</x:v>
      </x:c>
      <x:c r="O157" s="50" t="n">
        <x:v>161</x:v>
      </x:c>
      <x:c r="P157" s="50" t="n">
        <x:v>22</x:v>
      </x:c>
    </x:row>
    <x:row r="158" ht="36" customHeight="1">
      <x:c r="A158" s="53" t="n">
        <x:v>139</x:v>
      </x:c>
      <x:c r="B158" s="53" t="n">
        <x:v>1</x:v>
      </x:c>
      <x:c r="C158" s="40" t="str">
        <x:v>High-Value Frequent Shoppers</x:v>
      </x:c>
      <x:c r="D158" s="60" t="n">
        <x:v>3073.33</x:v>
      </x:c>
      <x:c r="E158" s="50" t="n">
        <x:v>83</x:v>
      </x:c>
      <x:c r="F158" s="46" t="n">
        <x:v>3.952380952380952</x:v>
      </x:c>
      <x:c r="G158" s="46" t="n">
        <x:v>1</x:v>
      </x:c>
      <x:c r="H158" s="61" t="n">
        <x:v>37.02807228915663</x:v>
      </x:c>
      <x:c r="I158" s="52" t="n">
        <x:v>0.9036144578313252</x:v>
      </x:c>
      <x:c r="J158" s="52" t="n">
        <x:v>0.4567748988881766</x:v>
      </x:c>
      <x:c r="K158" s="60" t="n">
        <x:v>3019.33</x:v>
      </x:c>
      <x:c r="L158" s="60" t="n">
        <x:v>54</x:v>
      </x:c>
      <x:c r="M158" s="50" t="n">
        <x:v>75</x:v>
      </x:c>
      <x:c r="N158" s="50" t="n">
        <x:v>8</x:v>
      </x:c>
      <x:c r="O158" s="50" t="n">
        <x:v>129</x:v>
      </x:c>
      <x:c r="P158" s="50" t="n">
        <x:v>21</x:v>
      </x:c>
    </x:row>
    <x:row r="159" ht="36" customHeight="1">
      <x:c r="A159" s="53" t="n">
        <x:v>140</x:v>
      </x:c>
      <x:c r="B159" s="53" t="n">
        <x:v>3</x:v>
      </x:c>
      <x:c r="C159" s="40" t="str">
        <x:v>Low-Value Low-Engagement Shoppers</x:v>
      </x:c>
      <x:c r="D159" s="60" t="n">
        <x:v>1720.64</x:v>
      </x:c>
      <x:c r="E159" s="50" t="n">
        <x:v>140</x:v>
      </x:c>
      <x:c r="F159" s="46" t="n">
        <x:v>7</x:v>
      </x:c>
      <x:c r="G159" s="46" t="n">
        <x:v>19</x:v>
      </x:c>
      <x:c r="H159" s="61" t="n">
        <x:v>12.290285714285714</x:v>
      </x:c>
      <x:c r="I159" s="52" t="n">
        <x:v>0.7357142857142857</x:v>
      </x:c>
      <x:c r="J159" s="52" t="n">
        <x:v>0.5540554677329365</x:v>
      </x:c>
      <x:c r="K159" s="60" t="n">
        <x:v>1551.03</x:v>
      </x:c>
      <x:c r="L159" s="60" t="n">
        <x:v>169.61</x:v>
      </x:c>
      <x:c r="M159" s="50" t="n">
        <x:v>103</x:v>
      </x:c>
      <x:c r="N159" s="50" t="n">
        <x:v>37</x:v>
      </x:c>
      <x:c r="O159" s="50" t="n">
        <x:v>101</x:v>
      </x:c>
      <x:c r="P159" s="50" t="n">
        <x:v>20</x:v>
      </x:c>
    </x:row>
    <x:row r="160" ht="36" customHeight="1">
      <x:c r="A160" s="53" t="n">
        <x:v>141</x:v>
      </x:c>
      <x:c r="B160" s="53" t="n">
        <x:v>3</x:v>
      </x:c>
      <x:c r="C160" s="40" t="str">
        <x:v>Low-Value Low-Engagement Shoppers</x:v>
      </x:c>
      <x:c r="D160" s="60" t="n">
        <x:v>448.34</x:v>
      </x:c>
      <x:c r="E160" s="50" t="n">
        <x:v>51</x:v>
      </x:c>
      <x:c r="F160" s="46" t="n">
        <x:v>2.428571428571429</x:v>
      </x:c>
      <x:c r="G160" s="46" t="n">
        <x:v>3</x:v>
      </x:c>
      <x:c r="H160" s="61" t="n">
        <x:v>8.790980392156863</x:v>
      </x:c>
      <x:c r="I160" s="52" t="n">
        <x:v>0.8235294117647058</x:v>
      </x:c>
      <x:c r="J160" s="52" t="n">
        <x:v>0.4794798590355533</x:v>
      </x:c>
      <x:c r="K160" s="60" t="n">
        <x:v>414.03</x:v>
      </x:c>
      <x:c r="L160" s="60" t="n">
        <x:v>34.31</x:v>
      </x:c>
      <x:c r="M160" s="50" t="n">
        <x:v>42</x:v>
      </x:c>
      <x:c r="N160" s="50" t="n">
        <x:v>9</x:v>
      </x:c>
      <x:c r="O160" s="50" t="n">
        <x:v>68</x:v>
      </x:c>
      <x:c r="P160" s="50" t="n">
        <x:v>21</x:v>
      </x:c>
    </x:row>
    <x:row r="161" ht="36" customHeight="1">
      <x:c r="A161" s="53" t="n">
        <x:v>142</x:v>
      </x:c>
      <x:c r="B161" s="53" t="n">
        <x:v>1</x:v>
      </x:c>
      <x:c r="C161" s="40" t="str">
        <x:v>High-Value Frequent Shoppers</x:v>
      </x:c>
      <x:c r="D161" s="60" t="n">
        <x:v>2324.19</x:v>
      </x:c>
      <x:c r="E161" s="50" t="n">
        <x:v>176</x:v>
      </x:c>
      <x:c r="F161" s="46" t="n">
        <x:v>7.333333333333333</x:v>
      </x:c>
      <x:c r="G161" s="46" t="n">
        <x:v>1</x:v>
      </x:c>
      <x:c r="H161" s="61" t="n">
        <x:v>13.205625</x:v>
      </x:c>
      <x:c r="I161" s="52" t="n">
        <x:v>0.8522727272727272</x:v>
      </x:c>
      <x:c r="J161" s="52" t="n">
        <x:v>0.4715363201803639</x:v>
      </x:c>
      <x:c r="K161" s="60" t="n">
        <x:v>2177.59</x:v>
      </x:c>
      <x:c r="L161" s="60" t="n">
        <x:v>146.6</x:v>
      </x:c>
      <x:c r="M161" s="50" t="n">
        <x:v>150</x:v>
      </x:c>
      <x:c r="N161" s="50" t="n">
        <x:v>26</x:v>
      </x:c>
      <x:c r="O161" s="50" t="n">
        <x:v>73</x:v>
      </x:c>
      <x:c r="P161" s="50" t="n">
        <x:v>24</x:v>
      </x:c>
    </x:row>
    <x:row r="162" ht="36" customHeight="1">
      <x:c r="A162" s="53" t="n">
        <x:v>143</x:v>
      </x:c>
      <x:c r="B162" s="53" t="n">
        <x:v>1</x:v>
      </x:c>
      <x:c r="C162" s="40" t="str">
        <x:v>High-Value Frequent Shoppers</x:v>
      </x:c>
      <x:c r="D162" s="60" t="n">
        <x:v>6574.22</x:v>
      </x:c>
      <x:c r="E162" s="50" t="n">
        <x:v>406</x:v>
      </x:c>
      <x:c r="F162" s="46" t="n">
        <x:v>19.33333333333333</x:v>
      </x:c>
      <x:c r="G162" s="46" t="n">
        <x:v>1</x:v>
      </x:c>
      <x:c r="H162" s="61" t="n">
        <x:v>16.19266009852217</x:v>
      </x:c>
      <x:c r="I162" s="52" t="n">
        <x:v>0.8029556650246304</x:v>
      </x:c>
      <x:c r="J162" s="52" t="n">
        <x:v>0.5702486378612215</x:v>
      </x:c>
      <x:c r="K162" s="60" t="n">
        <x:v>6058.84</x:v>
      </x:c>
      <x:c r="L162" s="60" t="n">
        <x:v>515.38</x:v>
      </x:c>
      <x:c r="M162" s="50" t="n">
        <x:v>326</x:v>
      </x:c>
      <x:c r="N162" s="50" t="n">
        <x:v>80</x:v>
      </x:c>
      <x:c r="O162" s="50" t="n">
        <x:v>171</x:v>
      </x:c>
      <x:c r="P162" s="50" t="n">
        <x:v>21</x:v>
      </x:c>
    </x:row>
    <x:row r="163" ht="36" customHeight="1">
      <x:c r="A163" s="53" t="n">
        <x:v>144</x:v>
      </x:c>
      <x:c r="B163" s="53" t="n">
        <x:v>2</x:v>
      </x:c>
      <x:c r="C163" s="40" t="str">
        <x:v>Large-Basket Occasional Shoppers</x:v>
      </x:c>
      <x:c r="D163" s="60" t="n">
        <x:v>2126.31</x:v>
      </x:c>
      <x:c r="E163" s="50" t="n">
        <x:v>88</x:v>
      </x:c>
      <x:c r="F163" s="46" t="n">
        <x:v>4.888888888888888</x:v>
      </x:c>
      <x:c r="G163" s="46" t="n">
        <x:v>62</x:v>
      </x:c>
      <x:c r="H163" s="61" t="n">
        <x:v>24.16261363636364</x:v>
      </x:c>
      <x:c r="I163" s="52" t="n">
        <x:v>0.909090909090909</x:v>
      </x:c>
      <x:c r="J163" s="52" t="n">
        <x:v>0.488950341201424</x:v>
      </x:c>
      <x:c r="K163" s="60" t="n">
        <x:v>2070.23</x:v>
      </x:c>
      <x:c r="L163" s="60" t="n">
        <x:v>56.08</x:v>
      </x:c>
      <x:c r="M163" s="50" t="n">
        <x:v>80</x:v>
      </x:c>
      <x:c r="N163" s="50" t="n">
        <x:v>8</x:v>
      </x:c>
      <x:c r="O163" s="50" t="n">
        <x:v>125</x:v>
      </x:c>
      <x:c r="P163" s="50" t="n">
        <x:v>18</x:v>
      </x:c>
    </x:row>
    <x:row r="164" ht="36" customHeight="1">
      <x:c r="A164" s="53" t="n">
        <x:v>145</x:v>
      </x:c>
      <x:c r="B164" s="53" t="n">
        <x:v>2</x:v>
      </x:c>
      <x:c r="C164" s="40" t="str">
        <x:v>Large-Basket Occasional Shoppers</x:v>
      </x:c>
      <x:c r="D164" s="60" t="n">
        <x:v>1470.49</x:v>
      </x:c>
      <x:c r="E164" s="50" t="n">
        <x:v>58</x:v>
      </x:c>
      <x:c r="F164" s="46" t="n">
        <x:v>2.7619047619047614</x:v>
      </x:c>
      <x:c r="G164" s="46" t="n">
        <x:v>7</x:v>
      </x:c>
      <x:c r="H164" s="61" t="n">
        <x:v>25.35327586206897</x:v>
      </x:c>
      <x:c r="I164" s="52" t="n">
        <x:v>0.8103448275862069</x:v>
      </x:c>
      <x:c r="J164" s="52" t="n">
        <x:v>0.5084019612510114</x:v>
      </x:c>
      <x:c r="K164" s="60" t="n">
        <x:v>1343.71</x:v>
      </x:c>
      <x:c r="L164" s="60" t="n">
        <x:v>126.78</x:v>
      </x:c>
      <x:c r="M164" s="50" t="n">
        <x:v>47</x:v>
      </x:c>
      <x:c r="N164" s="50" t="n">
        <x:v>11</x:v>
      </x:c>
      <x:c r="O164" s="50" t="n">
        <x:v>113</x:v>
      </x:c>
      <x:c r="P164" s="50" t="n">
        <x:v>21</x:v>
      </x:c>
    </x:row>
    <x:row r="165" ht="36" customHeight="1">
      <x:c r="A165" s="53" t="n">
        <x:v>146</x:v>
      </x:c>
      <x:c r="B165" s="53" t="n">
        <x:v>2</x:v>
      </x:c>
      <x:c r="C165" s="40" t="str">
        <x:v>Large-Basket Occasional Shoppers</x:v>
      </x:c>
      <x:c r="D165" s="60" t="n">
        <x:v>843.02</x:v>
      </x:c>
      <x:c r="E165" s="50" t="n">
        <x:v>41</x:v>
      </x:c>
      <x:c r="F165" s="46" t="n">
        <x:v>2.1578947368421053</x:v>
      </x:c>
      <x:c r="G165" s="46" t="n">
        <x:v>6</x:v>
      </x:c>
      <x:c r="H165" s="61" t="n">
        <x:v>20.561463414634144</x:v>
      </x:c>
      <x:c r="I165" s="52" t="n">
        <x:v>0.902439024390244</x:v>
      </x:c>
      <x:c r="J165" s="52" t="n">
        <x:v>0.552217029251975</x:v>
      </x:c>
      <x:c r="K165" s="60" t="n">
        <x:v>822.73</x:v>
      </x:c>
      <x:c r="L165" s="60" t="n">
        <x:v>20.29</x:v>
      </x:c>
      <x:c r="M165" s="50" t="n">
        <x:v>37</x:v>
      </x:c>
      <x:c r="N165" s="50" t="n">
        <x:v>4</x:v>
      </x:c>
      <x:c r="O165" s="50" t="n">
        <x:v>92</x:v>
      </x:c>
      <x:c r="P165" s="50" t="n">
        <x:v>19</x:v>
      </x:c>
    </x:row>
    <x:row r="166" ht="36" customHeight="1">
      <x:c r="A166" s="53" t="n">
        <x:v>147</x:v>
      </x:c>
      <x:c r="B166" s="53" t="n">
        <x:v>2</x:v>
      </x:c>
      <x:c r="C166" s="40" t="str">
        <x:v>Large-Basket Occasional Shoppers</x:v>
      </x:c>
      <x:c r="D166" s="60" t="n">
        <x:v>1487.21</x:v>
      </x:c>
      <x:c r="E166" s="50" t="n">
        <x:v>36</x:v>
      </x:c>
      <x:c r="F166" s="46" t="n">
        <x:v>2.25</x:v>
      </x:c>
      <x:c r="G166" s="46" t="n">
        <x:v>16</x:v>
      </x:c>
      <x:c r="H166" s="61" t="n">
        <x:v>41.311388888888885</x:v>
      </x:c>
      <x:c r="I166" s="52" t="n">
        <x:v>0.9444444444444444</x:v>
      </x:c>
      <x:c r="J166" s="52" t="n">
        <x:v>0.7776843888892624</x:v>
      </x:c>
      <x:c r="K166" s="60" t="n">
        <x:v>1454.14</x:v>
      </x:c>
      <x:c r="L166" s="60" t="n">
        <x:v>33.07</x:v>
      </x:c>
      <x:c r="M166" s="50" t="n">
        <x:v>34</x:v>
      </x:c>
      <x:c r="N166" s="50" t="n">
        <x:v>2</x:v>
      </x:c>
      <x:c r="O166" s="50" t="n">
        <x:v>116</x:v>
      </x:c>
      <x:c r="P166" s="50" t="n">
        <x:v>16</x:v>
      </x:c>
    </x:row>
    <x:row r="167" ht="36" customHeight="1">
      <x:c r="A167" s="53" t="n">
        <x:v>148</x:v>
      </x:c>
      <x:c r="B167" s="53" t="n">
        <x:v>3</x:v>
      </x:c>
      <x:c r="C167" s="40" t="str">
        <x:v>Low-Value Low-Engagement Shoppers</x:v>
      </x:c>
      <x:c r="D167" s="60" t="n">
        <x:v>1231.76</x:v>
      </x:c>
      <x:c r="E167" s="50" t="n">
        <x:v>55</x:v>
      </x:c>
      <x:c r="F167" s="46" t="n">
        <x:v>3.235294117647059</x:v>
      </x:c>
      <x:c r="G167" s="46" t="n">
        <x:v>12</x:v>
      </x:c>
      <x:c r="H167" s="61" t="n">
        <x:v>22.395636363636363</x:v>
      </x:c>
      <x:c r="I167" s="52" t="n">
        <x:v>0.7454545454545454</x:v>
      </x:c>
      <x:c r="J167" s="52" t="n">
        <x:v>0.3624244982788854</x:v>
      </x:c>
      <x:c r="K167" s="60" t="n">
        <x:v>1090.59</x:v>
      </x:c>
      <x:c r="L167" s="60" t="n">
        <x:v>141.17</x:v>
      </x:c>
      <x:c r="M167" s="50" t="n">
        <x:v>41</x:v>
      </x:c>
      <x:c r="N167" s="50" t="n">
        <x:v>14</x:v>
      </x:c>
      <x:c r="O167" s="50" t="n">
        <x:v>98</x:v>
      </x:c>
      <x:c r="P167" s="50" t="n">
        <x:v>17</x:v>
      </x:c>
    </x:row>
    <x:row r="168" ht="36" customHeight="1">
      <x:c r="A168" s="53" t="n">
        <x:v>149</x:v>
      </x:c>
      <x:c r="B168" s="53" t="n">
        <x:v>1</x:v>
      </x:c>
      <x:c r="C168" s="40" t="str">
        <x:v>High-Value Frequent Shoppers</x:v>
      </x:c>
      <x:c r="D168" s="60" t="n">
        <x:v>11920.93</x:v>
      </x:c>
      <x:c r="E168" s="50" t="n">
        <x:v>215</x:v>
      </x:c>
      <x:c r="F168" s="46" t="n">
        <x:v>11.31578947368421</x:v>
      </x:c>
      <x:c r="G168" s="46" t="n">
        <x:v>60</x:v>
      </x:c>
      <x:c r="H168" s="61" t="n">
        <x:v>55.44618604651163</x:v>
      </x:c>
      <x:c r="I168" s="52" t="n">
        <x:v>0.9395348837209302</x:v>
      </x:c>
      <x:c r="J168" s="52" t="n">
        <x:v>0.5254841694398004</x:v>
      </x:c>
      <x:c r="K168" s="60" t="n">
        <x:v>11818.05</x:v>
      </x:c>
      <x:c r="L168" s="60" t="n">
        <x:v>102.88</x:v>
      </x:c>
      <x:c r="M168" s="50" t="n">
        <x:v>202</x:v>
      </x:c>
      <x:c r="N168" s="50" t="n">
        <x:v>13</x:v>
      </x:c>
      <x:c r="O168" s="50" t="n">
        <x:v>168</x:v>
      </x:c>
      <x:c r="P168" s="50" t="n">
        <x:v>19</x:v>
      </x:c>
    </x:row>
    <x:row r="169" ht="36" customHeight="1">
      <x:c r="A169" s="53" t="n">
        <x:v>150</x:v>
      </x:c>
      <x:c r="B169" s="53" t="n">
        <x:v>3</x:v>
      </x:c>
      <x:c r="C169" s="40" t="str">
        <x:v>Low-Value Low-Engagement Shoppers</x:v>
      </x:c>
      <x:c r="D169" s="60" t="n">
        <x:v>230.35</x:v>
      </x:c>
      <x:c r="E169" s="50" t="n">
        <x:v>6</x:v>
      </x:c>
      <x:c r="F169" s="46" t="n">
        <x:v>1.2</x:v>
      </x:c>
      <x:c r="G169" s="46" t="n">
        <x:v>103</x:v>
      </x:c>
      <x:c r="H169" s="61" t="n">
        <x:v>38.391666666666666</x:v>
      </x:c>
      <x:c r="I169" s="52" t="n">
        <x:v>0.6666666666666666</x:v>
      </x:c>
      <x:c r="J169" s="52" t="n">
        <x:v>0.5021923160408074</x:v>
      </x:c>
      <x:c r="K169" s="60" t="n">
        <x:v>211.74</x:v>
      </x:c>
      <x:c r="L169" s="60" t="n">
        <x:v>18.61</x:v>
      </x:c>
      <x:c r="M169" s="50" t="n">
        <x:v>4</x:v>
      </x:c>
      <x:c r="N169" s="50" t="n">
        <x:v>2</x:v>
      </x:c>
      <x:c r="O169" s="50" t="n">
        <x:v>41</x:v>
      </x:c>
      <x:c r="P169" s="50" t="n">
        <x:v>5</x:v>
      </x:c>
    </x:row>
    <x:row r="170" ht="36" customHeight="1">
      <x:c r="A170" s="53" t="n">
        <x:v>151</x:v>
      </x:c>
      <x:c r="B170" s="53" t="n">
        <x:v>2</x:v>
      </x:c>
      <x:c r="C170" s="40" t="str">
        <x:v>Large-Basket Occasional Shoppers</x:v>
      </x:c>
      <x:c r="D170" s="60" t="n">
        <x:v>1226.14</x:v>
      </x:c>
      <x:c r="E170" s="50" t="n">
        <x:v>49</x:v>
      </x:c>
      <x:c r="F170" s="46" t="n">
        <x:v>3.5</x:v>
      </x:c>
      <x:c r="G170" s="46" t="n">
        <x:v>5</x:v>
      </x:c>
      <x:c r="H170" s="61" t="n">
        <x:v>25.023265306122447</x:v>
      </x:c>
      <x:c r="I170" s="52" t="n">
        <x:v>0.8979591836734693</x:v>
      </x:c>
      <x:c r="J170" s="52" t="n">
        <x:v>0.6704128402955616</x:v>
      </x:c>
      <x:c r="K170" s="60" t="n">
        <x:v>1185.6</x:v>
      </x:c>
      <x:c r="L170" s="60" t="n">
        <x:v>40.54</x:v>
      </x:c>
      <x:c r="M170" s="50" t="n">
        <x:v>44</x:v>
      </x:c>
      <x:c r="N170" s="50" t="n">
        <x:v>5</x:v>
      </x:c>
      <x:c r="O170" s="50" t="n">
        <x:v>94</x:v>
      </x:c>
      <x:c r="P170" s="50" t="n">
        <x:v>14</x:v>
      </x:c>
    </x:row>
    <x:row r="171" ht="36" customHeight="1">
      <x:c r="A171" s="53" t="n">
        <x:v>152</x:v>
      </x:c>
      <x:c r="B171" s="53" t="n">
        <x:v>2</x:v>
      </x:c>
      <x:c r="C171" s="40" t="str">
        <x:v>Large-Basket Occasional Shoppers</x:v>
      </x:c>
      <x:c r="D171" s="60" t="n">
        <x:v>1454.28</x:v>
      </x:c>
      <x:c r="E171" s="50" t="n">
        <x:v>37</x:v>
      </x:c>
      <x:c r="F171" s="46" t="n">
        <x:v>2.055555555555556</x:v>
      </x:c>
      <x:c r="G171" s="46" t="n">
        <x:v>15</x:v>
      </x:c>
      <x:c r="H171" s="61" t="n">
        <x:v>39.30486486486486</x:v>
      </x:c>
      <x:c r="I171" s="52" t="n">
        <x:v>0.8108108108108107</x:v>
      </x:c>
      <x:c r="J171" s="52" t="n">
        <x:v>0.5345187996809417</x:v>
      </x:c>
      <x:c r="K171" s="60" t="n">
        <x:v>1345.75</x:v>
      </x:c>
      <x:c r="L171" s="60" t="n">
        <x:v>108.53</x:v>
      </x:c>
      <x:c r="M171" s="50" t="n">
        <x:v>30</x:v>
      </x:c>
      <x:c r="N171" s="50" t="n">
        <x:v>7</x:v>
      </x:c>
      <x:c r="O171" s="50" t="n">
        <x:v>113</x:v>
      </x:c>
      <x:c r="P171" s="50" t="n">
        <x:v>18</x:v>
      </x:c>
    </x:row>
    <x:row r="172" ht="36" customHeight="1">
      <x:c r="A172" s="53" t="n">
        <x:v>153</x:v>
      </x:c>
      <x:c r="B172" s="53" t="n">
        <x:v>2</x:v>
      </x:c>
      <x:c r="C172" s="40" t="str">
        <x:v>Large-Basket Occasional Shoppers</x:v>
      </x:c>
      <x:c r="D172" s="60" t="n">
        <x:v>1558.65</x:v>
      </x:c>
      <x:c r="E172" s="50" t="n">
        <x:v>92</x:v>
      </x:c>
      <x:c r="F172" s="46" t="n">
        <x:v>4.181818181818182</x:v>
      </x:c>
      <x:c r="G172" s="46" t="n">
        <x:v>9</x:v>
      </x:c>
      <x:c r="H172" s="61" t="n">
        <x:v>16.941847826086956</x:v>
      </x:c>
      <x:c r="I172" s="52" t="n">
        <x:v>0.8478260869565217</x:v>
      </x:c>
      <x:c r="J172" s="52" t="n">
        <x:v>0.4785102492541622</x:v>
      </x:c>
      <x:c r="K172" s="60" t="n">
        <x:v>1486.67</x:v>
      </x:c>
      <x:c r="L172" s="60" t="n">
        <x:v>71.98</x:v>
      </x:c>
      <x:c r="M172" s="50" t="n">
        <x:v>78</x:v>
      </x:c>
      <x:c r="N172" s="50" t="n">
        <x:v>14</x:v>
      </x:c>
      <x:c r="O172" s="50" t="n">
        <x:v>81</x:v>
      </x:c>
      <x:c r="P172" s="50" t="n">
        <x:v>22</x:v>
      </x:c>
    </x:row>
    <x:row r="173" ht="36" customHeight="1">
      <x:c r="A173" s="53" t="n">
        <x:v>154</x:v>
      </x:c>
      <x:c r="B173" s="53" t="n">
        <x:v>2</x:v>
      </x:c>
      <x:c r="C173" s="40" t="str">
        <x:v>Large-Basket Occasional Shoppers</x:v>
      </x:c>
      <x:c r="D173" s="60" t="n">
        <x:v>867.18</x:v>
      </x:c>
      <x:c r="E173" s="50" t="n">
        <x:v>30</x:v>
      </x:c>
      <x:c r="F173" s="46" t="n">
        <x:v>2.307692307692308</x:v>
      </x:c>
      <x:c r="G173" s="46" t="n">
        <x:v>74</x:v>
      </x:c>
      <x:c r="H173" s="61" t="n">
        <x:v>28.906</x:v>
      </x:c>
      <x:c r="I173" s="52" t="n">
        <x:v>0.8666666666666666</x:v>
      </x:c>
      <x:c r="J173" s="52" t="n">
        <x:v>0.5498627735879517</x:v>
      </x:c>
      <x:c r="K173" s="60" t="n">
        <x:v>851.33</x:v>
      </x:c>
      <x:c r="L173" s="60" t="n">
        <x:v>15.85</x:v>
      </x:c>
      <x:c r="M173" s="50" t="n">
        <x:v>26</x:v>
      </x:c>
      <x:c r="N173" s="50" t="n">
        <x:v>4</x:v>
      </x:c>
      <x:c r="O173" s="50" t="n">
        <x:v>88</x:v>
      </x:c>
      <x:c r="P173" s="50" t="n">
        <x:v>13</x:v>
      </x:c>
    </x:row>
    <x:row r="174" ht="36" customHeight="1">
      <x:c r="A174" s="53" t="n">
        <x:v>155</x:v>
      </x:c>
      <x:c r="B174" s="53" t="n">
        <x:v>2</x:v>
      </x:c>
      <x:c r="C174" s="40" t="str">
        <x:v>Large-Basket Occasional Shoppers</x:v>
      </x:c>
      <x:c r="D174" s="60" t="n">
        <x:v>2101.05</x:v>
      </x:c>
      <x:c r="E174" s="50" t="n">
        <x:v>52</x:v>
      </x:c>
      <x:c r="F174" s="46" t="n">
        <x:v>2.736842105263157</x:v>
      </x:c>
      <x:c r="G174" s="46" t="n">
        <x:v>6</x:v>
      </x:c>
      <x:c r="H174" s="61" t="n">
        <x:v>40.404807692307685</x:v>
      </x:c>
      <x:c r="I174" s="52" t="n">
        <x:v>0.8846153846153846</x:v>
      </x:c>
      <x:c r="J174" s="52" t="n">
        <x:v>0.5128768948858903</x:v>
      </x:c>
      <x:c r="K174" s="60" t="n">
        <x:v>2032.07</x:v>
      </x:c>
      <x:c r="L174" s="60" t="n">
        <x:v>68.98</x:v>
      </x:c>
      <x:c r="M174" s="50" t="n">
        <x:v>46</x:v>
      </x:c>
      <x:c r="N174" s="50" t="n">
        <x:v>6</x:v>
      </x:c>
      <x:c r="O174" s="50" t="n">
        <x:v>94</x:v>
      </x:c>
      <x:c r="P174" s="50" t="n">
        <x:v>19</x:v>
      </x:c>
    </x:row>
    <x:row r="175" ht="36" customHeight="1">
      <x:c r="A175" s="53" t="n">
        <x:v>156</x:v>
      </x:c>
      <x:c r="B175" s="53" t="n">
        <x:v>1</x:v>
      </x:c>
      <x:c r="C175" s="40" t="str">
        <x:v>High-Value Frequent Shoppers</x:v>
      </x:c>
      <x:c r="D175" s="60" t="n">
        <x:v>5224.06</x:v>
      </x:c>
      <x:c r="E175" s="50" t="n">
        <x:v>580</x:v>
      </x:c>
      <x:c r="F175" s="46" t="n">
        <x:v>27.619047619047617</x:v>
      </x:c>
      <x:c r="G175" s="46" t="n">
        <x:v>1</x:v>
      </x:c>
      <x:c r="H175" s="61" t="n">
        <x:v>9.007</x:v>
      </x:c>
      <x:c r="I175" s="52" t="n">
        <x:v>0.853448275862069</x:v>
      </x:c>
      <x:c r="J175" s="52" t="n">
        <x:v>0.6081955413988352</x:v>
      </x:c>
      <x:c r="K175" s="60" t="n">
        <x:v>4638.02</x:v>
      </x:c>
      <x:c r="L175" s="60" t="n">
        <x:v>586.04</x:v>
      </x:c>
      <x:c r="M175" s="50" t="n">
        <x:v>495</x:v>
      </x:c>
      <x:c r="N175" s="50" t="n">
        <x:v>85</x:v>
      </x:c>
      <x:c r="O175" s="50" t="n">
        <x:v>179</x:v>
      </x:c>
      <x:c r="P175" s="50" t="n">
        <x:v>21</x:v>
      </x:c>
    </x:row>
    <x:row r="176" ht="36" customHeight="1">
      <x:c r="A176" s="53" t="n">
        <x:v>157</x:v>
      </x:c>
      <x:c r="B176" s="53" t="n">
        <x:v>1</x:v>
      </x:c>
      <x:c r="C176" s="40" t="str">
        <x:v>High-Value Frequent Shoppers</x:v>
      </x:c>
      <x:c r="D176" s="60" t="n">
        <x:v>2748.95</x:v>
      </x:c>
      <x:c r="E176" s="50" t="n">
        <x:v>172</x:v>
      </x:c>
      <x:c r="F176" s="46" t="n">
        <x:v>7.166666666666666</x:v>
      </x:c>
      <x:c r="G176" s="46" t="n">
        <x:v>2</x:v>
      </x:c>
      <x:c r="H176" s="61" t="n">
        <x:v>15.982267441860465</x:v>
      </x:c>
      <x:c r="I176" s="52" t="n">
        <x:v>0.75</x:v>
      </x:c>
      <x:c r="J176" s="52" t="n">
        <x:v>0.4614561923643573</x:v>
      </x:c>
      <x:c r="K176" s="60" t="n">
        <x:v>2491.6</x:v>
      </x:c>
      <x:c r="L176" s="60" t="n">
        <x:v>257.35</x:v>
      </x:c>
      <x:c r="M176" s="50" t="n">
        <x:v>129</x:v>
      </x:c>
      <x:c r="N176" s="50" t="n">
        <x:v>43</x:v>
      </x:c>
      <x:c r="O176" s="50" t="n">
        <x:v>139</x:v>
      </x:c>
      <x:c r="P176" s="50" t="n">
        <x:v>24</x:v>
      </x:c>
    </x:row>
    <x:row r="177" ht="36" customHeight="1">
      <x:c r="A177" s="53" t="n">
        <x:v>158</x:v>
      </x:c>
      <x:c r="B177" s="53" t="n">
        <x:v>1</x:v>
      </x:c>
      <x:c r="C177" s="40" t="str">
        <x:v>High-Value Frequent Shoppers</x:v>
      </x:c>
      <x:c r="D177" s="60" t="n">
        <x:v>1869.79</x:v>
      </x:c>
      <x:c r="E177" s="50" t="n">
        <x:v>180</x:v>
      </x:c>
      <x:c r="F177" s="46" t="n">
        <x:v>8.571428571428571</x:v>
      </x:c>
      <x:c r="G177" s="46" t="n">
        <x:v>7</x:v>
      </x:c>
      <x:c r="H177" s="61" t="n">
        <x:v>10.38772222222222</x:v>
      </x:c>
      <x:c r="I177" s="52" t="n">
        <x:v>0.9277777777777776</x:v>
      </x:c>
      <x:c r="J177" s="52" t="n">
        <x:v>0.6608442659336075</x:v>
      </x:c>
      <x:c r="K177" s="60" t="n">
        <x:v>1821.89</x:v>
      </x:c>
      <x:c r="L177" s="60" t="n">
        <x:v>47.9</x:v>
      </x:c>
      <x:c r="M177" s="50" t="n">
        <x:v>167</x:v>
      </x:c>
      <x:c r="N177" s="50" t="n">
        <x:v>13</x:v>
      </x:c>
      <x:c r="O177" s="50" t="n">
        <x:v>78</x:v>
      </x:c>
      <x:c r="P177" s="50" t="n">
        <x:v>21</x:v>
      </x:c>
    </x:row>
    <x:row r="178" ht="36" customHeight="1">
      <x:c r="A178" s="53" t="n">
        <x:v>159</x:v>
      </x:c>
      <x:c r="B178" s="53" t="n">
        <x:v>2</x:v>
      </x:c>
      <x:c r="C178" s="40" t="str">
        <x:v>Large-Basket Occasional Shoppers</x:v>
      </x:c>
      <x:c r="D178" s="60" t="n">
        <x:v>2143.87</x:v>
      </x:c>
      <x:c r="E178" s="50" t="n">
        <x:v>86</x:v>
      </x:c>
      <x:c r="F178" s="46" t="n">
        <x:v>4.3</x:v>
      </x:c>
      <x:c r="G178" s="46" t="n">
        <x:v>14</x:v>
      </x:c>
      <x:c r="H178" s="61" t="n">
        <x:v>24.92872093023256</x:v>
      </x:c>
      <x:c r="I178" s="52" t="n">
        <x:v>0.941860465116279</x:v>
      </x:c>
      <x:c r="J178" s="52" t="n">
        <x:v>0.4766380424186168</x:v>
      </x:c>
      <x:c r="K178" s="60" t="n">
        <x:v>2123.59</x:v>
      </x:c>
      <x:c r="L178" s="60" t="n">
        <x:v>20.28</x:v>
      </x:c>
      <x:c r="M178" s="50" t="n">
        <x:v>81</x:v>
      </x:c>
      <x:c r="N178" s="50" t="n">
        <x:v>5</x:v>
      </x:c>
      <x:c r="O178" s="50" t="n">
        <x:v>119</x:v>
      </x:c>
      <x:c r="P178" s="50" t="n">
        <x:v>20</x:v>
      </x:c>
    </x:row>
    <x:row r="179" ht="36" customHeight="1">
      <x:c r="A179" s="53" t="n">
        <x:v>160</x:v>
      </x:c>
      <x:c r="B179" s="53" t="n">
        <x:v>2</x:v>
      </x:c>
      <x:c r="C179" s="40" t="str">
        <x:v>Large-Basket Occasional Shoppers</x:v>
      </x:c>
      <x:c r="D179" s="60" t="n">
        <x:v>1536.09</x:v>
      </x:c>
      <x:c r="E179" s="50" t="n">
        <x:v>57</x:v>
      </x:c>
      <x:c r="F179" s="46" t="n">
        <x:v>2.7142857142857144</x:v>
      </x:c>
      <x:c r="G179" s="46" t="n">
        <x:v>8</x:v>
      </x:c>
      <x:c r="H179" s="61" t="n">
        <x:v>26.94894736842105</x:v>
      </x:c>
      <x:c r="I179" s="52" t="n">
        <x:v>0.9298245614035088</x:v>
      </x:c>
      <x:c r="J179" s="52" t="n">
        <x:v>0.4337571366261091</x:v>
      </x:c>
      <x:c r="K179" s="60" t="n">
        <x:v>1494.5</x:v>
      </x:c>
      <x:c r="L179" s="60" t="n">
        <x:v>41.59</x:v>
      </x:c>
      <x:c r="M179" s="50" t="n">
        <x:v>53</x:v>
      </x:c>
      <x:c r="N179" s="50" t="n">
        <x:v>4</x:v>
      </x:c>
      <x:c r="O179" s="50" t="n">
        <x:v>119</x:v>
      </x:c>
      <x:c r="P179" s="50" t="n">
        <x:v>21</x:v>
      </x:c>
    </x:row>
    <x:row r="180" ht="36" customHeight="1">
      <x:c r="A180" s="53" t="n">
        <x:v>161</x:v>
      </x:c>
      <x:c r="B180" s="53" t="n">
        <x:v>1</x:v>
      </x:c>
      <x:c r="C180" s="40" t="str">
        <x:v>High-Value Frequent Shoppers</x:v>
      </x:c>
      <x:c r="D180" s="60" t="n">
        <x:v>6071.52</x:v>
      </x:c>
      <x:c r="E180" s="50" t="n">
        <x:v>265</x:v>
      </x:c>
      <x:c r="F180" s="46" t="n">
        <x:v>14.72222222222222</x:v>
      </x:c>
      <x:c r="G180" s="46" t="n">
        <x:v>1</x:v>
      </x:c>
      <x:c r="H180" s="61" t="n">
        <x:v>22.911396226415093</x:v>
      </x:c>
      <x:c r="I180" s="52" t="n">
        <x:v>0.90188679245283</x:v>
      </x:c>
      <x:c r="J180" s="52" t="n">
        <x:v>0.6053541781959048</x:v>
      </x:c>
      <x:c r="K180" s="60" t="n">
        <x:v>5948.07</x:v>
      </x:c>
      <x:c r="L180" s="60" t="n">
        <x:v>123.45</x:v>
      </x:c>
      <x:c r="M180" s="50" t="n">
        <x:v>239</x:v>
      </x:c>
      <x:c r="N180" s="50" t="n">
        <x:v>26</x:v>
      </x:c>
      <x:c r="O180" s="50" t="n">
        <x:v>145</x:v>
      </x:c>
      <x:c r="P180" s="50" t="n">
        <x:v>18</x:v>
      </x:c>
    </x:row>
    <x:row r="181" ht="36" customHeight="1">
      <x:c r="A181" s="53" t="n">
        <x:v>162</x:v>
      </x:c>
      <x:c r="B181" s="53" t="n">
        <x:v>2</x:v>
      </x:c>
      <x:c r="C181" s="40" t="str">
        <x:v>Large-Basket Occasional Shoppers</x:v>
      </x:c>
      <x:c r="D181" s="60" t="n">
        <x:v>3037.54</x:v>
      </x:c>
      <x:c r="E181" s="50" t="n">
        <x:v>71</x:v>
      </x:c>
      <x:c r="F181" s="46" t="n">
        <x:v>2.958333333333333</x:v>
      </x:c>
      <x:c r="G181" s="46" t="n">
        <x:v>0</x:v>
      </x:c>
      <x:c r="H181" s="61" t="n">
        <x:v>42.78225352112676</x:v>
      </x:c>
      <x:c r="I181" s="52" t="n">
        <x:v>0.8873239436619718</x:v>
      </x:c>
      <x:c r="J181" s="52" t="n">
        <x:v>0.3710535499120999</x:v>
      </x:c>
      <x:c r="K181" s="60" t="n">
        <x:v>2951.41</x:v>
      </x:c>
      <x:c r="L181" s="60" t="n">
        <x:v>86.13</x:v>
      </x:c>
      <x:c r="M181" s="50" t="n">
        <x:v>63</x:v>
      </x:c>
      <x:c r="N181" s="50" t="n">
        <x:v>8</x:v>
      </x:c>
      <x:c r="O181" s="50" t="n">
        <x:v>117</x:v>
      </x:c>
      <x:c r="P181" s="50" t="n">
        <x:v>24</x:v>
      </x:c>
    </x:row>
    <x:row r="182" ht="36" customHeight="1">
      <x:c r="A182" s="53" t="n">
        <x:v>163</x:v>
      </x:c>
      <x:c r="B182" s="53" t="n">
        <x:v>3</x:v>
      </x:c>
      <x:c r="C182" s="40" t="str">
        <x:v>Low-Value Low-Engagement Shoppers</x:v>
      </x:c>
      <x:c r="D182" s="60" t="n">
        <x:v>272.52</x:v>
      </x:c>
      <x:c r="E182" s="50" t="n">
        <x:v>17</x:v>
      </x:c>
      <x:c r="F182" s="46" t="n">
        <x:v>2.125</x:v>
      </x:c>
      <x:c r="G182" s="46" t="n">
        <x:v>57</x:v>
      </x:c>
      <x:c r="H182" s="61" t="n">
        <x:v>16.030588235294115</x:v>
      </x:c>
      <x:c r="I182" s="52" t="n">
        <x:v>0.7647058823529411</x:v>
      </x:c>
      <x:c r="J182" s="52" t="n">
        <x:v>0.3687802730074856</x:v>
      </x:c>
      <x:c r="K182" s="60" t="n">
        <x:v>258.31</x:v>
      </x:c>
      <x:c r="L182" s="60" t="n">
        <x:v>14.21</x:v>
      </x:c>
      <x:c r="M182" s="50" t="n">
        <x:v>13</x:v>
      </x:c>
      <x:c r="N182" s="50" t="n">
        <x:v>4</x:v>
      </x:c>
      <x:c r="O182" s="50" t="n">
        <x:v>55</x:v>
      </x:c>
      <x:c r="P182" s="50" t="n">
        <x:v>8</x:v>
      </x:c>
    </x:row>
    <x:row r="183" ht="36" customHeight="1">
      <x:c r="A183" s="53" t="n">
        <x:v>164</x:v>
      </x:c>
      <x:c r="B183" s="53" t="n">
        <x:v>1</x:v>
      </x:c>
      <x:c r="C183" s="40" t="str">
        <x:v>High-Value Frequent Shoppers</x:v>
      </x:c>
      <x:c r="D183" s="60" t="n">
        <x:v>4272.41</x:v>
      </x:c>
      <x:c r="E183" s="50" t="n">
        <x:v>115</x:v>
      </x:c>
      <x:c r="F183" s="46" t="n">
        <x:v>5.476190476190476</x:v>
      </x:c>
      <x:c r="G183" s="46" t="n">
        <x:v>3</x:v>
      </x:c>
      <x:c r="H183" s="61" t="n">
        <x:v>37.15139130434783</x:v>
      </x:c>
      <x:c r="I183" s="52" t="n">
        <x:v>0.9043478260869564</x:v>
      </x:c>
      <x:c r="J183" s="52" t="n">
        <x:v>0.58892990139055</x:v>
      </x:c>
      <x:c r="K183" s="60" t="n">
        <x:v>4129.7</x:v>
      </x:c>
      <x:c r="L183" s="60" t="n">
        <x:v>142.71</x:v>
      </x:c>
      <x:c r="M183" s="50" t="n">
        <x:v>104</x:v>
      </x:c>
      <x:c r="N183" s="50" t="n">
        <x:v>11</x:v>
      </x:c>
      <x:c r="O183" s="50" t="n">
        <x:v>165</x:v>
      </x:c>
      <x:c r="P183" s="50" t="n">
        <x:v>21</x:v>
      </x:c>
    </x:row>
    <x:row r="184" ht="36" customHeight="1">
      <x:c r="A184" s="53" t="n">
        <x:v>165</x:v>
      </x:c>
      <x:c r="B184" s="53" t="n">
        <x:v>1</x:v>
      </x:c>
      <x:c r="C184" s="40" t="str">
        <x:v>High-Value Frequent Shoppers</x:v>
      </x:c>
      <x:c r="D184" s="60" t="n">
        <x:v>2995.47</x:v>
      </x:c>
      <x:c r="E184" s="50" t="n">
        <x:v>174</x:v>
      </x:c>
      <x:c r="F184" s="46" t="n">
        <x:v>7.565217391304349</x:v>
      </x:c>
      <x:c r="G184" s="46" t="n">
        <x:v>1</x:v>
      </x:c>
      <x:c r="H184" s="61" t="n">
        <x:v>17.215344827586208</x:v>
      </x:c>
      <x:c r="I184" s="52" t="n">
        <x:v>0.8678160919540229</x:v>
      </x:c>
      <x:c r="J184" s="52" t="n">
        <x:v>0.7604115547810527</x:v>
      </x:c>
      <x:c r="K184" s="60" t="n">
        <x:v>2897.99</x:v>
      </x:c>
      <x:c r="L184" s="60" t="n">
        <x:v>97.48</x:v>
      </x:c>
      <x:c r="M184" s="50" t="n">
        <x:v>151</x:v>
      </x:c>
      <x:c r="N184" s="50" t="n">
        <x:v>23</x:v>
      </x:c>
      <x:c r="O184" s="50" t="n">
        <x:v>118</x:v>
      </x:c>
      <x:c r="P184" s="50" t="n">
        <x:v>23</x:v>
      </x:c>
    </x:row>
    <x:row r="185" ht="36" customHeight="1">
      <x:c r="A185" s="53" t="n">
        <x:v>166</x:v>
      </x:c>
      <x:c r="B185" s="53" t="n">
        <x:v>1</x:v>
      </x:c>
      <x:c r="C185" s="40" t="str">
        <x:v>High-Value Frequent Shoppers</x:v>
      </x:c>
      <x:c r="D185" s="60" t="n">
        <x:v>3059.69</x:v>
      </x:c>
      <x:c r="E185" s="50" t="n">
        <x:v>122</x:v>
      </x:c>
      <x:c r="F185" s="46" t="n">
        <x:v>5.304347826086957</x:v>
      </x:c>
      <x:c r="G185" s="46" t="n">
        <x:v>5</x:v>
      </x:c>
      <x:c r="H185" s="61" t="n">
        <x:v>25.0794262295082</x:v>
      </x:c>
      <x:c r="I185" s="52" t="n">
        <x:v>0.7950819672131147</x:v>
      </x:c>
      <x:c r="J185" s="52" t="n">
        <x:v>0.3238759482169762</x:v>
      </x:c>
      <x:c r="K185" s="60" t="n">
        <x:v>2709.73</x:v>
      </x:c>
      <x:c r="L185" s="60" t="n">
        <x:v>349.96</x:v>
      </x:c>
      <x:c r="M185" s="50" t="n">
        <x:v>97</x:v>
      </x:c>
      <x:c r="N185" s="50" t="n">
        <x:v>25</x:v>
      </x:c>
      <x:c r="O185" s="50" t="n">
        <x:v>129</x:v>
      </x:c>
      <x:c r="P185" s="50" t="n">
        <x:v>23</x:v>
      </x:c>
    </x:row>
    <x:row r="186" ht="36" customHeight="1">
      <x:c r="A186" s="53" t="n">
        <x:v>167</x:v>
      </x:c>
      <x:c r="B186" s="53" t="n">
        <x:v>2</x:v>
      </x:c>
      <x:c r="C186" s="40" t="str">
        <x:v>Large-Basket Occasional Shoppers</x:v>
      </x:c>
      <x:c r="D186" s="60" t="n">
        <x:v>1268.02</x:v>
      </x:c>
      <x:c r="E186" s="50" t="n">
        <x:v>20</x:v>
      </x:c>
      <x:c r="F186" s="46" t="n">
        <x:v>1.5384615384615383</x:v>
      </x:c>
      <x:c r="G186" s="46" t="n">
        <x:v>2</x:v>
      </x:c>
      <x:c r="H186" s="61" t="n">
        <x:v>63.401</x:v>
      </x:c>
      <x:c r="I186" s="52" t="n">
        <x:v>0.85</x:v>
      </x:c>
      <x:c r="J186" s="52" t="n">
        <x:v>0.3550732638286462</x:v>
      </x:c>
      <x:c r="K186" s="60" t="n">
        <x:v>1246.07</x:v>
      </x:c>
      <x:c r="L186" s="60" t="n">
        <x:v>21.95</x:v>
      </x:c>
      <x:c r="M186" s="50" t="n">
        <x:v>17</x:v>
      </x:c>
      <x:c r="N186" s="50" t="n">
        <x:v>3</x:v>
      </x:c>
      <x:c r="O186" s="50" t="n">
        <x:v>113</x:v>
      </x:c>
      <x:c r="P186" s="50" t="n">
        <x:v>13</x:v>
      </x:c>
    </x:row>
    <x:row r="187" ht="36" customHeight="1">
      <x:c r="A187" s="53" t="n">
        <x:v>168</x:v>
      </x:c>
      <x:c r="B187" s="53" t="n">
        <x:v>3</x:v>
      </x:c>
      <x:c r="C187" s="40" t="str">
        <x:v>Low-Value Low-Engagement Shoppers</x:v>
      </x:c>
      <x:c r="D187" s="60" t="n">
        <x:v>510.8</x:v>
      </x:c>
      <x:c r="E187" s="50" t="n">
        <x:v>37</x:v>
      </x:c>
      <x:c r="F187" s="46" t="n">
        <x:v>2.176470588235294</x:v>
      </x:c>
      <x:c r="G187" s="46" t="n">
        <x:v>11</x:v>
      </x:c>
      <x:c r="H187" s="61" t="n">
        <x:v>13.805405405405404</x:v>
      </x:c>
      <x:c r="I187" s="52" t="n">
        <x:v>0.6756756756756755</x:v>
      </x:c>
      <x:c r="J187" s="52" t="n">
        <x:v>0.4043265465935787</x:v>
      </x:c>
      <x:c r="K187" s="60" t="n">
        <x:v>431.15</x:v>
      </x:c>
      <x:c r="L187" s="60" t="n">
        <x:v>79.65</x:v>
      </x:c>
      <x:c r="M187" s="50" t="n">
        <x:v>25</x:v>
      </x:c>
      <x:c r="N187" s="50" t="n">
        <x:v>12</x:v>
      </x:c>
      <x:c r="O187" s="50" t="n">
        <x:v>61</x:v>
      </x:c>
      <x:c r="P187" s="50" t="n">
        <x:v>17</x:v>
      </x:c>
    </x:row>
    <x:row r="188" ht="36" customHeight="1">
      <x:c r="A188" s="53" t="n">
        <x:v>169</x:v>
      </x:c>
      <x:c r="B188" s="53" t="n">
        <x:v>3</x:v>
      </x:c>
      <x:c r="C188" s="40" t="str">
        <x:v>Low-Value Low-Engagement Shoppers</x:v>
      </x:c>
      <x:c r="D188" s="60" t="n">
        <x:v>255.58</x:v>
      </x:c>
      <x:c r="E188" s="50" t="n">
        <x:v>24</x:v>
      </x:c>
      <x:c r="F188" s="46" t="n">
        <x:v>2.4</x:v>
      </x:c>
      <x:c r="G188" s="46" t="n">
        <x:v>36</x:v>
      </x:c>
      <x:c r="H188" s="61" t="n">
        <x:v>10.649166666666666</x:v>
      </x:c>
      <x:c r="I188" s="52" t="n">
        <x:v>0.8333333333333333</x:v>
      </x:c>
      <x:c r="J188" s="52" t="n">
        <x:v>0.8720557164097347</x:v>
      </x:c>
      <x:c r="K188" s="60" t="n">
        <x:v>243.69</x:v>
      </x:c>
      <x:c r="L188" s="60" t="n">
        <x:v>11.89</x:v>
      </x:c>
      <x:c r="M188" s="50" t="n">
        <x:v>20</x:v>
      </x:c>
      <x:c r="N188" s="50" t="n">
        <x:v>4</x:v>
      </x:c>
      <x:c r="O188" s="50" t="n">
        <x:v>18</x:v>
      </x:c>
      <x:c r="P188" s="50" t="n">
        <x:v>10</x:v>
      </x:c>
    </x:row>
    <x:row r="189" ht="36" customHeight="1">
      <x:c r="A189" s="53" t="n">
        <x:v>170</x:v>
      </x:c>
      <x:c r="B189" s="53" t="n">
        <x:v>2</x:v>
      </x:c>
      <x:c r="C189" s="40" t="str">
        <x:v>Large-Basket Occasional Shoppers</x:v>
      </x:c>
      <x:c r="D189" s="60" t="n">
        <x:v>2024.51</x:v>
      </x:c>
      <x:c r="E189" s="50" t="n">
        <x:v>45</x:v>
      </x:c>
      <x:c r="F189" s="46" t="n">
        <x:v>2.647058823529412</x:v>
      </x:c>
      <x:c r="G189" s="46" t="n">
        <x:v>18</x:v>
      </x:c>
      <x:c r="H189" s="61" t="n">
        <x:v>44.98911111111112</x:v>
      </x:c>
      <x:c r="I189" s="52" t="n">
        <x:v>0.9555555555555556</x:v>
      </x:c>
      <x:c r="J189" s="52" t="n">
        <x:v>0.5086070209581577</x:v>
      </x:c>
      <x:c r="K189" s="60" t="n">
        <x:v>1982.55</x:v>
      </x:c>
      <x:c r="L189" s="60" t="n">
        <x:v>41.96</x:v>
      </x:c>
      <x:c r="M189" s="50" t="n">
        <x:v>43</x:v>
      </x:c>
      <x:c r="N189" s="50" t="n">
        <x:v>2</x:v>
      </x:c>
      <x:c r="O189" s="50" t="n">
        <x:v>137</x:v>
      </x:c>
      <x:c r="P189" s="50" t="n">
        <x:v>17</x:v>
      </x:c>
    </x:row>
    <x:row r="190" ht="36" customHeight="1">
      <x:c r="A190" s="53" t="n">
        <x:v>171</x:v>
      </x:c>
      <x:c r="B190" s="53" t="n">
        <x:v>2</x:v>
      </x:c>
      <x:c r="C190" s="40" t="str">
        <x:v>Large-Basket Occasional Shoppers</x:v>
      </x:c>
      <x:c r="D190" s="60" t="n">
        <x:v>740.46</x:v>
      </x:c>
      <x:c r="E190" s="50" t="n">
        <x:v>25</x:v>
      </x:c>
      <x:c r="F190" s="46" t="n">
        <x:v>1.6666666666666667</x:v>
      </x:c>
      <x:c r="G190" s="46" t="n">
        <x:v>10</x:v>
      </x:c>
      <x:c r="H190" s="61" t="n">
        <x:v>29.6184</x:v>
      </x:c>
      <x:c r="I190" s="52" t="n">
        <x:v>0.88</x:v>
      </x:c>
      <x:c r="J190" s="52" t="n">
        <x:v>0.5258217864570672</x:v>
      </x:c>
      <x:c r="K190" s="60" t="n">
        <x:v>719.73</x:v>
      </x:c>
      <x:c r="L190" s="60" t="n">
        <x:v>20.73</x:v>
      </x:c>
      <x:c r="M190" s="50" t="n">
        <x:v>22</x:v>
      </x:c>
      <x:c r="N190" s="50" t="n">
        <x:v>3</x:v>
      </x:c>
      <x:c r="O190" s="50" t="n">
        <x:v>105</x:v>
      </x:c>
      <x:c r="P190" s="50" t="n">
        <x:v>15</x:v>
      </x:c>
    </x:row>
    <x:row r="191" ht="36" customHeight="1">
      <x:c r="A191" s="53" t="n">
        <x:v>172</x:v>
      </x:c>
      <x:c r="B191" s="53" t="n">
        <x:v>3</x:v>
      </x:c>
      <x:c r="C191" s="40" t="str">
        <x:v>Low-Value Low-Engagement Shoppers</x:v>
      </x:c>
      <x:c r="D191" s="60" t="n">
        <x:v>1770.87</x:v>
      </x:c>
      <x:c r="E191" s="50" t="n">
        <x:v>159</x:v>
      </x:c>
      <x:c r="F191" s="46" t="n">
        <x:v>7.227272727272727</x:v>
      </x:c>
      <x:c r="G191" s="46" t="n">
        <x:v>2</x:v>
      </x:c>
      <x:c r="H191" s="61" t="n">
        <x:v>11.13754716981132</x:v>
      </x:c>
      <x:c r="I191" s="52" t="n">
        <x:v>0.6163522012578616</x:v>
      </x:c>
      <x:c r="J191" s="52" t="n">
        <x:v>0.4391796122809692</x:v>
      </x:c>
      <x:c r="K191" s="60" t="n">
        <x:v>1176.29</x:v>
      </x:c>
      <x:c r="L191" s="60" t="n">
        <x:v>594.58</x:v>
      </x:c>
      <x:c r="M191" s="50" t="n">
        <x:v>98</x:v>
      </x:c>
      <x:c r="N191" s="50" t="n">
        <x:v>61</x:v>
      </x:c>
      <x:c r="O191" s="50" t="n">
        <x:v>84</x:v>
      </x:c>
      <x:c r="P191" s="50" t="n">
        <x:v>22</x:v>
      </x:c>
    </x:row>
    <x:row r="192" ht="36" customHeight="1">
      <x:c r="A192" s="53" t="n">
        <x:v>173</x:v>
      </x:c>
      <x:c r="B192" s="53" t="n">
        <x:v>3</x:v>
      </x:c>
      <x:c r="C192" s="40" t="str">
        <x:v>Low-Value Low-Engagement Shoppers</x:v>
      </x:c>
      <x:c r="D192" s="60" t="n">
        <x:v>234.97</x:v>
      </x:c>
      <x:c r="E192" s="50" t="n">
        <x:v>10</x:v>
      </x:c>
      <x:c r="F192" s="46" t="n">
        <x:v>2.5</x:v>
      </x:c>
      <x:c r="G192" s="46" t="n">
        <x:v>317</x:v>
      </x:c>
      <x:c r="H192" s="61" t="n">
        <x:v>23.497</x:v>
      </x:c>
      <x:c r="I192" s="52" t="n">
        <x:v>0.7</x:v>
      </x:c>
      <x:c r="J192" s="52" t="n">
        <x:v>0.4674639315657317</x:v>
      </x:c>
      <x:c r="K192" s="60" t="n">
        <x:v>200.58</x:v>
      </x:c>
      <x:c r="L192" s="60" t="n">
        <x:v>34.39</x:v>
      </x:c>
      <x:c r="M192" s="50" t="n">
        <x:v>7</x:v>
      </x:c>
      <x:c r="N192" s="50" t="n">
        <x:v>3</x:v>
      </x:c>
      <x:c r="O192" s="50" t="n">
        <x:v>28</x:v>
      </x:c>
      <x:c r="P192" s="50" t="n">
        <x:v>4</x:v>
      </x:c>
    </x:row>
    <x:row r="193" ht="36" customHeight="1">
      <x:c r="A193" s="53" t="n">
        <x:v>174</x:v>
      </x:c>
      <x:c r="B193" s="53" t="n">
        <x:v>2</x:v>
      </x:c>
      <x:c r="C193" s="40" t="str">
        <x:v>Large-Basket Occasional Shoppers</x:v>
      </x:c>
      <x:c r="D193" s="60" t="n">
        <x:v>1208.39</x:v>
      </x:c>
      <x:c r="E193" s="50" t="n">
        <x:v>27</x:v>
      </x:c>
      <x:c r="F193" s="46" t="n">
        <x:v>1.9285714285714288</x:v>
      </x:c>
      <x:c r="G193" s="46" t="n">
        <x:v>42</x:v>
      </x:c>
      <x:c r="H193" s="61" t="n">
        <x:v>44.75518518518519</x:v>
      </x:c>
      <x:c r="I193" s="52" t="n">
        <x:v>0.8888888888888888</x:v>
      </x:c>
      <x:c r="J193" s="52" t="n">
        <x:v>0.4539511250506872</x:v>
      </x:c>
      <x:c r="K193" s="60" t="n">
        <x:v>1174.7</x:v>
      </x:c>
      <x:c r="L193" s="60" t="n">
        <x:v>33.69</x:v>
      </x:c>
      <x:c r="M193" s="50" t="n">
        <x:v>24</x:v>
      </x:c>
      <x:c r="N193" s="50" t="n">
        <x:v>3</x:v>
      </x:c>
      <x:c r="O193" s="50" t="n">
        <x:v>81</x:v>
      </x:c>
      <x:c r="P193" s="50" t="n">
        <x:v>14</x:v>
      </x:c>
    </x:row>
    <x:row r="194" ht="36" customHeight="1">
      <x:c r="A194" s="53" t="n">
        <x:v>175</x:v>
      </x:c>
      <x:c r="B194" s="53" t="n">
        <x:v>2</x:v>
      </x:c>
      <x:c r="C194" s="40" t="str">
        <x:v>Large-Basket Occasional Shoppers</x:v>
      </x:c>
      <x:c r="D194" s="60" t="n">
        <x:v>1154.02</x:v>
      </x:c>
      <x:c r="E194" s="50" t="n">
        <x:v>51</x:v>
      </x:c>
      <x:c r="F194" s="46" t="n">
        <x:v>3.4</x:v>
      </x:c>
      <x:c r="G194" s="46" t="n">
        <x:v>56</x:v>
      </x:c>
      <x:c r="H194" s="61" t="n">
        <x:v>22.627843137254903</x:v>
      </x:c>
      <x:c r="I194" s="52" t="n">
        <x:v>0.9215686274509804</x:v>
      </x:c>
      <x:c r="J194" s="52" t="n">
        <x:v>0.5036047902116081</x:v>
      </x:c>
      <x:c r="K194" s="60" t="n">
        <x:v>1131.49</x:v>
      </x:c>
      <x:c r="L194" s="60" t="n">
        <x:v>22.53</x:v>
      </x:c>
      <x:c r="M194" s="50" t="n">
        <x:v>47</x:v>
      </x:c>
      <x:c r="N194" s="50" t="n">
        <x:v>4</x:v>
      </x:c>
      <x:c r="O194" s="50" t="n">
        <x:v>98</x:v>
      </x:c>
      <x:c r="P194" s="50" t="n">
        <x:v>15</x:v>
      </x:c>
    </x:row>
    <x:row r="195" ht="36" customHeight="1">
      <x:c r="A195" s="53" t="n">
        <x:v>176</x:v>
      </x:c>
      <x:c r="B195" s="53" t="n">
        <x:v>2</x:v>
      </x:c>
      <x:c r="C195" s="40" t="str">
        <x:v>Large-Basket Occasional Shoppers</x:v>
      </x:c>
      <x:c r="D195" s="60" t="n">
        <x:v>788.29</x:v>
      </x:c>
      <x:c r="E195" s="50" t="n">
        <x:v>23</x:v>
      </x:c>
      <x:c r="F195" s="46" t="n">
        <x:v>1.7692307692307692</x:v>
      </x:c>
      <x:c r="G195" s="46" t="n">
        <x:v>100</x:v>
      </x:c>
      <x:c r="H195" s="61" t="n">
        <x:v>34.27347826086957</x:v>
      </x:c>
      <x:c r="I195" s="52" t="n">
        <x:v>0.9565217391304348</x:v>
      </x:c>
      <x:c r="J195" s="52" t="n">
        <x:v>0.5853302718542668</x:v>
      </x:c>
      <x:c r="K195" s="60" t="n">
        <x:v>773.3</x:v>
      </x:c>
      <x:c r="L195" s="60" t="n">
        <x:v>14.99</x:v>
      </x:c>
      <x:c r="M195" s="50" t="n">
        <x:v>22</x:v>
      </x:c>
      <x:c r="N195" s="50" t="n">
        <x:v>1</x:v>
      </x:c>
      <x:c r="O195" s="50" t="n">
        <x:v>77</x:v>
      </x:c>
      <x:c r="P195" s="50" t="n">
        <x:v>13</x:v>
      </x:c>
    </x:row>
    <x:row r="196" ht="36" customHeight="1">
      <x:c r="A196" s="53" t="n">
        <x:v>177</x:v>
      </x:c>
      <x:c r="B196" s="53" t="n">
        <x:v>2</x:v>
      </x:c>
      <x:c r="C196" s="40" t="str">
        <x:v>Large-Basket Occasional Shoppers</x:v>
      </x:c>
      <x:c r="D196" s="60" t="n">
        <x:v>1130.58</x:v>
      </x:c>
      <x:c r="E196" s="50" t="n">
        <x:v>50</x:v>
      </x:c>
      <x:c r="F196" s="46" t="n">
        <x:v>2.9411764705882355</x:v>
      </x:c>
      <x:c r="G196" s="46" t="n">
        <x:v>19</x:v>
      </x:c>
      <x:c r="H196" s="61" t="n">
        <x:v>22.6116</x:v>
      </x:c>
      <x:c r="I196" s="52" t="n">
        <x:v>0.84</x:v>
      </x:c>
      <x:c r="J196" s="52" t="n">
        <x:v>0.5843460878487148</x:v>
      </x:c>
      <x:c r="K196" s="60" t="n">
        <x:v>1049.84</x:v>
      </x:c>
      <x:c r="L196" s="60" t="n">
        <x:v>80.74</x:v>
      </x:c>
      <x:c r="M196" s="50" t="n">
        <x:v>42</x:v>
      </x:c>
      <x:c r="N196" s="50" t="n">
        <x:v>8</x:v>
      </x:c>
      <x:c r="O196" s="50" t="n">
        <x:v>104</x:v>
      </x:c>
      <x:c r="P196" s="50" t="n">
        <x:v>17</x:v>
      </x:c>
    </x:row>
    <x:row r="197" ht="36" customHeight="1">
      <x:c r="A197" s="53" t="n">
        <x:v>178</x:v>
      </x:c>
      <x:c r="B197" s="53" t="n">
        <x:v>1</x:v>
      </x:c>
      <x:c r="C197" s="40" t="str">
        <x:v>High-Value Frequent Shoppers</x:v>
      </x:c>
      <x:c r="D197" s="60" t="n">
        <x:v>2028.47</x:v>
      </x:c>
      <x:c r="E197" s="50" t="n">
        <x:v>119</x:v>
      </x:c>
      <x:c r="F197" s="46" t="n">
        <x:v>9.153846153846152</x:v>
      </x:c>
      <x:c r="G197" s="46" t="n">
        <x:v>0</x:v>
      </x:c>
      <x:c r="H197" s="61" t="n">
        <x:v>17.04596638655462</x:v>
      </x:c>
      <x:c r="I197" s="52" t="n">
        <x:v>0.8403361344537815</x:v>
      </x:c>
      <x:c r="J197" s="52" t="n">
        <x:v>0.5073528324303539</x:v>
      </x:c>
      <x:c r="K197" s="60" t="n">
        <x:v>1910.73</x:v>
      </x:c>
      <x:c r="L197" s="60" t="n">
        <x:v>117.74</x:v>
      </x:c>
      <x:c r="M197" s="50" t="n">
        <x:v>100</x:v>
      </x:c>
      <x:c r="N197" s="50" t="n">
        <x:v>19</x:v>
      </x:c>
      <x:c r="O197" s="50" t="n">
        <x:v>99</x:v>
      </x:c>
      <x:c r="P197" s="50" t="n">
        <x:v>13</x:v>
      </x:c>
    </x:row>
    <x:row r="198" ht="36" customHeight="1">
      <x:c r="A198" s="53" t="n">
        <x:v>179</x:v>
      </x:c>
      <x:c r="B198" s="53" t="n">
        <x:v>3</x:v>
      </x:c>
      <x:c r="C198" s="40" t="str">
        <x:v>Low-Value Low-Engagement Shoppers</x:v>
      </x:c>
      <x:c r="D198" s="60" t="n">
        <x:v>620.56</x:v>
      </x:c>
      <x:c r="E198" s="50" t="n">
        <x:v>38</x:v>
      </x:c>
      <x:c r="F198" s="46" t="n">
        <x:v>2.533333333333333</x:v>
      </x:c>
      <x:c r="G198" s="46" t="n">
        <x:v>189</x:v>
      </x:c>
      <x:c r="H198" s="61" t="n">
        <x:v>16.330526315789474</x:v>
      </x:c>
      <x:c r="I198" s="52" t="n">
        <x:v>0.7631578947368421</x:v>
      </x:c>
      <x:c r="J198" s="52" t="n">
        <x:v>0.5629914915560139</x:v>
      </x:c>
      <x:c r="K198" s="60" t="n">
        <x:v>544.72</x:v>
      </x:c>
      <x:c r="L198" s="60" t="n">
        <x:v>75.84</x:v>
      </x:c>
      <x:c r="M198" s="50" t="n">
        <x:v>29</x:v>
      </x:c>
      <x:c r="N198" s="50" t="n">
        <x:v>9</x:v>
      </x:c>
      <x:c r="O198" s="50" t="n">
        <x:v>52</x:v>
      </x:c>
      <x:c r="P198" s="50" t="n">
        <x:v>15</x:v>
      </x:c>
    </x:row>
    <x:row r="199" ht="36" customHeight="1">
      <x:c r="A199" s="53" t="n">
        <x:v>180</x:v>
      </x:c>
      <x:c r="B199" s="53" t="n">
        <x:v>2</x:v>
      </x:c>
      <x:c r="C199" s="40" t="str">
        <x:v>Large-Basket Occasional Shoppers</x:v>
      </x:c>
      <x:c r="D199" s="60" t="n">
        <x:v>2103.4</x:v>
      </x:c>
      <x:c r="E199" s="50" t="n">
        <x:v>68</x:v>
      </x:c>
      <x:c r="F199" s="46" t="n">
        <x:v>3.4</x:v>
      </x:c>
      <x:c r="G199" s="46" t="n">
        <x:v>15</x:v>
      </x:c>
      <x:c r="H199" s="61" t="n">
        <x:v>30.93235294117647</x:v>
      </x:c>
      <x:c r="I199" s="52" t="n">
        <x:v>0.7941176470588235</x:v>
      </x:c>
      <x:c r="J199" s="52" t="n">
        <x:v>0.4506228011790434</x:v>
      </x:c>
      <x:c r="K199" s="60" t="n">
        <x:v>1941.63</x:v>
      </x:c>
      <x:c r="L199" s="60" t="n">
        <x:v>161.77</x:v>
      </x:c>
      <x:c r="M199" s="50" t="n">
        <x:v>54</x:v>
      </x:c>
      <x:c r="N199" s="50" t="n">
        <x:v>14</x:v>
      </x:c>
      <x:c r="O199" s="50" t="n">
        <x:v>128</x:v>
      </x:c>
      <x:c r="P199" s="50" t="n">
        <x:v>20</x:v>
      </x:c>
    </x:row>
    <x:row r="200" ht="36" customHeight="1">
      <x:c r="A200" s="53" t="n">
        <x:v>181</x:v>
      </x:c>
      <x:c r="B200" s="53" t="n">
        <x:v>2</x:v>
      </x:c>
      <x:c r="C200" s="40" t="str">
        <x:v>Large-Basket Occasional Shoppers</x:v>
      </x:c>
      <x:c r="D200" s="60" t="n">
        <x:v>1670.82</x:v>
      </x:c>
      <x:c r="E200" s="50" t="n">
        <x:v>39</x:v>
      </x:c>
      <x:c r="F200" s="46" t="n">
        <x:v>4.333333333333333</x:v>
      </x:c>
      <x:c r="G200" s="46" t="n">
        <x:v>119</x:v>
      </x:c>
      <x:c r="H200" s="61" t="n">
        <x:v>42.84153846153846</x:v>
      </x:c>
      <x:c r="I200" s="52" t="n">
        <x:v>1</x:v>
      </x:c>
      <x:c r="J200" s="52" t="n">
        <x:v>0.6112328078428556</x:v>
      </x:c>
      <x:c r="K200" s="60" t="n">
        <x:v>1670.82</x:v>
      </x:c>
      <x:c r="L200" s="60" t="n">
        <x:v>0</x:v>
      </x:c>
      <x:c r="M200" s="50" t="n">
        <x:v>39</x:v>
      </x:c>
      <x:c r="N200" s="50" t="n">
        <x:v>0</x:v>
      </x:c>
      <x:c r="O200" s="50" t="n">
        <x:v>105</x:v>
      </x:c>
      <x:c r="P200" s="50" t="n">
        <x:v>9</x:v>
      </x:c>
    </x:row>
    <x:row r="201" ht="36" customHeight="1">
      <x:c r="A201" s="53" t="n">
        <x:v>182</x:v>
      </x:c>
      <x:c r="B201" s="53" t="n">
        <x:v>2</x:v>
      </x:c>
      <x:c r="C201" s="40" t="str">
        <x:v>Large-Basket Occasional Shoppers</x:v>
      </x:c>
      <x:c r="D201" s="60" t="n">
        <x:v>1162.34</x:v>
      </x:c>
      <x:c r="E201" s="50" t="n">
        <x:v>36</x:v>
      </x:c>
      <x:c r="F201" s="46" t="n">
        <x:v>1.8947368421052635</x:v>
      </x:c>
      <x:c r="G201" s="46" t="n">
        <x:v>55</x:v>
      </x:c>
      <x:c r="H201" s="61" t="n">
        <x:v>32.287222222222226</x:v>
      </x:c>
      <x:c r="I201" s="52" t="n">
        <x:v>0.861111111111111</x:v>
      </x:c>
      <x:c r="J201" s="52" t="n">
        <x:v>0.4711702255794345</x:v>
      </x:c>
      <x:c r="K201" s="60" t="n">
        <x:v>1144.05</x:v>
      </x:c>
      <x:c r="L201" s="60" t="n">
        <x:v>18.29</x:v>
      </x:c>
      <x:c r="M201" s="50" t="n">
        <x:v>31</x:v>
      </x:c>
      <x:c r="N201" s="50" t="n">
        <x:v>5</x:v>
      </x:c>
      <x:c r="O201" s="50" t="n">
        <x:v>72</x:v>
      </x:c>
      <x:c r="P201" s="50" t="n">
        <x:v>19</x:v>
      </x:c>
    </x:row>
    <x:row r="202" ht="36" customHeight="1">
      <x:c r="A202" s="53" t="n">
        <x:v>183</x:v>
      </x:c>
      <x:c r="B202" s="53" t="n">
        <x:v>3</x:v>
      </x:c>
      <x:c r="C202" s="40" t="str">
        <x:v>Low-Value Low-Engagement Shoppers</x:v>
      </x:c>
      <x:c r="D202" s="60" t="n">
        <x:v>1560.67</x:v>
      </x:c>
      <x:c r="E202" s="50" t="n">
        <x:v>135</x:v>
      </x:c>
      <x:c r="F202" s="46" t="n">
        <x:v>6.136363636363637</x:v>
      </x:c>
      <x:c r="G202" s="46" t="n">
        <x:v>37</x:v>
      </x:c>
      <x:c r="H202" s="61" t="n">
        <x:v>11.56051851851852</x:v>
      </x:c>
      <x:c r="I202" s="52" t="n">
        <x:v>0.7481481481481481</x:v>
      </x:c>
      <x:c r="J202" s="52" t="n">
        <x:v>0.4044993496382963</x:v>
      </x:c>
      <x:c r="K202" s="60" t="n">
        <x:v>1307.28</x:v>
      </x:c>
      <x:c r="L202" s="60" t="n">
        <x:v>253.39</x:v>
      </x:c>
      <x:c r="M202" s="50" t="n">
        <x:v>101</x:v>
      </x:c>
      <x:c r="N202" s="50" t="n">
        <x:v>34</x:v>
      </x:c>
      <x:c r="O202" s="50" t="n">
        <x:v>93</x:v>
      </x:c>
      <x:c r="P202" s="50" t="n">
        <x:v>22</x:v>
      </x:c>
    </x:row>
    <x:row r="203" ht="36" customHeight="1">
      <x:c r="A203" s="53" t="n">
        <x:v>184</x:v>
      </x:c>
      <x:c r="B203" s="53" t="n">
        <x:v>1</x:v>
      </x:c>
      <x:c r="C203" s="40" t="str">
        <x:v>High-Value Frequent Shoppers</x:v>
      </x:c>
      <x:c r="D203" s="60" t="n">
        <x:v>7090.07</x:v>
      </x:c>
      <x:c r="E203" s="50" t="n">
        <x:v>257</x:v>
      </x:c>
      <x:c r="F203" s="46" t="n">
        <x:v>12.238095238095235</x:v>
      </x:c>
      <x:c r="G203" s="46" t="n">
        <x:v>0</x:v>
      </x:c>
      <x:c r="H203" s="61" t="n">
        <x:v>27.587821011673157</x:v>
      </x:c>
      <x:c r="I203" s="52" t="n">
        <x:v>0.9027237354085604</x:v>
      </x:c>
      <x:c r="J203" s="52" t="n">
        <x:v>0.544678684413553</x:v>
      </x:c>
      <x:c r="K203" s="60" t="n">
        <x:v>6687.72</x:v>
      </x:c>
      <x:c r="L203" s="60" t="n">
        <x:v>402.35</x:v>
      </x:c>
      <x:c r="M203" s="50" t="n">
        <x:v>232</x:v>
      </x:c>
      <x:c r="N203" s="50" t="n">
        <x:v>25</x:v>
      </x:c>
      <x:c r="O203" s="50" t="n">
        <x:v>165</x:v>
      </x:c>
      <x:c r="P203" s="50" t="n">
        <x:v>21</x:v>
      </x:c>
    </x:row>
    <x:row r="204" ht="36" customHeight="1">
      <x:c r="A204" s="53" t="n">
        <x:v>185</x:v>
      </x:c>
      <x:c r="B204" s="53" t="n">
        <x:v>2</x:v>
      </x:c>
      <x:c r="C204" s="40" t="str">
        <x:v>Large-Basket Occasional Shoppers</x:v>
      </x:c>
      <x:c r="D204" s="60" t="n">
        <x:v>2137.62</x:v>
      </x:c>
      <x:c r="E204" s="50" t="n">
        <x:v>68</x:v>
      </x:c>
      <x:c r="F204" s="46" t="n">
        <x:v>3.4</x:v>
      </x:c>
      <x:c r="G204" s="46" t="n">
        <x:v>6</x:v>
      </x:c>
      <x:c r="H204" s="61" t="n">
        <x:v>31.43558823529412</x:v>
      </x:c>
      <x:c r="I204" s="52" t="n">
        <x:v>0.8823529411764705</x:v>
      </x:c>
      <x:c r="J204" s="52" t="n">
        <x:v>0.6535539525266417</x:v>
      </x:c>
      <x:c r="K204" s="60" t="n">
        <x:v>2055.35</x:v>
      </x:c>
      <x:c r="L204" s="60" t="n">
        <x:v>82.27</x:v>
      </x:c>
      <x:c r="M204" s="50" t="n">
        <x:v>60</x:v>
      </x:c>
      <x:c r="N204" s="50" t="n">
        <x:v>8</x:v>
      </x:c>
      <x:c r="O204" s="50" t="n">
        <x:v>119</x:v>
      </x:c>
      <x:c r="P204" s="50" t="n">
        <x:v>20</x:v>
      </x:c>
    </x:row>
    <x:row r="205" ht="36" customHeight="1">
      <x:c r="A205" s="53" t="n">
        <x:v>186</x:v>
      </x:c>
      <x:c r="B205" s="53" t="n">
        <x:v>3</x:v>
      </x:c>
      <x:c r="C205" s="40" t="str">
        <x:v>Low-Value Low-Engagement Shoppers</x:v>
      </x:c>
      <x:c r="D205" s="60" t="n">
        <x:v>59.52</x:v>
      </x:c>
      <x:c r="E205" s="50" t="n">
        <x:v>3</x:v>
      </x:c>
      <x:c r="F205" s="46" t="n">
        <x:v>1</x:v>
      </x:c>
      <x:c r="G205" s="46" t="n">
        <x:v>5</x:v>
      </x:c>
      <x:c r="H205" s="61" t="n">
        <x:v>19.84</x:v>
      </x:c>
      <x:c r="I205" s="52" t="n">
        <x:v>1</x:v>
      </x:c>
      <x:c r="J205" s="52" t="n">
        <x:v>0.2244623655913978</x:v>
      </x:c>
      <x:c r="K205" s="60" t="n">
        <x:v>59.52</x:v>
      </x:c>
      <x:c r="L205" s="60" t="n">
        <x:v>0</x:v>
      </x:c>
      <x:c r="M205" s="50" t="n">
        <x:v>3</x:v>
      </x:c>
      <x:c r="N205" s="50" t="n">
        <x:v>0</x:v>
      </x:c>
      <x:c r="O205" s="50" t="n">
        <x:v>7</x:v>
      </x:c>
      <x:c r="P205" s="50" t="n">
        <x:v>3</x:v>
      </x:c>
    </x:row>
    <x:row r="206" ht="36" customHeight="1">
      <x:c r="A206" s="53" t="n">
        <x:v>187</x:v>
      </x:c>
      <x:c r="B206" s="53" t="n">
        <x:v>3</x:v>
      </x:c>
      <x:c r="C206" s="40" t="str">
        <x:v>Low-Value Low-Engagement Shoppers</x:v>
      </x:c>
      <x:c r="D206" s="60" t="n">
        <x:v>701</x:v>
      </x:c>
      <x:c r="E206" s="50" t="n">
        <x:v>59</x:v>
      </x:c>
      <x:c r="F206" s="46" t="n">
        <x:v>3.2777777777777777</x:v>
      </x:c>
      <x:c r="G206" s="46" t="n">
        <x:v>6</x:v>
      </x:c>
      <x:c r="H206" s="61" t="n">
        <x:v>11.881355932203387</x:v>
      </x:c>
      <x:c r="I206" s="52" t="n">
        <x:v>0.7288135593220338</x:v>
      </x:c>
      <x:c r="J206" s="52" t="n">
        <x:v>0.5103566333808844</x:v>
      </x:c>
      <x:c r="K206" s="60" t="n">
        <x:v>633.13</x:v>
      </x:c>
      <x:c r="L206" s="60" t="n">
        <x:v>67.87</x:v>
      </x:c>
      <x:c r="M206" s="50" t="n">
        <x:v>43</x:v>
      </x:c>
      <x:c r="N206" s="50" t="n">
        <x:v>16</x:v>
      </x:c>
      <x:c r="O206" s="50" t="n">
        <x:v>91</x:v>
      </x:c>
      <x:c r="P206" s="50" t="n">
        <x:v>18</x:v>
      </x:c>
    </x:row>
    <x:row r="207" ht="36" customHeight="1">
      <x:c r="A207" s="53" t="n">
        <x:v>188</x:v>
      </x:c>
      <x:c r="B207" s="53" t="n">
        <x:v>2</x:v>
      </x:c>
      <x:c r="C207" s="40" t="str">
        <x:v>Large-Basket Occasional Shoppers</x:v>
      </x:c>
      <x:c r="D207" s="60" t="n">
        <x:v>1847.62</x:v>
      </x:c>
      <x:c r="E207" s="50" t="n">
        <x:v>43</x:v>
      </x:c>
      <x:c r="F207" s="46" t="n">
        <x:v>2.8666666666666667</x:v>
      </x:c>
      <x:c r="G207" s="46" t="n">
        <x:v>15</x:v>
      </x:c>
      <x:c r="H207" s="61" t="n">
        <x:v>42.96790697674418</x:v>
      </x:c>
      <x:c r="I207" s="52" t="n">
        <x:v>0.7906976744186046</x:v>
      </x:c>
      <x:c r="J207" s="52" t="n">
        <x:v>0.6159870536149208</x:v>
      </x:c>
      <x:c r="K207" s="60" t="n">
        <x:v>1810.06</x:v>
      </x:c>
      <x:c r="L207" s="60" t="n">
        <x:v>37.56</x:v>
      </x:c>
      <x:c r="M207" s="50" t="n">
        <x:v>34</x:v>
      </x:c>
      <x:c r="N207" s="50" t="n">
        <x:v>9</x:v>
      </x:c>
      <x:c r="O207" s="50" t="n">
        <x:v>98</x:v>
      </x:c>
      <x:c r="P207" s="50" t="n">
        <x:v>15</x:v>
      </x:c>
    </x:row>
    <x:row r="208" ht="36" customHeight="1">
      <x:c r="A208" s="53" t="n">
        <x:v>189</x:v>
      </x:c>
      <x:c r="B208" s="53" t="n">
        <x:v>3</x:v>
      </x:c>
      <x:c r="C208" s="40" t="str">
        <x:v>Low-Value Low-Engagement Shoppers</x:v>
      </x:c>
      <x:c r="D208" s="60" t="n">
        <x:v>801.99</x:v>
      </x:c>
      <x:c r="E208" s="50" t="n">
        <x:v>38</x:v>
      </x:c>
      <x:c r="F208" s="46" t="n">
        <x:v>1.9</x:v>
      </x:c>
      <x:c r="G208" s="46" t="n">
        <x:v>19</x:v>
      </x:c>
      <x:c r="H208" s="61" t="n">
        <x:v>21.105</x:v>
      </x:c>
      <x:c r="I208" s="52" t="n">
        <x:v>0.7631578947368421</x:v>
      </x:c>
      <x:c r="J208" s="52" t="n">
        <x:v>0.4602551154004414</x:v>
      </x:c>
      <x:c r="K208" s="60" t="n">
        <x:v>694.22</x:v>
      </x:c>
      <x:c r="L208" s="60" t="n">
        <x:v>107.77</x:v>
      </x:c>
      <x:c r="M208" s="50" t="n">
        <x:v>29</x:v>
      </x:c>
      <x:c r="N208" s="50" t="n">
        <x:v>9</x:v>
      </x:c>
      <x:c r="O208" s="50" t="n">
        <x:v>59</x:v>
      </x:c>
      <x:c r="P208" s="50" t="n">
        <x:v>20</x:v>
      </x:c>
    </x:row>
    <x:row r="209" ht="36" customHeight="1">
      <x:c r="A209" s="53" t="n">
        <x:v>190</x:v>
      </x:c>
      <x:c r="B209" s="53" t="n">
        <x:v>2</x:v>
      </x:c>
      <x:c r="C209" s="40" t="str">
        <x:v>Large-Basket Occasional Shoppers</x:v>
      </x:c>
      <x:c r="D209" s="60" t="n">
        <x:v>696.28</x:v>
      </x:c>
      <x:c r="E209" s="50" t="n">
        <x:v>23</x:v>
      </x:c>
      <x:c r="F209" s="46" t="n">
        <x:v>1.7692307692307692</x:v>
      </x:c>
      <x:c r="G209" s="46" t="n">
        <x:v>42</x:v>
      </x:c>
      <x:c r="H209" s="61" t="n">
        <x:v>30.273043478260867</x:v>
      </x:c>
      <x:c r="I209" s="52" t="n">
        <x:v>0.8695652173913043</x:v>
      </x:c>
      <x:c r="J209" s="52" t="n">
        <x:v>0.56876543919113</x:v>
      </x:c>
      <x:c r="K209" s="60" t="n">
        <x:v>677.05</x:v>
      </x:c>
      <x:c r="L209" s="60" t="n">
        <x:v>19.23</x:v>
      </x:c>
      <x:c r="M209" s="50" t="n">
        <x:v>20</x:v>
      </x:c>
      <x:c r="N209" s="50" t="n">
        <x:v>3</x:v>
      </x:c>
      <x:c r="O209" s="50" t="n">
        <x:v>76</x:v>
      </x:c>
      <x:c r="P209" s="50" t="n">
        <x:v>13</x:v>
      </x:c>
    </x:row>
    <x:row r="210" ht="36" customHeight="1">
      <x:c r="A210" s="53" t="n">
        <x:v>191</x:v>
      </x:c>
      <x:c r="B210" s="53" t="n">
        <x:v>3</x:v>
      </x:c>
      <x:c r="C210" s="40" t="str">
        <x:v>Low-Value Low-Engagement Shoppers</x:v>
      </x:c>
      <x:c r="D210" s="60" t="n">
        <x:v>552.85</x:v>
      </x:c>
      <x:c r="E210" s="50" t="n">
        <x:v>34</x:v>
      </x:c>
      <x:c r="F210" s="46" t="n">
        <x:v>2.428571428571429</x:v>
      </x:c>
      <x:c r="G210" s="46" t="n">
        <x:v>3</x:v>
      </x:c>
      <x:c r="H210" s="61" t="n">
        <x:v>16.260294117647057</x:v>
      </x:c>
      <x:c r="I210" s="52" t="n">
        <x:v>0.9117647058823528</x:v>
      </x:c>
      <x:c r="J210" s="52" t="n">
        <x:v>0.6308582798227367</x:v>
      </x:c>
      <x:c r="K210" s="60" t="n">
        <x:v>523.27</x:v>
      </x:c>
      <x:c r="L210" s="60" t="n">
        <x:v>29.58</x:v>
      </x:c>
      <x:c r="M210" s="50" t="n">
        <x:v>31</x:v>
      </x:c>
      <x:c r="N210" s="50" t="n">
        <x:v>3</x:v>
      </x:c>
      <x:c r="O210" s="50" t="n">
        <x:v>70</x:v>
      </x:c>
      <x:c r="P210" s="50" t="n">
        <x:v>14</x:v>
      </x:c>
    </x:row>
    <x:row r="211" ht="36" customHeight="1">
      <x:c r="A211" s="53" t="n">
        <x:v>192</x:v>
      </x:c>
      <x:c r="B211" s="53" t="n">
        <x:v>2</x:v>
      </x:c>
      <x:c r="C211" s="40" t="str">
        <x:v>Large-Basket Occasional Shoppers</x:v>
      </x:c>
      <x:c r="D211" s="60" t="n">
        <x:v>3778.08</x:v>
      </x:c>
      <x:c r="E211" s="50" t="n">
        <x:v>95</x:v>
      </x:c>
      <x:c r="F211" s="46" t="n">
        <x:v>4.130434782608696</x:v>
      </x:c>
      <x:c r="G211" s="46" t="n">
        <x:v>1</x:v>
      </x:c>
      <x:c r="H211" s="61" t="n">
        <x:v>39.769263157894734</x:v>
      </x:c>
      <x:c r="I211" s="52" t="n">
        <x:v>0.9578947368421052</x:v>
      </x:c>
      <x:c r="J211" s="52" t="n">
        <x:v>0.431907212128912</x:v>
      </x:c>
      <x:c r="K211" s="60" t="n">
        <x:v>3746.34</x:v>
      </x:c>
      <x:c r="L211" s="60" t="n">
        <x:v>31.74</x:v>
      </x:c>
      <x:c r="M211" s="50" t="n">
        <x:v>91</x:v>
      </x:c>
      <x:c r="N211" s="50" t="n">
        <x:v>4</x:v>
      </x:c>
      <x:c r="O211" s="50" t="n">
        <x:v>115</x:v>
      </x:c>
      <x:c r="P211" s="50" t="n">
        <x:v>23</x:v>
      </x:c>
    </x:row>
    <x:row r="212" ht="36" customHeight="1">
      <x:c r="A212" s="53" t="n">
        <x:v>193</x:v>
      </x:c>
      <x:c r="B212" s="53" t="n">
        <x:v>1</x:v>
      </x:c>
      <x:c r="C212" s="40" t="str">
        <x:v>High-Value Frequent Shoppers</x:v>
      </x:c>
      <x:c r="D212" s="60" t="n">
        <x:v>4814.66</x:v>
      </x:c>
      <x:c r="E212" s="50" t="n">
        <x:v>135</x:v>
      </x:c>
      <x:c r="F212" s="46" t="n">
        <x:v>6.136363636363637</x:v>
      </x:c>
      <x:c r="G212" s="46" t="n">
        <x:v>17</x:v>
      </x:c>
      <x:c r="H212" s="61" t="n">
        <x:v>35.66414814814815</x:v>
      </x:c>
      <x:c r="I212" s="52" t="n">
        <x:v>0.8296296296296296</x:v>
      </x:c>
      <x:c r="J212" s="52" t="n">
        <x:v>0.6417628659136886</x:v>
      </x:c>
      <x:c r="K212" s="60" t="n">
        <x:v>4521.03</x:v>
      </x:c>
      <x:c r="L212" s="60" t="n">
        <x:v>293.63</x:v>
      </x:c>
      <x:c r="M212" s="50" t="n">
        <x:v>112</x:v>
      </x:c>
      <x:c r="N212" s="50" t="n">
        <x:v>23</x:v>
      </x:c>
      <x:c r="O212" s="50" t="n">
        <x:v>113</x:v>
      </x:c>
      <x:c r="P212" s="50" t="n">
        <x:v>22</x:v>
      </x:c>
    </x:row>
    <x:row r="213" ht="36" customHeight="1">
      <x:c r="A213" s="53" t="n">
        <x:v>194</x:v>
      </x:c>
      <x:c r="B213" s="53" t="n">
        <x:v>1</x:v>
      </x:c>
      <x:c r="C213" s="40" t="str">
        <x:v>High-Value Frequent Shoppers</x:v>
      </x:c>
      <x:c r="D213" s="60" t="n">
        <x:v>1882.81</x:v>
      </x:c>
      <x:c r="E213" s="50" t="n">
        <x:v>73</x:v>
      </x:c>
      <x:c r="F213" s="46" t="n">
        <x:v>3.476190476190476</x:v>
      </x:c>
      <x:c r="G213" s="46" t="n">
        <x:v>1</x:v>
      </x:c>
      <x:c r="H213" s="61" t="n">
        <x:v>25.79191780821917</x:v>
      </x:c>
      <x:c r="I213" s="52" t="n">
        <x:v>0.7671232876712328</x:v>
      </x:c>
      <x:c r="J213" s="52" t="n">
        <x:v>0.4030358878484817</x:v>
      </x:c>
      <x:c r="K213" s="60" t="n">
        <x:v>1647.33</x:v>
      </x:c>
      <x:c r="L213" s="60" t="n">
        <x:v>235.48</x:v>
      </x:c>
      <x:c r="M213" s="50" t="n">
        <x:v>56</x:v>
      </x:c>
      <x:c r="N213" s="50" t="n">
        <x:v>17</x:v>
      </x:c>
      <x:c r="O213" s="50" t="n">
        <x:v>132</x:v>
      </x:c>
      <x:c r="P213" s="50" t="n">
        <x:v>21</x:v>
      </x:c>
    </x:row>
    <x:row r="214" ht="36" customHeight="1">
      <x:c r="A214" s="53" t="n">
        <x:v>195</x:v>
      </x:c>
      <x:c r="B214" s="53" t="n">
        <x:v>1</x:v>
      </x:c>
      <x:c r="C214" s="40" t="str">
        <x:v>High-Value Frequent Shoppers</x:v>
      </x:c>
      <x:c r="D214" s="60" t="n">
        <x:v>4166.72</x:v>
      </x:c>
      <x:c r="E214" s="50" t="n">
        <x:v>91</x:v>
      </x:c>
      <x:c r="F214" s="46" t="n">
        <x:v>4.136363636363637</x:v>
      </x:c>
      <x:c r="G214" s="46" t="n">
        <x:v>0</x:v>
      </x:c>
      <x:c r="H214" s="61" t="n">
        <x:v>45.78813186813186</x:v>
      </x:c>
      <x:c r="I214" s="52" t="n">
        <x:v>0.978021978021978</x:v>
      </x:c>
      <x:c r="J214" s="52" t="n">
        <x:v>0.7612894554949696</x:v>
      </x:c>
      <x:c r="K214" s="60" t="n">
        <x:v>4158.62</x:v>
      </x:c>
      <x:c r="L214" s="60" t="n">
        <x:v>8.1</x:v>
      </x:c>
      <x:c r="M214" s="50" t="n">
        <x:v>89</x:v>
      </x:c>
      <x:c r="N214" s="50" t="n">
        <x:v>2</x:v>
      </x:c>
      <x:c r="O214" s="50" t="n">
        <x:v>146</x:v>
      </x:c>
      <x:c r="P214" s="50" t="n">
        <x:v>22</x:v>
      </x:c>
    </x:row>
    <x:row r="215" ht="36" customHeight="1">
      <x:c r="A215" s="53" t="n">
        <x:v>196</x:v>
      </x:c>
      <x:c r="B215" s="53" t="n">
        <x:v>1</x:v>
      </x:c>
      <x:c r="C215" s="40" t="str">
        <x:v>High-Value Frequent Shoppers</x:v>
      </x:c>
      <x:c r="D215" s="60" t="n">
        <x:v>5261.19</x:v>
      </x:c>
      <x:c r="E215" s="50" t="n">
        <x:v>184</x:v>
      </x:c>
      <x:c r="F215" s="46" t="n">
        <x:v>8.363636363636363</x:v>
      </x:c>
      <x:c r="G215" s="46" t="n">
        <x:v>0</x:v>
      </x:c>
      <x:c r="H215" s="61" t="n">
        <x:v>28.59342391304348</x:v>
      </x:c>
      <x:c r="I215" s="52" t="n">
        <x:v>0.8967391304347826</x:v>
      </x:c>
      <x:c r="J215" s="52" t="n">
        <x:v>0.5544392048186817</x:v>
      </x:c>
      <x:c r="K215" s="60" t="n">
        <x:v>5030.16</x:v>
      </x:c>
      <x:c r="L215" s="60" t="n">
        <x:v>231.03</x:v>
      </x:c>
      <x:c r="M215" s="50" t="n">
        <x:v>165</x:v>
      </x:c>
      <x:c r="N215" s="50" t="n">
        <x:v>19</x:v>
      </x:c>
      <x:c r="O215" s="50" t="n">
        <x:v>151</x:v>
      </x:c>
      <x:c r="P215" s="50" t="n">
        <x:v>22</x:v>
      </x:c>
    </x:row>
    <x:row r="216" ht="36" customHeight="1">
      <x:c r="A216" s="53" t="n">
        <x:v>197</x:v>
      </x:c>
      <x:c r="B216" s="53" t="n">
        <x:v>2</x:v>
      </x:c>
      <x:c r="C216" s="40" t="str">
        <x:v>Large-Basket Occasional Shoppers</x:v>
      </x:c>
      <x:c r="D216" s="60" t="n">
        <x:v>1929.23</x:v>
      </x:c>
      <x:c r="E216" s="50" t="n">
        <x:v>55</x:v>
      </x:c>
      <x:c r="F216" s="46" t="n">
        <x:v>2.8947368421052637</x:v>
      </x:c>
      <x:c r="G216" s="46" t="n">
        <x:v>1</x:v>
      </x:c>
      <x:c r="H216" s="61" t="n">
        <x:v>35.07690909090909</x:v>
      </x:c>
      <x:c r="I216" s="52" t="n">
        <x:v>0.7636363636363636</x:v>
      </x:c>
      <x:c r="J216" s="52" t="n">
        <x:v>0.3552142564650145</x:v>
      </x:c>
      <x:c r="K216" s="60" t="n">
        <x:v>1779.54</x:v>
      </x:c>
      <x:c r="L216" s="60" t="n">
        <x:v>149.69</x:v>
      </x:c>
      <x:c r="M216" s="50" t="n">
        <x:v>42</x:v>
      </x:c>
      <x:c r="N216" s="50" t="n">
        <x:v>13</x:v>
      </x:c>
      <x:c r="O216" s="50" t="n">
        <x:v>83</x:v>
      </x:c>
      <x:c r="P216" s="50" t="n">
        <x:v>19</x:v>
      </x:c>
    </x:row>
    <x:row r="217" ht="36" customHeight="1">
      <x:c r="A217" s="53" t="n">
        <x:v>198</x:v>
      </x:c>
      <x:c r="B217" s="53" t="n">
        <x:v>1</x:v>
      </x:c>
      <x:c r="C217" s="40" t="str">
        <x:v>High-Value Frequent Shoppers</x:v>
      </x:c>
      <x:c r="D217" s="60" t="n">
        <x:v>8659.17</x:v>
      </x:c>
      <x:c r="E217" s="50" t="n">
        <x:v>458</x:v>
      </x:c>
      <x:c r="F217" s="46" t="n">
        <x:v>20.818181818181817</x:v>
      </x:c>
      <x:c r="G217" s="46" t="n">
        <x:v>2</x:v>
      </x:c>
      <x:c r="H217" s="61" t="n">
        <x:v>18.906484716157205</x:v>
      </x:c>
      <x:c r="I217" s="52" t="n">
        <x:v>0.7663755458515283</x:v>
      </x:c>
      <x:c r="J217" s="52" t="n">
        <x:v>0.5724902040264829</x:v>
      </x:c>
      <x:c r="K217" s="60" t="n">
        <x:v>8297.57</x:v>
      </x:c>
      <x:c r="L217" s="60" t="n">
        <x:v>361.6</x:v>
      </x:c>
      <x:c r="M217" s="50" t="n">
        <x:v>351</x:v>
      </x:c>
      <x:c r="N217" s="50" t="n">
        <x:v>107</x:v>
      </x:c>
      <x:c r="O217" s="50" t="n">
        <x:v>193</x:v>
      </x:c>
      <x:c r="P217" s="50" t="n">
        <x:v>22</x:v>
      </x:c>
    </x:row>
    <x:row r="218" ht="36" customHeight="1">
      <x:c r="A218" s="53" t="n">
        <x:v>199</x:v>
      </x:c>
      <x:c r="B218" s="53" t="n">
        <x:v>3</x:v>
      </x:c>
      <x:c r="C218" s="40" t="str">
        <x:v>Low-Value Low-Engagement Shoppers</x:v>
      </x:c>
      <x:c r="D218" s="60" t="n">
        <x:v>667.97</x:v>
      </x:c>
      <x:c r="E218" s="50" t="n">
        <x:v>54</x:v>
      </x:c>
      <x:c r="F218" s="46" t="n">
        <x:v>2.8421052631578947</x:v>
      </x:c>
      <x:c r="G218" s="46" t="n">
        <x:v>10</x:v>
      </x:c>
      <x:c r="H218" s="61" t="n">
        <x:v>12.369814814814816</x:v>
      </x:c>
      <x:c r="I218" s="52" t="n">
        <x:v>0.7407407407407407</x:v>
      </x:c>
      <x:c r="J218" s="52" t="n">
        <x:v>0.4176085752354147</x:v>
      </x:c>
      <x:c r="K218" s="60" t="n">
        <x:v>597.31</x:v>
      </x:c>
      <x:c r="L218" s="60" t="n">
        <x:v>70.66</x:v>
      </x:c>
      <x:c r="M218" s="50" t="n">
        <x:v>40</x:v>
      </x:c>
      <x:c r="N218" s="50" t="n">
        <x:v>14</x:v>
      </x:c>
      <x:c r="O218" s="50" t="n">
        <x:v>64</x:v>
      </x:c>
      <x:c r="P218" s="50" t="n">
        <x:v>19</x:v>
      </x:c>
    </x:row>
    <x:row r="219" ht="36" customHeight="1">
      <x:c r="A219" s="53" t="n">
        <x:v>200</x:v>
      </x:c>
      <x:c r="B219" s="53" t="n">
        <x:v>3</x:v>
      </x:c>
      <x:c r="C219" s="40" t="str">
        <x:v>Low-Value Low-Engagement Shoppers</x:v>
      </x:c>
      <x:c r="D219" s="60" t="n">
        <x:v>1166.63</x:v>
      </x:c>
      <x:c r="E219" s="50" t="n">
        <x:v>79</x:v>
      </x:c>
      <x:c r="F219" s="46" t="n">
        <x:v>6.076923076923077</x:v>
      </x:c>
      <x:c r="G219" s="46" t="n">
        <x:v>1</x:v>
      </x:c>
      <x:c r="H219" s="61" t="n">
        <x:v>14.76746835443038</x:v>
      </x:c>
      <x:c r="I219" s="52" t="n">
        <x:v>0.6962025316455696</x:v>
      </x:c>
      <x:c r="J219" s="52" t="n">
        <x:v>0.4309249719276891</x:v>
      </x:c>
      <x:c r="K219" s="60" t="n">
        <x:v>1008.9</x:v>
      </x:c>
      <x:c r="L219" s="60" t="n">
        <x:v>157.73</x:v>
      </x:c>
      <x:c r="M219" s="50" t="n">
        <x:v>55</x:v>
      </x:c>
      <x:c r="N219" s="50" t="n">
        <x:v>24</x:v>
      </x:c>
      <x:c r="O219" s="50" t="n">
        <x:v>109</x:v>
      </x:c>
      <x:c r="P219" s="50" t="n">
        <x:v>13</x:v>
      </x:c>
    </x:row>
    <x:row r="220" ht="36" customHeight="1">
      <x:c r="A220" s="53" t="n">
        <x:v>201</x:v>
      </x:c>
      <x:c r="B220" s="53" t="n">
        <x:v>2</x:v>
      </x:c>
      <x:c r="C220" s="40" t="str">
        <x:v>Large-Basket Occasional Shoppers</x:v>
      </x:c>
      <x:c r="D220" s="60" t="n">
        <x:v>1435.17</x:v>
      </x:c>
      <x:c r="E220" s="50" t="n">
        <x:v>48</x:v>
      </x:c>
      <x:c r="F220" s="46" t="n">
        <x:v>3.2</x:v>
      </x:c>
      <x:c r="G220" s="46" t="n">
        <x:v>7</x:v>
      </x:c>
      <x:c r="H220" s="61" t="n">
        <x:v>29.899375</x:v>
      </x:c>
      <x:c r="I220" s="52" t="n">
        <x:v>0.9583333333333331</x:v>
      </x:c>
      <x:c r="J220" s="52" t="n">
        <x:v>0.6206721154985123</x:v>
      </x:c>
      <x:c r="K220" s="60" t="n">
        <x:v>1421.24</x:v>
      </x:c>
      <x:c r="L220" s="60" t="n">
        <x:v>13.93</x:v>
      </x:c>
      <x:c r="M220" s="50" t="n">
        <x:v>46</x:v>
      </x:c>
      <x:c r="N220" s="50" t="n">
        <x:v>2</x:v>
      </x:c>
      <x:c r="O220" s="50" t="n">
        <x:v>87</x:v>
      </x:c>
      <x:c r="P220" s="50" t="n">
        <x:v>15</x:v>
      </x:c>
    </x:row>
    <x:row r="221" ht="36" customHeight="1">
      <x:c r="A221" s="53" t="n">
        <x:v>202</x:v>
      </x:c>
      <x:c r="B221" s="53" t="n">
        <x:v>2</x:v>
      </x:c>
      <x:c r="C221" s="40" t="str">
        <x:v>Large-Basket Occasional Shoppers</x:v>
      </x:c>
      <x:c r="D221" s="60" t="n">
        <x:v>964.88</x:v>
      </x:c>
      <x:c r="E221" s="50" t="n">
        <x:v>36</x:v>
      </x:c>
      <x:c r="F221" s="46" t="n">
        <x:v>2.4</x:v>
      </x:c>
      <x:c r="G221" s="46" t="n">
        <x:v>15</x:v>
      </x:c>
      <x:c r="H221" s="61" t="n">
        <x:v>26.802222222222223</x:v>
      </x:c>
      <x:c r="I221" s="52" t="n">
        <x:v>0.8888888888888888</x:v>
      </x:c>
      <x:c r="J221" s="52" t="n">
        <x:v>0.4426871735345327</x:v>
      </x:c>
      <x:c r="K221" s="60" t="n">
        <x:v>919.46</x:v>
      </x:c>
      <x:c r="L221" s="60" t="n">
        <x:v>45.42</x:v>
      </x:c>
      <x:c r="M221" s="50" t="n">
        <x:v>32</x:v>
      </x:c>
      <x:c r="N221" s="50" t="n">
        <x:v>4</x:v>
      </x:c>
      <x:c r="O221" s="50" t="n">
        <x:v>94</x:v>
      </x:c>
      <x:c r="P221" s="50" t="n">
        <x:v>15</x:v>
      </x:c>
    </x:row>
    <x:row r="222" ht="36" customHeight="1">
      <x:c r="A222" s="53" t="n">
        <x:v>203</x:v>
      </x:c>
      <x:c r="B222" s="53" t="n">
        <x:v>2</x:v>
      </x:c>
      <x:c r="C222" s="40" t="str">
        <x:v>Large-Basket Occasional Shoppers</x:v>
      </x:c>
      <x:c r="D222" s="60" t="n">
        <x:v>908.83</x:v>
      </x:c>
      <x:c r="E222" s="50" t="n">
        <x:v>42</x:v>
      </x:c>
      <x:c r="F222" s="46" t="n">
        <x:v>2.333333333333333</x:v>
      </x:c>
      <x:c r="G222" s="46" t="n">
        <x:v>1</x:v>
      </x:c>
      <x:c r="H222" s="61" t="n">
        <x:v>21.638809523809524</x:v>
      </x:c>
      <x:c r="I222" s="52" t="n">
        <x:v>0.8095238095238095</x:v>
      </x:c>
      <x:c r="J222" s="52" t="n">
        <x:v>0.5856980953533664</x:v>
      </x:c>
      <x:c r="K222" s="60" t="n">
        <x:v>836.17</x:v>
      </x:c>
      <x:c r="L222" s="60" t="n">
        <x:v>72.66</x:v>
      </x:c>
      <x:c r="M222" s="50" t="n">
        <x:v>34</x:v>
      </x:c>
      <x:c r="N222" s="50" t="n">
        <x:v>8</x:v>
      </x:c>
      <x:c r="O222" s="50" t="n">
        <x:v>90</x:v>
      </x:c>
      <x:c r="P222" s="50" t="n">
        <x:v>18</x:v>
      </x:c>
    </x:row>
    <x:row r="223" ht="36" customHeight="1">
      <x:c r="A223" s="53" t="n">
        <x:v>204</x:v>
      </x:c>
      <x:c r="B223" s="53" t="n">
        <x:v>3</x:v>
      </x:c>
      <x:c r="C223" s="40" t="str">
        <x:v>Low-Value Low-Engagement Shoppers</x:v>
      </x:c>
      <x:c r="D223" s="60" t="n">
        <x:v>929.27</x:v>
      </x:c>
      <x:c r="E223" s="50" t="n">
        <x:v>57</x:v>
      </x:c>
      <x:c r="F223" s="46" t="n">
        <x:v>2.85</x:v>
      </x:c>
      <x:c r="G223" s="46" t="n">
        <x:v>5</x:v>
      </x:c>
      <x:c r="H223" s="61" t="n">
        <x:v>16.30298245614035</x:v>
      </x:c>
      <x:c r="I223" s="52" t="n">
        <x:v>0.8421052631578947</x:v>
      </x:c>
      <x:c r="J223" s="52" t="n">
        <x:v>0.6513392232612695</x:v>
      </x:c>
      <x:c r="K223" s="60" t="n">
        <x:v>857.83</x:v>
      </x:c>
      <x:c r="L223" s="60" t="n">
        <x:v>71.44</x:v>
      </x:c>
      <x:c r="M223" s="50" t="n">
        <x:v>48</x:v>
      </x:c>
      <x:c r="N223" s="50" t="n">
        <x:v>9</x:v>
      </x:c>
      <x:c r="O223" s="50" t="n">
        <x:v>90</x:v>
      </x:c>
      <x:c r="P223" s="50" t="n">
        <x:v>20</x:v>
      </x:c>
    </x:row>
    <x:row r="224" ht="36" customHeight="1">
      <x:c r="A224" s="53" t="n">
        <x:v>205</x:v>
      </x:c>
      <x:c r="B224" s="53" t="n">
        <x:v>1</x:v>
      </x:c>
      <x:c r="C224" s="40" t="str">
        <x:v>High-Value Frequent Shoppers</x:v>
      </x:c>
      <x:c r="D224" s="60" t="n">
        <x:v>3749.64</x:v>
      </x:c>
      <x:c r="E224" s="50" t="n">
        <x:v>106</x:v>
      </x:c>
      <x:c r="F224" s="46" t="n">
        <x:v>5.888888888888888</x:v>
      </x:c>
      <x:c r="G224" s="46" t="n">
        <x:v>3</x:v>
      </x:c>
      <x:c r="H224" s="61" t="n">
        <x:v>35.37396226415095</x:v>
      </x:c>
      <x:c r="I224" s="52" t="n">
        <x:v>0.8679245283018867</x:v>
      </x:c>
      <x:c r="J224" s="52" t="n">
        <x:v>0.374395942010433</x:v>
      </x:c>
      <x:c r="K224" s="60" t="n">
        <x:v>3561.83</x:v>
      </x:c>
      <x:c r="L224" s="60" t="n">
        <x:v>187.81</x:v>
      </x:c>
      <x:c r="M224" s="50" t="n">
        <x:v>92</x:v>
      </x:c>
      <x:c r="N224" s="50" t="n">
        <x:v>14</x:v>
      </x:c>
      <x:c r="O224" s="50" t="n">
        <x:v>146</x:v>
      </x:c>
      <x:c r="P224" s="50" t="n">
        <x:v>18</x:v>
      </x:c>
    </x:row>
    <x:row r="225" ht="36" customHeight="1">
      <x:c r="A225" s="53" t="n">
        <x:v>206</x:v>
      </x:c>
      <x:c r="B225" s="53" t="n">
        <x:v>2</x:v>
      </x:c>
      <x:c r="C225" s="40" t="str">
        <x:v>Large-Basket Occasional Shoppers</x:v>
      </x:c>
      <x:c r="D225" s="60" t="n">
        <x:v>386.6</x:v>
      </x:c>
      <x:c r="E225" s="50" t="n">
        <x:v>15</x:v>
      </x:c>
      <x:c r="F225" s="46" t="n">
        <x:v>3</x:v>
      </x:c>
      <x:c r="G225" s="46" t="n">
        <x:v>56</x:v>
      </x:c>
      <x:c r="H225" s="61" t="n">
        <x:v>25.773333333333333</x:v>
      </x:c>
      <x:c r="I225" s="52" t="n">
        <x:v>0.9333333333333332</x:v>
      </x:c>
      <x:c r="J225" s="52" t="n">
        <x:v>0.4605018106570098</x:v>
      </x:c>
      <x:c r="K225" s="60" t="n">
        <x:v>380.7</x:v>
      </x:c>
      <x:c r="L225" s="60" t="n">
        <x:v>5.9</x:v>
      </x:c>
      <x:c r="M225" s="50" t="n">
        <x:v>14</x:v>
      </x:c>
      <x:c r="N225" s="50" t="n">
        <x:v>1</x:v>
      </x:c>
      <x:c r="O225" s="50" t="n">
        <x:v>62</x:v>
      </x:c>
      <x:c r="P225" s="50" t="n">
        <x:v>5</x:v>
      </x:c>
    </x:row>
    <x:row r="226" ht="36" customHeight="1">
      <x:c r="A226" s="53" t="n">
        <x:v>207</x:v>
      </x:c>
      <x:c r="B226" s="53" t="n">
        <x:v>2</x:v>
      </x:c>
      <x:c r="C226" s="40" t="str">
        <x:v>Large-Basket Occasional Shoppers</x:v>
      </x:c>
      <x:c r="D226" s="60" t="n">
        <x:v>995.72</x:v>
      </x:c>
      <x:c r="E226" s="50" t="n">
        <x:v>21</x:v>
      </x:c>
      <x:c r="F226" s="46" t="n">
        <x:v>1.9090909090909087</x:v>
      </x:c>
      <x:c r="G226" s="46" t="n">
        <x:v>58</x:v>
      </x:c>
      <x:c r="H226" s="61" t="n">
        <x:v>47.415238095238095</x:v>
      </x:c>
      <x:c r="I226" s="52" t="n">
        <x:v>0.7619047619047619</x:v>
      </x:c>
      <x:c r="J226" s="52" t="n">
        <x:v>0.3602518780380026</x:v>
      </x:c>
      <x:c r="K226" s="60" t="n">
        <x:v>964.16</x:v>
      </x:c>
      <x:c r="L226" s="60" t="n">
        <x:v>31.56</x:v>
      </x:c>
      <x:c r="M226" s="50" t="n">
        <x:v>16</x:v>
      </x:c>
      <x:c r="N226" s="50" t="n">
        <x:v>5</x:v>
      </x:c>
      <x:c r="O226" s="50" t="n">
        <x:v>100</x:v>
      </x:c>
      <x:c r="P226" s="50" t="n">
        <x:v>11</x:v>
      </x:c>
    </x:row>
    <x:row r="227" ht="36" customHeight="1">
      <x:c r="A227" s="53" t="n">
        <x:v>208</x:v>
      </x:c>
      <x:c r="B227" s="53" t="n">
        <x:v>1</x:v>
      </x:c>
      <x:c r="C227" s="40" t="str">
        <x:v>High-Value Frequent Shoppers</x:v>
      </x:c>
      <x:c r="D227" s="60" t="n">
        <x:v>4296.33</x:v>
      </x:c>
      <x:c r="E227" s="50" t="n">
        <x:v>140</x:v>
      </x:c>
      <x:c r="F227" s="46" t="n">
        <x:v>6.08695652173913</x:v>
      </x:c>
      <x:c r="G227" s="46" t="n">
        <x:v>10</x:v>
      </x:c>
      <x:c r="H227" s="61" t="n">
        <x:v>30.688071428571423</x:v>
      </x:c>
      <x:c r="I227" s="52" t="n">
        <x:v>0.914285714285714</x:v>
      </x:c>
      <x:c r="J227" s="52" t="n">
        <x:v>0.6137005304527352</x:v>
      </x:c>
      <x:c r="K227" s="60" t="n">
        <x:v>4139.97</x:v>
      </x:c>
      <x:c r="L227" s="60" t="n">
        <x:v>156.36</x:v>
      </x:c>
      <x:c r="M227" s="50" t="n">
        <x:v>128</x:v>
      </x:c>
      <x:c r="N227" s="50" t="n">
        <x:v>12</x:v>
      </x:c>
      <x:c r="O227" s="50" t="n">
        <x:v>120</x:v>
      </x:c>
      <x:c r="P227" s="50" t="n">
        <x:v>23</x:v>
      </x:c>
    </x:row>
    <x:row r="228" ht="36" customHeight="1">
      <x:c r="A228" s="53" t="n">
        <x:v>209</x:v>
      </x:c>
      <x:c r="B228" s="53" t="n">
        <x:v>1</x:v>
      </x:c>
      <x:c r="C228" s="40" t="str">
        <x:v>High-Value Frequent Shoppers</x:v>
      </x:c>
      <x:c r="D228" s="60" t="n">
        <x:v>6876.56</x:v>
      </x:c>
      <x:c r="E228" s="50" t="n">
        <x:v>196</x:v>
      </x:c>
      <x:c r="F228" s="46" t="n">
        <x:v>9.33333333333333</x:v>
      </x:c>
      <x:c r="G228" s="46" t="n">
        <x:v>1</x:v>
      </x:c>
      <x:c r="H228" s="61" t="n">
        <x:v>35.084489795918365</x:v>
      </x:c>
      <x:c r="I228" s="52" t="n">
        <x:v>0.8010204081632653</x:v>
      </x:c>
      <x:c r="J228" s="52" t="n">
        <x:v>0.6043850413578882</x:v>
      </x:c>
      <x:c r="K228" s="60" t="n">
        <x:v>6349.01</x:v>
      </x:c>
      <x:c r="L228" s="60" t="n">
        <x:v>527.55</x:v>
      </x:c>
      <x:c r="M228" s="50" t="n">
        <x:v>157</x:v>
      </x:c>
      <x:c r="N228" s="50" t="n">
        <x:v>39</x:v>
      </x:c>
      <x:c r="O228" s="50" t="n">
        <x:v>142</x:v>
      </x:c>
      <x:c r="P228" s="50" t="n">
        <x:v>21</x:v>
      </x:c>
    </x:row>
    <x:row r="229" ht="36" customHeight="1">
      <x:c r="A229" s="53" t="n">
        <x:v>210</x:v>
      </x:c>
      <x:c r="B229" s="53" t="n">
        <x:v>1</x:v>
      </x:c>
      <x:c r="C229" s="40" t="str">
        <x:v>High-Value Frequent Shoppers</x:v>
      </x:c>
      <x:c r="D229" s="60" t="n">
        <x:v>3772.56</x:v>
      </x:c>
      <x:c r="E229" s="50" t="n">
        <x:v>147</x:v>
      </x:c>
      <x:c r="F229" s="46" t="n">
        <x:v>6.125</x:v>
      </x:c>
      <x:c r="G229" s="46" t="n">
        <x:v>3</x:v>
      </x:c>
      <x:c r="H229" s="61" t="n">
        <x:v>25.66367346938776</x:v>
      </x:c>
      <x:c r="I229" s="52" t="n">
        <x:v>0.8843537414965986</x:v>
      </x:c>
      <x:c r="J229" s="52" t="n">
        <x:v>0.5192071166528829</x:v>
      </x:c>
      <x:c r="K229" s="60" t="n">
        <x:v>3634.56</x:v>
      </x:c>
      <x:c r="L229" s="60" t="n">
        <x:v>138</x:v>
      </x:c>
      <x:c r="M229" s="50" t="n">
        <x:v>130</x:v>
      </x:c>
      <x:c r="N229" s="50" t="n">
        <x:v>17</x:v>
      </x:c>
      <x:c r="O229" s="50" t="n">
        <x:v>152</x:v>
      </x:c>
      <x:c r="P229" s="50" t="n">
        <x:v>24</x:v>
      </x:c>
    </x:row>
    <x:row r="230" ht="36" customHeight="1">
      <x:c r="A230" s="53" t="n">
        <x:v>211</x:v>
      </x:c>
      <x:c r="B230" s="53" t="n">
        <x:v>1</x:v>
      </x:c>
      <x:c r="C230" s="40" t="str">
        <x:v>High-Value Frequent Shoppers</x:v>
      </x:c>
      <x:c r="D230" s="60" t="n">
        <x:v>2244.06</x:v>
      </x:c>
      <x:c r="E230" s="50" t="n">
        <x:v>112</x:v>
      </x:c>
      <x:c r="F230" s="46" t="n">
        <x:v>5.090909090909091</x:v>
      </x:c>
      <x:c r="G230" s="46" t="n">
        <x:v>1</x:v>
      </x:c>
      <x:c r="H230" s="61" t="n">
        <x:v>20.03625</x:v>
      </x:c>
      <x:c r="I230" s="52" t="n">
        <x:v>0.8928571428571428</x:v>
      </x:c>
      <x:c r="J230" s="52" t="n">
        <x:v>0.4514763419872908</x:v>
      </x:c>
      <x:c r="K230" s="60" t="n">
        <x:v>2188.27</x:v>
      </x:c>
      <x:c r="L230" s="60" t="n">
        <x:v>55.79</x:v>
      </x:c>
      <x:c r="M230" s="50" t="n">
        <x:v>100</x:v>
      </x:c>
      <x:c r="N230" s="50" t="n">
        <x:v>12</x:v>
      </x:c>
      <x:c r="O230" s="50" t="n">
        <x:v>90</x:v>
      </x:c>
      <x:c r="P230" s="50" t="n">
        <x:v>22</x:v>
      </x:c>
    </x:row>
    <x:row r="231" ht="36" customHeight="1">
      <x:c r="A231" s="53" t="n">
        <x:v>212</x:v>
      </x:c>
      <x:c r="B231" s="53" t="n">
        <x:v>1</x:v>
      </x:c>
      <x:c r="C231" s="40" t="str">
        <x:v>High-Value Frequent Shoppers</x:v>
      </x:c>
      <x:c r="D231" s="60" t="n">
        <x:v>3052.66</x:v>
      </x:c>
      <x:c r="E231" s="50" t="n">
        <x:v>109</x:v>
      </x:c>
      <x:c r="F231" s="46" t="n">
        <x:v>4.739130434782608</x:v>
      </x:c>
      <x:c r="G231" s="46" t="n">
        <x:v>14</x:v>
      </x:c>
      <x:c r="H231" s="61" t="n">
        <x:v>28.00605504587156</x:v>
      </x:c>
      <x:c r="I231" s="52" t="n">
        <x:v>0.8623853211009174</x:v>
      </x:c>
      <x:c r="J231" s="52" t="n">
        <x:v>0.3934634056855332</x:v>
      </x:c>
      <x:c r="K231" s="60" t="n">
        <x:v>2922.35</x:v>
      </x:c>
      <x:c r="L231" s="60" t="n">
        <x:v>130.31</x:v>
      </x:c>
      <x:c r="M231" s="50" t="n">
        <x:v>94</x:v>
      </x:c>
      <x:c r="N231" s="50" t="n">
        <x:v>15</x:v>
      </x:c>
      <x:c r="O231" s="50" t="n">
        <x:v>164</x:v>
      </x:c>
      <x:c r="P231" s="50" t="n">
        <x:v>23</x:v>
      </x:c>
    </x:row>
    <x:row r="232" ht="36" customHeight="1">
      <x:c r="A232" s="53" t="n">
        <x:v>213</x:v>
      </x:c>
      <x:c r="B232" s="53" t="n">
        <x:v>2</x:v>
      </x:c>
      <x:c r="C232" s="40" t="str">
        <x:v>Large-Basket Occasional Shoppers</x:v>
      </x:c>
      <x:c r="D232" s="60" t="n">
        <x:v>606.5</x:v>
      </x:c>
      <x:c r="E232" s="50" t="n">
        <x:v>9</x:v>
      </x:c>
      <x:c r="F232" s="46" t="n">
        <x:v>1.125</x:v>
      </x:c>
      <x:c r="G232" s="46" t="n">
        <x:v>36</x:v>
      </x:c>
      <x:c r="H232" s="61" t="n">
        <x:v>67.38888888888889</x:v>
      </x:c>
      <x:c r="I232" s="52" t="n">
        <x:v>0.8888888888888888</x:v>
      </x:c>
      <x:c r="J232" s="52" t="n">
        <x:v>0.43919208573784</x:v>
      </x:c>
      <x:c r="K232" s="60" t="n">
        <x:v>605.38</x:v>
      </x:c>
      <x:c r="L232" s="60" t="n">
        <x:v>1.12</x:v>
      </x:c>
      <x:c r="M232" s="50" t="n">
        <x:v>8</x:v>
      </x:c>
      <x:c r="N232" s="50" t="n">
        <x:v>1</x:v>
      </x:c>
      <x:c r="O232" s="50" t="n">
        <x:v>77</x:v>
      </x:c>
      <x:c r="P232" s="50" t="n">
        <x:v>8</x:v>
      </x:c>
    </x:row>
    <x:row r="233" ht="36" customHeight="1">
      <x:c r="A233" s="53" t="n">
        <x:v>214</x:v>
      </x:c>
      <x:c r="B233" s="53" t="n">
        <x:v>2</x:v>
      </x:c>
      <x:c r="C233" s="40" t="str">
        <x:v>Large-Basket Occasional Shoppers</x:v>
      </x:c>
      <x:c r="D233" s="60" t="n">
        <x:v>2657.91</x:v>
      </x:c>
      <x:c r="E233" s="50" t="n">
        <x:v>86</x:v>
      </x:c>
      <x:c r="F233" s="46" t="n">
        <x:v>4.095238095238095</x:v>
      </x:c>
      <x:c r="G233" s="46" t="n">
        <x:v>7</x:v>
      </x:c>
      <x:c r="H233" s="61" t="n">
        <x:v>30.905930232558138</x:v>
      </x:c>
      <x:c r="I233" s="52" t="n">
        <x:v>0.9651162790697674</x:v>
      </x:c>
      <x:c r="J233" s="52" t="n">
        <x:v>0.4703582890316075</x:v>
      </x:c>
      <x:c r="K233" s="60" t="n">
        <x:v>2635.84</x:v>
      </x:c>
      <x:c r="L233" s="60" t="n">
        <x:v>22.07</x:v>
      </x:c>
      <x:c r="M233" s="50" t="n">
        <x:v>83</x:v>
      </x:c>
      <x:c r="N233" s="50" t="n">
        <x:v>3</x:v>
      </x:c>
      <x:c r="O233" s="50" t="n">
        <x:v>115</x:v>
      </x:c>
      <x:c r="P233" s="50" t="n">
        <x:v>21</x:v>
      </x:c>
    </x:row>
    <x:row r="234" ht="36" customHeight="1">
      <x:c r="A234" s="53" t="n">
        <x:v>215</x:v>
      </x:c>
      <x:c r="B234" s="53" t="n">
        <x:v>1</x:v>
      </x:c>
      <x:c r="C234" s="40" t="str">
        <x:v>High-Value Frequent Shoppers</x:v>
      </x:c>
      <x:c r="D234" s="60" t="n">
        <x:v>1672.66</x:v>
      </x:c>
      <x:c r="E234" s="50" t="n">
        <x:v>142</x:v>
      </x:c>
      <x:c r="F234" s="46" t="n">
        <x:v>6.454545454545455</x:v>
      </x:c>
      <x:c r="G234" s="46" t="n">
        <x:v>0</x:v>
      </x:c>
      <x:c r="H234" s="61" t="n">
        <x:v>11.779295774647888</x:v>
      </x:c>
      <x:c r="I234" s="52" t="n">
        <x:v>0.7746478873239436</x:v>
      </x:c>
      <x:c r="J234" s="52" t="n">
        <x:v>0.5480253010175409</x:v>
      </x:c>
      <x:c r="K234" s="60" t="n">
        <x:v>1538.83</x:v>
      </x:c>
      <x:c r="L234" s="60" t="n">
        <x:v>133.83</x:v>
      </x:c>
      <x:c r="M234" s="50" t="n">
        <x:v>110</x:v>
      </x:c>
      <x:c r="N234" s="50" t="n">
        <x:v>32</x:v>
      </x:c>
      <x:c r="O234" s="50" t="n">
        <x:v>123</x:v>
      </x:c>
      <x:c r="P234" s="50" t="n">
        <x:v>22</x:v>
      </x:c>
    </x:row>
    <x:row r="235" ht="36" customHeight="1">
      <x:c r="A235" s="53" t="n">
        <x:v>216</x:v>
      </x:c>
      <x:c r="B235" s="53" t="n">
        <x:v>1</x:v>
      </x:c>
      <x:c r="C235" s="40" t="str">
        <x:v>High-Value Frequent Shoppers</x:v>
      </x:c>
      <x:c r="D235" s="60" t="n">
        <x:v>2624.5</x:v>
      </x:c>
      <x:c r="E235" s="50" t="n">
        <x:v>120</x:v>
      </x:c>
      <x:c r="F235" s="46" t="n">
        <x:v>5.217391304347825</x:v>
      </x:c>
      <x:c r="G235" s="46" t="n">
        <x:v>0</x:v>
      </x:c>
      <x:c r="H235" s="61" t="n">
        <x:v>21.870833333333334</x:v>
      </x:c>
      <x:c r="I235" s="52" t="n">
        <x:v>0.7416666666666666</x:v>
      </x:c>
      <x:c r="J235" s="52" t="n">
        <x:v>0.313202514764717</x:v>
      </x:c>
      <x:c r="K235" s="60" t="n">
        <x:v>2203.99</x:v>
      </x:c>
      <x:c r="L235" s="60" t="n">
        <x:v>420.51</x:v>
      </x:c>
      <x:c r="M235" s="50" t="n">
        <x:v>89</x:v>
      </x:c>
      <x:c r="N235" s="50" t="n">
        <x:v>31</x:v>
      </x:c>
      <x:c r="O235" s="50" t="n">
        <x:v>122</x:v>
      </x:c>
      <x:c r="P235" s="50" t="n">
        <x:v>23</x:v>
      </x:c>
    </x:row>
    <x:row r="236" ht="36" customHeight="1">
      <x:c r="A236" s="53" t="n">
        <x:v>217</x:v>
      </x:c>
      <x:c r="B236" s="53" t="n">
        <x:v>2</x:v>
      </x:c>
      <x:c r="C236" s="40" t="str">
        <x:v>Large-Basket Occasional Shoppers</x:v>
      </x:c>
      <x:c r="D236" s="60" t="n">
        <x:v>2435.12</x:v>
      </x:c>
      <x:c r="E236" s="50" t="n">
        <x:v>64</x:v>
      </x:c>
      <x:c r="F236" s="46" t="n">
        <x:v>3.3684210526315788</x:v>
      </x:c>
      <x:c r="G236" s="46" t="n">
        <x:v>20</x:v>
      </x:c>
      <x:c r="H236" s="61" t="n">
        <x:v>38.04875</x:v>
      </x:c>
      <x:c r="I236" s="52" t="n">
        <x:v>0.953125</x:v>
      </x:c>
      <x:c r="J236" s="52" t="n">
        <x:v>0.6261744801077564</x:v>
      </x:c>
      <x:c r="K236" s="60" t="n">
        <x:v>2423.25</x:v>
      </x:c>
      <x:c r="L236" s="60" t="n">
        <x:v>11.87</x:v>
      </x:c>
      <x:c r="M236" s="50" t="n">
        <x:v>61</x:v>
      </x:c>
      <x:c r="N236" s="50" t="n">
        <x:v>3</x:v>
      </x:c>
      <x:c r="O236" s="50" t="n">
        <x:v>134</x:v>
      </x:c>
      <x:c r="P236" s="50" t="n">
        <x:v>19</x:v>
      </x:c>
    </x:row>
    <x:row r="237" ht="36" customHeight="1">
      <x:c r="A237" s="53" t="n">
        <x:v>218</x:v>
      </x:c>
      <x:c r="B237" s="53" t="n">
        <x:v>1</x:v>
      </x:c>
      <x:c r="C237" s="40" t="str">
        <x:v>High-Value Frequent Shoppers</x:v>
      </x:c>
      <x:c r="D237" s="60" t="n">
        <x:v>9211.72</x:v>
      </x:c>
      <x:c r="E237" s="50" t="n">
        <x:v>164</x:v>
      </x:c>
      <x:c r="F237" s="46" t="n">
        <x:v>7.809523809523809</x:v>
      </x:c>
      <x:c r="G237" s="46" t="n">
        <x:v>0</x:v>
      </x:c>
      <x:c r="H237" s="61" t="n">
        <x:v>56.16902439024391</x:v>
      </x:c>
      <x:c r="I237" s="52" t="n">
        <x:v>0.9390243902439024</x:v>
      </x:c>
      <x:c r="J237" s="52" t="n">
        <x:v>0.5449427468485798</x:v>
      </x:c>
      <x:c r="K237" s="60" t="n">
        <x:v>9008.29</x:v>
      </x:c>
      <x:c r="L237" s="60" t="n">
        <x:v>203.43</x:v>
      </x:c>
      <x:c r="M237" s="50" t="n">
        <x:v>154</x:v>
      </x:c>
      <x:c r="N237" s="50" t="n">
        <x:v>10</x:v>
      </x:c>
      <x:c r="O237" s="50" t="n">
        <x:v>168</x:v>
      </x:c>
      <x:c r="P237" s="50" t="n">
        <x:v>21</x:v>
      </x:c>
    </x:row>
    <x:row r="238" ht="36" customHeight="1">
      <x:c r="A238" s="53" t="n">
        <x:v>219</x:v>
      </x:c>
      <x:c r="B238" s="53" t="n">
        <x:v>1</x:v>
      </x:c>
      <x:c r="C238" s="40" t="str">
        <x:v>High-Value Frequent Shoppers</x:v>
      </x:c>
      <x:c r="D238" s="60" t="n">
        <x:v>11884.79</x:v>
      </x:c>
      <x:c r="E238" s="50" t="n">
        <x:v>228</x:v>
      </x:c>
      <x:c r="F238" s="46" t="n">
        <x:v>9.913043478260867</x:v>
      </x:c>
      <x:c r="G238" s="46" t="n">
        <x:v>2</x:v>
      </x:c>
      <x:c r="H238" s="61" t="n">
        <x:v>52.12627192982456</x:v>
      </x:c>
      <x:c r="I238" s="52" t="n">
        <x:v>0.8991228070175438</x:v>
      </x:c>
      <x:c r="J238" s="52" t="n">
        <x:v>0.371580818844927</x:v>
      </x:c>
      <x:c r="K238" s="60" t="n">
        <x:v>11446.23</x:v>
      </x:c>
      <x:c r="L238" s="60" t="n">
        <x:v>438.56</x:v>
      </x:c>
      <x:c r="M238" s="50" t="n">
        <x:v>205</x:v>
      </x:c>
      <x:c r="N238" s="50" t="n">
        <x:v>23</x:v>
      </x:c>
      <x:c r="O238" s="50" t="n">
        <x:v>192</x:v>
      </x:c>
      <x:c r="P238" s="50" t="n">
        <x:v>23</x:v>
      </x:c>
    </x:row>
    <x:row r="239" ht="36" customHeight="1">
      <x:c r="A239" s="53" t="n">
        <x:v>220</x:v>
      </x:c>
      <x:c r="B239" s="53" t="n">
        <x:v>2</x:v>
      </x:c>
      <x:c r="C239" s="40" t="str">
        <x:v>Large-Basket Occasional Shoppers</x:v>
      </x:c>
      <x:c r="D239" s="60" t="n">
        <x:v>2525.24</x:v>
      </x:c>
      <x:c r="E239" s="50" t="n">
        <x:v>91</x:v>
      </x:c>
      <x:c r="F239" s="46" t="n">
        <x:v>4.333333333333333</x:v>
      </x:c>
      <x:c r="G239" s="46" t="n">
        <x:v>32</x:v>
      </x:c>
      <x:c r="H239" s="61" t="n">
        <x:v>27.749890109890107</x:v>
      </x:c>
      <x:c r="I239" s="52" t="n">
        <x:v>0.967032967032967</x:v>
      </x:c>
      <x:c r="J239" s="52" t="n">
        <x:v>0.6263919469040566</x:v>
      </x:c>
      <x:c r="K239" s="60" t="n">
        <x:v>2441.14</x:v>
      </x:c>
      <x:c r="L239" s="60" t="n">
        <x:v>84.1</x:v>
      </x:c>
      <x:c r="M239" s="50" t="n">
        <x:v>88</x:v>
      </x:c>
      <x:c r="N239" s="50" t="n">
        <x:v>3</x:v>
      </x:c>
      <x:c r="O239" s="50" t="n">
        <x:v>127</x:v>
      </x:c>
      <x:c r="P239" s="50" t="n">
        <x:v>21</x:v>
      </x:c>
    </x:row>
    <x:row r="240" ht="36" customHeight="1">
      <x:c r="A240" s="53" t="n">
        <x:v>221</x:v>
      </x:c>
      <x:c r="B240" s="53" t="n">
        <x:v>2</x:v>
      </x:c>
      <x:c r="C240" s="40" t="str">
        <x:v>Large-Basket Occasional Shoppers</x:v>
      </x:c>
      <x:c r="D240" s="60" t="n">
        <x:v>2879.29</x:v>
      </x:c>
      <x:c r="E240" s="50" t="n">
        <x:v>79</x:v>
      </x:c>
      <x:c r="F240" s="46" t="n">
        <x:v>3.95</x:v>
      </x:c>
      <x:c r="G240" s="46" t="n">
        <x:v>16</x:v>
      </x:c>
      <x:c r="H240" s="61" t="n">
        <x:v>36.446708860759486</x:v>
      </x:c>
      <x:c r="I240" s="52" t="n">
        <x:v>0.9873417721518988</x:v>
      </x:c>
      <x:c r="J240" s="52" t="n">
        <x:v>0.57336009919112</x:v>
      </x:c>
      <x:c r="K240" s="60" t="n">
        <x:v>2872.8</x:v>
      </x:c>
      <x:c r="L240" s="60" t="n">
        <x:v>6.49</x:v>
      </x:c>
      <x:c r="M240" s="50" t="n">
        <x:v>78</x:v>
      </x:c>
      <x:c r="N240" s="50" t="n">
        <x:v>1</x:v>
      </x:c>
      <x:c r="O240" s="50" t="n">
        <x:v>100</x:v>
      </x:c>
      <x:c r="P240" s="50" t="n">
        <x:v>20</x:v>
      </x:c>
    </x:row>
    <x:row r="241" ht="36" customHeight="1">
      <x:c r="A241" s="53" t="n">
        <x:v>222</x:v>
      </x:c>
      <x:c r="B241" s="53" t="n">
        <x:v>1</x:v>
      </x:c>
      <x:c r="C241" s="40" t="str">
        <x:v>High-Value Frequent Shoppers</x:v>
      </x:c>
      <x:c r="D241" s="60" t="n">
        <x:v>5897.9</x:v>
      </x:c>
      <x:c r="E241" s="50" t="n">
        <x:v>130</x:v>
      </x:c>
      <x:c r="F241" s="46" t="n">
        <x:v>5.652173913043479</x:v>
      </x:c>
      <x:c r="G241" s="46" t="n">
        <x:v>2</x:v>
      </x:c>
      <x:c r="H241" s="61" t="n">
        <x:v>45.36846153846154</x:v>
      </x:c>
      <x:c r="I241" s="52" t="n">
        <x:v>0.9307692307692308</x:v>
      </x:c>
      <x:c r="J241" s="52" t="n">
        <x:v>0.401303853914105</x:v>
      </x:c>
      <x:c r="K241" s="60" t="n">
        <x:v>5733.15</x:v>
      </x:c>
      <x:c r="L241" s="60" t="n">
        <x:v>164.75</x:v>
      </x:c>
      <x:c r="M241" s="50" t="n">
        <x:v>121</x:v>
      </x:c>
      <x:c r="N241" s="50" t="n">
        <x:v>9</x:v>
      </x:c>
      <x:c r="O241" s="50" t="n">
        <x:v>145</x:v>
      </x:c>
      <x:c r="P241" s="50" t="n">
        <x:v>23</x:v>
      </x:c>
    </x:row>
    <x:row r="242" ht="36" customHeight="1">
      <x:c r="A242" s="53" t="n">
        <x:v>223</x:v>
      </x:c>
      <x:c r="B242" s="53" t="n">
        <x:v>2</x:v>
      </x:c>
      <x:c r="C242" s="40" t="str">
        <x:v>Large-Basket Occasional Shoppers</x:v>
      </x:c>
      <x:c r="D242" s="60" t="n">
        <x:v>2738.98</x:v>
      </x:c>
      <x:c r="E242" s="50" t="n">
        <x:v>118</x:v>
      </x:c>
      <x:c r="F242" s="46" t="n">
        <x:v>5.130434782608696</x:v>
      </x:c>
      <x:c r="G242" s="46" t="n">
        <x:v>13</x:v>
      </x:c>
      <x:c r="H242" s="61" t="n">
        <x:v>23.21169491525424</x:v>
      </x:c>
      <x:c r="I242" s="52" t="n">
        <x:v>0.8559322033898304</x:v>
      </x:c>
      <x:c r="J242" s="52" t="n">
        <x:v>0.5412306771133779</x:v>
      </x:c>
      <x:c r="K242" s="60" t="n">
        <x:v>2586.84</x:v>
      </x:c>
      <x:c r="L242" s="60" t="n">
        <x:v>152.14</x:v>
      </x:c>
      <x:c r="M242" s="50" t="n">
        <x:v>101</x:v>
      </x:c>
      <x:c r="N242" s="50" t="n">
        <x:v>17</x:v>
      </x:c>
      <x:c r="O242" s="50" t="n">
        <x:v>130</x:v>
      </x:c>
      <x:c r="P242" s="50" t="n">
        <x:v>23</x:v>
      </x:c>
    </x:row>
    <x:row r="243" ht="36" customHeight="1">
      <x:c r="A243" s="53" t="n">
        <x:v>224</x:v>
      </x:c>
      <x:c r="B243" s="53" t="n">
        <x:v>2</x:v>
      </x:c>
      <x:c r="C243" s="40" t="str">
        <x:v>Large-Basket Occasional Shoppers</x:v>
      </x:c>
      <x:c r="D243" s="60" t="n">
        <x:v>1600.8</x:v>
      </x:c>
      <x:c r="E243" s="50" t="n">
        <x:v>56</x:v>
      </x:c>
      <x:c r="F243" s="46" t="n">
        <x:v>3.5</x:v>
      </x:c>
      <x:c r="G243" s="46" t="n">
        <x:v>5</x:v>
      </x:c>
      <x:c r="H243" s="61" t="n">
        <x:v>28.585714285714285</x:v>
      </x:c>
      <x:c r="I243" s="52" t="n">
        <x:v>0.9642857142857142</x:v>
      </x:c>
      <x:c r="J243" s="52" t="n">
        <x:v>0.6284045477261369</x:v>
      </x:c>
      <x:c r="K243" s="60" t="n">
        <x:v>1590.76</x:v>
      </x:c>
      <x:c r="L243" s="60" t="n">
        <x:v>10.04</x:v>
      </x:c>
      <x:c r="M243" s="50" t="n">
        <x:v>54</x:v>
      </x:c>
      <x:c r="N243" s="50" t="n">
        <x:v>2</x:v>
      </x:c>
      <x:c r="O243" s="50" t="n">
        <x:v>105</x:v>
      </x:c>
      <x:c r="P243" s="50" t="n">
        <x:v>16</x:v>
      </x:c>
    </x:row>
    <x:row r="244" ht="36" customHeight="1">
      <x:c r="A244" s="53" t="n">
        <x:v>225</x:v>
      </x:c>
      <x:c r="B244" s="53" t="n">
        <x:v>3</x:v>
      </x:c>
      <x:c r="C244" s="40" t="str">
        <x:v>Low-Value Low-Engagement Shoppers</x:v>
      </x:c>
      <x:c r="D244" s="60" t="n">
        <x:v>729.82</x:v>
      </x:c>
      <x:c r="E244" s="50" t="n">
        <x:v>44</x:v>
      </x:c>
      <x:c r="F244" s="46" t="n">
        <x:v>2.2</x:v>
      </x:c>
      <x:c r="G244" s="46" t="n">
        <x:v>37</x:v>
      </x:c>
      <x:c r="H244" s="61" t="n">
        <x:v>16.58681818181818</x:v>
      </x:c>
      <x:c r="I244" s="52" t="n">
        <x:v>0.8863636363636364</x:v>
      </x:c>
      <x:c r="J244" s="52" t="n">
        <x:v>0.4986297991285522</x:v>
      </x:c>
      <x:c r="K244" s="60" t="n">
        <x:v>708.28</x:v>
      </x:c>
      <x:c r="L244" s="60" t="n">
        <x:v>21.54</x:v>
      </x:c>
      <x:c r="M244" s="50" t="n">
        <x:v>39</x:v>
      </x:c>
      <x:c r="N244" s="50" t="n">
        <x:v>5</x:v>
      </x:c>
      <x:c r="O244" s="50" t="n">
        <x:v>84</x:v>
      </x:c>
      <x:c r="P244" s="50" t="n">
        <x:v>20</x:v>
      </x:c>
    </x:row>
    <x:row r="245" ht="36" customHeight="1">
      <x:c r="A245" s="53" t="n">
        <x:v>226</x:v>
      </x:c>
      <x:c r="B245" s="53" t="n">
        <x:v>2</x:v>
      </x:c>
      <x:c r="C245" s="40" t="str">
        <x:v>Large-Basket Occasional Shoppers</x:v>
      </x:c>
      <x:c r="D245" s="60" t="n">
        <x:v>1205.06</x:v>
      </x:c>
      <x:c r="E245" s="50" t="n">
        <x:v>50</x:v>
      </x:c>
      <x:c r="F245" s="46" t="n">
        <x:v>3.125</x:v>
      </x:c>
      <x:c r="G245" s="46" t="n">
        <x:v>43</x:v>
      </x:c>
      <x:c r="H245" s="61" t="n">
        <x:v>24.1012</x:v>
      </x:c>
      <x:c r="I245" s="52" t="n">
        <x:v>0.84</x:v>
      </x:c>
      <x:c r="J245" s="52" t="n">
        <x:v>0.6333294607737374</x:v>
      </x:c>
      <x:c r="K245" s="60" t="n">
        <x:v>1169.91</x:v>
      </x:c>
      <x:c r="L245" s="60" t="n">
        <x:v>35.15</x:v>
      </x:c>
      <x:c r="M245" s="50" t="n">
        <x:v>42</x:v>
      </x:c>
      <x:c r="N245" s="50" t="n">
        <x:v>8</x:v>
      </x:c>
      <x:c r="O245" s="50" t="n">
        <x:v>91</x:v>
      </x:c>
      <x:c r="P245" s="50" t="n">
        <x:v>16</x:v>
      </x:c>
    </x:row>
    <x:row r="246" ht="36" customHeight="1">
      <x:c r="A246" s="53" t="n">
        <x:v>227</x:v>
      </x:c>
      <x:c r="B246" s="53" t="n">
        <x:v>3</x:v>
      </x:c>
      <x:c r="C246" s="40" t="str">
        <x:v>Low-Value Low-Engagement Shoppers</x:v>
      </x:c>
      <x:c r="D246" s="60" t="n">
        <x:v>1390.25</x:v>
      </x:c>
      <x:c r="E246" s="50" t="n">
        <x:v>135</x:v>
      </x:c>
      <x:c r="F246" s="46" t="n">
        <x:v>5.869565217391304</x:v>
      </x:c>
      <x:c r="G246" s="46" t="n">
        <x:v>6</x:v>
      </x:c>
      <x:c r="H246" s="61" t="n">
        <x:v>10.298148148148147</x:v>
      </x:c>
      <x:c r="I246" s="52" t="n">
        <x:v>0.8666666666666666</x:v>
      </x:c>
      <x:c r="J246" s="52" t="n">
        <x:v>0.7856500629383204</x:v>
      </x:c>
      <x:c r="K246" s="60" t="n">
        <x:v>1363.63</x:v>
      </x:c>
      <x:c r="L246" s="60" t="n">
        <x:v>26.62</x:v>
      </x:c>
      <x:c r="M246" s="50" t="n">
        <x:v>117</x:v>
      </x:c>
      <x:c r="N246" s="50" t="n">
        <x:v>18</x:v>
      </x:c>
      <x:c r="O246" s="50" t="n">
        <x:v>39</x:v>
      </x:c>
      <x:c r="P246" s="50" t="n">
        <x:v>23</x:v>
      </x:c>
    </x:row>
    <x:row r="247" ht="36" customHeight="1">
      <x:c r="A247" s="53" t="n">
        <x:v>228</x:v>
      </x:c>
      <x:c r="B247" s="53" t="n">
        <x:v>2</x:v>
      </x:c>
      <x:c r="C247" s="40" t="str">
        <x:v>Large-Basket Occasional Shoppers</x:v>
      </x:c>
      <x:c r="D247" s="60" t="n">
        <x:v>2404.81</x:v>
      </x:c>
      <x:c r="E247" s="50" t="n">
        <x:v>87</x:v>
      </x:c>
      <x:c r="F247" s="46" t="n">
        <x:v>3.954545454545455</x:v>
      </x:c>
      <x:c r="G247" s="46" t="n">
        <x:v>4</x:v>
      </x:c>
      <x:c r="H247" s="61" t="n">
        <x:v>27.641494252873564</x:v>
      </x:c>
      <x:c r="I247" s="52" t="n">
        <x:v>0.8850574712643678</x:v>
      </x:c>
      <x:c r="J247" s="52" t="n">
        <x:v>0.5651382021864513</x:v>
      </x:c>
      <x:c r="K247" s="60" t="n">
        <x:v>2228.97</x:v>
      </x:c>
      <x:c r="L247" s="60" t="n">
        <x:v>175.84</x:v>
      </x:c>
      <x:c r="M247" s="50" t="n">
        <x:v>77</x:v>
      </x:c>
      <x:c r="N247" s="50" t="n">
        <x:v>10</x:v>
      </x:c>
      <x:c r="O247" s="50" t="n">
        <x:v>131</x:v>
      </x:c>
      <x:c r="P247" s="50" t="n">
        <x:v>22</x:v>
      </x:c>
    </x:row>
    <x:row r="248" ht="36" customHeight="1">
      <x:c r="A248" s="53" t="n">
        <x:v>229</x:v>
      </x:c>
      <x:c r="B248" s="53" t="n">
        <x:v>2</x:v>
      </x:c>
      <x:c r="C248" s="40" t="str">
        <x:v>Large-Basket Occasional Shoppers</x:v>
      </x:c>
      <x:c r="D248" s="60" t="n">
        <x:v>1004.89</x:v>
      </x:c>
      <x:c r="E248" s="50" t="n">
        <x:v>40</x:v>
      </x:c>
      <x:c r="F248" s="46" t="n">
        <x:v>2.2222222222222223</x:v>
      </x:c>
      <x:c r="G248" s="46" t="n">
        <x:v>19</x:v>
      </x:c>
      <x:c r="H248" s="61" t="n">
        <x:v>25.12225</x:v>
      </x:c>
      <x:c r="I248" s="52" t="n">
        <x:v>0.825</x:v>
      </x:c>
      <x:c r="J248" s="52" t="n">
        <x:v>0.6372737314531938</x:v>
      </x:c>
      <x:c r="K248" s="60" t="n">
        <x:v>947.07</x:v>
      </x:c>
      <x:c r="L248" s="60" t="n">
        <x:v>57.82</x:v>
      </x:c>
      <x:c r="M248" s="50" t="n">
        <x:v>33</x:v>
      </x:c>
      <x:c r="N248" s="50" t="n">
        <x:v>7</x:v>
      </x:c>
      <x:c r="O248" s="50" t="n">
        <x:v>90</x:v>
      </x:c>
      <x:c r="P248" s="50" t="n">
        <x:v>18</x:v>
      </x:c>
    </x:row>
    <x:row r="249" ht="36" customHeight="1">
      <x:c r="A249" s="53" t="n">
        <x:v>230</x:v>
      </x:c>
      <x:c r="B249" s="53" t="n">
        <x:v>1</x:v>
      </x:c>
      <x:c r="C249" s="40" t="str">
        <x:v>High-Value Frequent Shoppers</x:v>
      </x:c>
      <x:c r="D249" s="60" t="n">
        <x:v>4521.01</x:v>
      </x:c>
      <x:c r="E249" s="50" t="n">
        <x:v>167</x:v>
      </x:c>
      <x:c r="F249" s="46" t="n">
        <x:v>7.952380952380952</x:v>
      </x:c>
      <x:c r="G249" s="46" t="n">
        <x:v>0</x:v>
      </x:c>
      <x:c r="H249" s="61" t="n">
        <x:v>27.07191616766467</x:v>
      </x:c>
      <x:c r="I249" s="52" t="n">
        <x:v>0.904191616766467</x:v>
      </x:c>
      <x:c r="J249" s="52" t="n">
        <x:v>0.5643362876879281</x:v>
      </x:c>
      <x:c r="K249" s="60" t="n">
        <x:v>4436.1</x:v>
      </x:c>
      <x:c r="L249" s="60" t="n">
        <x:v>84.91</x:v>
      </x:c>
      <x:c r="M249" s="50" t="n">
        <x:v>151</x:v>
      </x:c>
      <x:c r="N249" s="50" t="n">
        <x:v>16</x:v>
      </x:c>
      <x:c r="O249" s="50" t="n">
        <x:v>137</x:v>
      </x:c>
      <x:c r="P249" s="50" t="n">
        <x:v>21</x:v>
      </x:c>
    </x:row>
    <x:row r="250" ht="36" customHeight="1">
      <x:c r="A250" s="53" t="n">
        <x:v>231</x:v>
      </x:c>
      <x:c r="B250" s="53" t="n">
        <x:v>2</x:v>
      </x:c>
      <x:c r="C250" s="40" t="str">
        <x:v>Large-Basket Occasional Shoppers</x:v>
      </x:c>
      <x:c r="D250" s="60" t="n">
        <x:v>325.68</x:v>
      </x:c>
      <x:c r="E250" s="50" t="n">
        <x:v>9</x:v>
      </x:c>
      <x:c r="F250" s="46" t="n">
        <x:v>1.8</x:v>
      </x:c>
      <x:c r="G250" s="46" t="n">
        <x:v>258</x:v>
      </x:c>
      <x:c r="H250" s="61" t="n">
        <x:v>36.18666666666667</x:v>
      </x:c>
      <x:c r="I250" s="52" t="n">
        <x:v>1</x:v>
      </x:c>
      <x:c r="J250" s="52" t="n">
        <x:v>0.7581675264062883</x:v>
      </x:c>
      <x:c r="K250" s="60" t="n">
        <x:v>325.68</x:v>
      </x:c>
      <x:c r="L250" s="60" t="n">
        <x:v>0</x:v>
      </x:c>
      <x:c r="M250" s="50" t="n">
        <x:v>9</x:v>
      </x:c>
      <x:c r="N250" s="50" t="n">
        <x:v>0</x:v>
      </x:c>
      <x:c r="O250" s="50" t="n">
        <x:v>46</x:v>
      </x:c>
      <x:c r="P250" s="50" t="n">
        <x:v>5</x:v>
      </x:c>
    </x:row>
    <x:row r="251" ht="36" customHeight="1">
      <x:c r="A251" s="53" t="n">
        <x:v>232</x:v>
      </x:c>
      <x:c r="B251" s="53" t="n">
        <x:v>1</x:v>
      </x:c>
      <x:c r="C251" s="40" t="str">
        <x:v>High-Value Frequent Shoppers</x:v>
      </x:c>
      <x:c r="D251" s="60" t="n">
        <x:v>12695.57</x:v>
      </x:c>
      <x:c r="E251" s="50" t="n">
        <x:v>628</x:v>
      </x:c>
      <x:c r="F251" s="46" t="n">
        <x:v>29.904761904761905</x:v>
      </x:c>
      <x:c r="G251" s="46" t="n">
        <x:v>39</x:v>
      </x:c>
      <x:c r="H251" s="61" t="n">
        <x:v>20.215875796178345</x:v>
      </x:c>
      <x:c r="I251" s="52" t="n">
        <x:v>0.7181528662420382</x:v>
      </x:c>
      <x:c r="J251" s="52" t="n">
        <x:v>0.5971382143535107</x:v>
      </x:c>
      <x:c r="K251" s="60" t="n">
        <x:v>11334.32</x:v>
      </x:c>
      <x:c r="L251" s="60" t="n">
        <x:v>1361.25</x:v>
      </x:c>
      <x:c r="M251" s="50" t="n">
        <x:v>451</x:v>
      </x:c>
      <x:c r="N251" s="50" t="n">
        <x:v>177</x:v>
      </x:c>
      <x:c r="O251" s="50" t="n">
        <x:v>207</x:v>
      </x:c>
      <x:c r="P251" s="50" t="n">
        <x:v>21</x:v>
      </x:c>
    </x:row>
    <x:row r="252" ht="36" customHeight="1">
      <x:c r="A252" s="53" t="n">
        <x:v>233</x:v>
      </x:c>
      <x:c r="B252" s="53" t="n">
        <x:v>2</x:v>
      </x:c>
      <x:c r="C252" s="40" t="str">
        <x:v>Large-Basket Occasional Shoppers</x:v>
      </x:c>
      <x:c r="D252" s="60" t="n">
        <x:v>645.39</x:v>
      </x:c>
      <x:c r="E252" s="50" t="n">
        <x:v>15</x:v>
      </x:c>
      <x:c r="F252" s="46" t="n">
        <x:v>1.875</x:v>
      </x:c>
      <x:c r="G252" s="46" t="n">
        <x:v>15</x:v>
      </x:c>
      <x:c r="H252" s="61" t="n">
        <x:v>43.026</x:v>
      </x:c>
      <x:c r="I252" s="52" t="n">
        <x:v>0.9333333333333332</x:v>
      </x:c>
      <x:c r="J252" s="52" t="n">
        <x:v>0.5302840143169246</x:v>
      </x:c>
      <x:c r="K252" s="60" t="n">
        <x:v>636.9</x:v>
      </x:c>
      <x:c r="L252" s="60" t="n">
        <x:v>8.49</x:v>
      </x:c>
      <x:c r="M252" s="50" t="n">
        <x:v>14</x:v>
      </x:c>
      <x:c r="N252" s="50" t="n">
        <x:v>1</x:v>
      </x:c>
      <x:c r="O252" s="50" t="n">
        <x:v>51</x:v>
      </x:c>
      <x:c r="P252" s="50" t="n">
        <x:v>8</x:v>
      </x:c>
    </x:row>
    <x:row r="253" ht="36" customHeight="1">
      <x:c r="A253" s="53" t="n">
        <x:v>234</x:v>
      </x:c>
      <x:c r="B253" s="53" t="n">
        <x:v>3</x:v>
      </x:c>
      <x:c r="C253" s="40" t="str">
        <x:v>Low-Value Low-Engagement Shoppers</x:v>
      </x:c>
      <x:c r="D253" s="60" t="n">
        <x:v>260.64</x:v>
      </x:c>
      <x:c r="E253" s="50" t="n">
        <x:v>19</x:v>
      </x:c>
      <x:c r="F253" s="46" t="n">
        <x:v>2.375</x:v>
      </x:c>
      <x:c r="G253" s="46" t="n">
        <x:v>15</x:v>
      </x:c>
      <x:c r="H253" s="61" t="n">
        <x:v>13.717894736842103</x:v>
      </x:c>
      <x:c r="I253" s="52" t="n">
        <x:v>0.9473684210526316</x:v>
      </x:c>
      <x:c r="J253" s="52" t="n">
        <x:v>0.5011510128913443</x:v>
      </x:c>
      <x:c r="K253" s="60" t="n">
        <x:v>253.93</x:v>
      </x:c>
      <x:c r="L253" s="60" t="n">
        <x:v>6.71</x:v>
      </x:c>
      <x:c r="M253" s="50" t="n">
        <x:v>18</x:v>
      </x:c>
      <x:c r="N253" s="50" t="n">
        <x:v>1</x:v>
      </x:c>
      <x:c r="O253" s="50" t="n">
        <x:v>47</x:v>
      </x:c>
      <x:c r="P253" s="50" t="n">
        <x:v>8</x:v>
      </x:c>
    </x:row>
    <x:row r="254" ht="36" customHeight="1">
      <x:c r="A254" s="53" t="n">
        <x:v>235</x:v>
      </x:c>
      <x:c r="B254" s="53" t="n">
        <x:v>1</x:v>
      </x:c>
      <x:c r="C254" s="40" t="str">
        <x:v>High-Value Frequent Shoppers</x:v>
      </x:c>
      <x:c r="D254" s="60" t="n">
        <x:v>12156.64</x:v>
      </x:c>
      <x:c r="E254" s="50" t="n">
        <x:v>200</x:v>
      </x:c>
      <x:c r="F254" s="46" t="n">
        <x:v>8.333333333333332</x:v>
      </x:c>
      <x:c r="G254" s="46" t="n">
        <x:v>3</x:v>
      </x:c>
      <x:c r="H254" s="61" t="n">
        <x:v>60.7832</x:v>
      </x:c>
      <x:c r="I254" s="52" t="n">
        <x:v>0.855</x:v>
      </x:c>
      <x:c r="J254" s="52" t="n">
        <x:v>0.3913696547730293</x:v>
      </x:c>
      <x:c r="K254" s="60" t="n">
        <x:v>11577.93</x:v>
      </x:c>
      <x:c r="L254" s="60" t="n">
        <x:v>578.71</x:v>
      </x:c>
      <x:c r="M254" s="50" t="n">
        <x:v>171</x:v>
      </x:c>
      <x:c r="N254" s="50" t="n">
        <x:v>29</x:v>
      </x:c>
      <x:c r="O254" s="50" t="n">
        <x:v>195</x:v>
      </x:c>
      <x:c r="P254" s="50" t="n">
        <x:v>24</x:v>
      </x:c>
    </x:row>
    <x:row r="255" ht="36" customHeight="1">
      <x:c r="A255" s="53" t="n">
        <x:v>236</x:v>
      </x:c>
      <x:c r="B255" s="53" t="n">
        <x:v>2</x:v>
      </x:c>
      <x:c r="C255" s="40" t="str">
        <x:v>Large-Basket Occasional Shoppers</x:v>
      </x:c>
      <x:c r="D255" s="60" t="n">
        <x:v>1591.78</x:v>
      </x:c>
      <x:c r="E255" s="50" t="n">
        <x:v>47</x:v>
      </x:c>
      <x:c r="F255" s="46" t="n">
        <x:v>2.35</x:v>
      </x:c>
      <x:c r="G255" s="46" t="n">
        <x:v>3</x:v>
      </x:c>
      <x:c r="H255" s="61" t="n">
        <x:v>33.867659574468085</x:v>
      </x:c>
      <x:c r="I255" s="52" t="n">
        <x:v>0.8723404255319148</x:v>
      </x:c>
      <x:c r="J255" s="52" t="n">
        <x:v>0.6055610699971101</x:v>
      </x:c>
      <x:c r="K255" s="60" t="n">
        <x:v>1552.21</x:v>
      </x:c>
      <x:c r="L255" s="60" t="n">
        <x:v>39.57</x:v>
      </x:c>
      <x:c r="M255" s="50" t="n">
        <x:v>41</x:v>
      </x:c>
      <x:c r="N255" s="50" t="n">
        <x:v>6</x:v>
      </x:c>
      <x:c r="O255" s="50" t="n">
        <x:v>120</x:v>
      </x:c>
      <x:c r="P255" s="50" t="n">
        <x:v>20</x:v>
      </x:c>
    </x:row>
    <x:row r="256" ht="36" customHeight="1">
      <x:c r="A256" s="53" t="n">
        <x:v>237</x:v>
      </x:c>
      <x:c r="B256" s="53" t="n">
        <x:v>2</x:v>
      </x:c>
      <x:c r="C256" s="40" t="str">
        <x:v>Large-Basket Occasional Shoppers</x:v>
      </x:c>
      <x:c r="D256" s="60" t="n">
        <x:v>549.59</x:v>
      </x:c>
      <x:c r="E256" s="50" t="n">
        <x:v>6</x:v>
      </x:c>
      <x:c r="F256" s="46" t="n">
        <x:v>1</x:v>
      </x:c>
      <x:c r="G256" s="46" t="n">
        <x:v>57</x:v>
      </x:c>
      <x:c r="H256" s="61" t="n">
        <x:v>91.59833333333331</x:v>
      </x:c>
      <x:c r="I256" s="52" t="n">
        <x:v>1</x:v>
      </x:c>
      <x:c r="J256" s="52" t="n">
        <x:v>0.4832329554759002</x:v>
      </x:c>
      <x:c r="K256" s="60" t="n">
        <x:v>549.59</x:v>
      </x:c>
      <x:c r="L256" s="60" t="n">
        <x:v>0</x:v>
      </x:c>
      <x:c r="M256" s="50" t="n">
        <x:v>6</x:v>
      </x:c>
      <x:c r="N256" s="50" t="n">
        <x:v>0</x:v>
      </x:c>
      <x:c r="O256" s="50" t="n">
        <x:v>68</x:v>
      </x:c>
      <x:c r="P256" s="50" t="n">
        <x:v>6</x:v>
      </x:c>
    </x:row>
    <x:row r="257" ht="36" customHeight="1">
      <x:c r="A257" s="53" t="n">
        <x:v>238</x:v>
      </x:c>
      <x:c r="B257" s="53" t="n">
        <x:v>3</x:v>
      </x:c>
      <x:c r="C257" s="40" t="str">
        <x:v>Low-Value Low-Engagement Shoppers</x:v>
      </x:c>
      <x:c r="D257" s="60" t="n">
        <x:v>693.4</x:v>
      </x:c>
      <x:c r="E257" s="50" t="n">
        <x:v>28</x:v>
      </x:c>
      <x:c r="F257" s="46" t="n">
        <x:v>1.75</x:v>
      </x:c>
      <x:c r="G257" s="46" t="n">
        <x:v>59</x:v>
      </x:c>
      <x:c r="H257" s="61" t="n">
        <x:v>24.76428571428572</x:v>
      </x:c>
      <x:c r="I257" s="52" t="n">
        <x:v>0.6428571428571428</x:v>
      </x:c>
      <x:c r="J257" s="52" t="n">
        <x:v>0.3230602826651283</x:v>
      </x:c>
      <x:c r="K257" s="60" t="n">
        <x:v>587.64</x:v>
      </x:c>
      <x:c r="L257" s="60" t="n">
        <x:v>105.76</x:v>
      </x:c>
      <x:c r="M257" s="50" t="n">
        <x:v>18</x:v>
      </x:c>
      <x:c r="N257" s="50" t="n">
        <x:v>10</x:v>
      </x:c>
      <x:c r="O257" s="50" t="n">
        <x:v>82</x:v>
      </x:c>
      <x:c r="P257" s="50" t="n">
        <x:v>16</x:v>
      </x:c>
    </x:row>
    <x:row r="258" ht="36" customHeight="1">
      <x:c r="A258" s="53" t="n">
        <x:v>239</x:v>
      </x:c>
      <x:c r="B258" s="53" t="n">
        <x:v>1</x:v>
      </x:c>
      <x:c r="C258" s="40" t="str">
        <x:v>High-Value Frequent Shoppers</x:v>
      </x:c>
      <x:c r="D258" s="60" t="n">
        <x:v>4671.2</x:v>
      </x:c>
      <x:c r="E258" s="50" t="n">
        <x:v>264</x:v>
      </x:c>
      <x:c r="F258" s="46" t="n">
        <x:v>11</x:v>
      </x:c>
      <x:c r="G258" s="46" t="n">
        <x:v>0</x:v>
      </x:c>
      <x:c r="H258" s="61" t="n">
        <x:v>17.69393939393939</x:v>
      </x:c>
      <x:c r="I258" s="52" t="n">
        <x:v>0.9318181818181818</x:v>
      </x:c>
      <x:c r="J258" s="52" t="n">
        <x:v>0.446872324028087</x:v>
      </x:c>
      <x:c r="K258" s="60" t="n">
        <x:v>4591.41</x:v>
      </x:c>
      <x:c r="L258" s="60" t="n">
        <x:v>79.79</x:v>
      </x:c>
      <x:c r="M258" s="50" t="n">
        <x:v>246</x:v>
      </x:c>
      <x:c r="N258" s="50" t="n">
        <x:v>18</x:v>
      </x:c>
      <x:c r="O258" s="50" t="n">
        <x:v>174</x:v>
      </x:c>
      <x:c r="P258" s="50" t="n">
        <x:v>24</x:v>
      </x:c>
    </x:row>
    <x:row r="259" ht="36" customHeight="1">
      <x:c r="A259" s="53" t="n">
        <x:v>240</x:v>
      </x:c>
      <x:c r="B259" s="53" t="n">
        <x:v>3</x:v>
      </x:c>
      <x:c r="C259" s="40" t="str">
        <x:v>Low-Value Low-Engagement Shoppers</x:v>
      </x:c>
      <x:c r="D259" s="60" t="n">
        <x:v>365.61</x:v>
      </x:c>
      <x:c r="E259" s="50" t="n">
        <x:v>31</x:v>
      </x:c>
      <x:c r="F259" s="46" t="n">
        <x:v>2.8181818181818183</x:v>
      </x:c>
      <x:c r="G259" s="46" t="n">
        <x:v>7</x:v>
      </x:c>
      <x:c r="H259" s="61" t="n">
        <x:v>11.793870967741936</x:v>
      </x:c>
      <x:c r="I259" s="52" t="n">
        <x:v>0.8064516129032258</x:v>
      </x:c>
      <x:c r="J259" s="52" t="n">
        <x:v>0.5725499849566477</x:v>
      </x:c>
      <x:c r="K259" s="60" t="n">
        <x:v>316.09</x:v>
      </x:c>
      <x:c r="L259" s="60" t="n">
        <x:v>49.52</x:v>
      </x:c>
      <x:c r="M259" s="50" t="n">
        <x:v>25</x:v>
      </x:c>
      <x:c r="N259" s="50" t="n">
        <x:v>6</x:v>
      </x:c>
      <x:c r="O259" s="50" t="n">
        <x:v>58</x:v>
      </x:c>
      <x:c r="P259" s="50" t="n">
        <x:v>11</x:v>
      </x:c>
    </x:row>
    <x:row r="260" ht="36" customHeight="1">
      <x:c r="A260" s="53" t="n">
        <x:v>241</x:v>
      </x:c>
      <x:c r="B260" s="53" t="n">
        <x:v>3</x:v>
      </x:c>
      <x:c r="C260" s="40" t="str">
        <x:v>Low-Value Low-Engagement Shoppers</x:v>
      </x:c>
      <x:c r="D260" s="60" t="n">
        <x:v>199.73</x:v>
      </x:c>
      <x:c r="E260" s="50" t="n">
        <x:v>16</x:v>
      </x:c>
      <x:c r="F260" s="46" t="n">
        <x:v>1.6</x:v>
      </x:c>
      <x:c r="G260" s="46" t="n">
        <x:v>39</x:v>
      </x:c>
      <x:c r="H260" s="61" t="n">
        <x:v>12.483125</x:v>
      </x:c>
      <x:c r="I260" s="52" t="n">
        <x:v>0.75</x:v>
      </x:c>
      <x:c r="J260" s="52" t="n">
        <x:v>0.5003254393431132</x:v>
      </x:c>
      <x:c r="K260" s="60" t="n">
        <x:v>175.83</x:v>
      </x:c>
      <x:c r="L260" s="60" t="n">
        <x:v>23.9</x:v>
      </x:c>
      <x:c r="M260" s="50" t="n">
        <x:v>12</x:v>
      </x:c>
      <x:c r="N260" s="50" t="n">
        <x:v>4</x:v>
      </x:c>
      <x:c r="O260" s="50" t="n">
        <x:v>36</x:v>
      </x:c>
      <x:c r="P260" s="50" t="n">
        <x:v>10</x:v>
      </x:c>
    </x:row>
    <x:row r="261" ht="36" customHeight="1">
      <x:c r="A261" s="53" t="n">
        <x:v>242</x:v>
      </x:c>
      <x:c r="B261" s="53" t="n">
        <x:v>1</x:v>
      </x:c>
      <x:c r="C261" s="40" t="str">
        <x:v>High-Value Frequent Shoppers</x:v>
      </x:c>
      <x:c r="D261" s="60" t="n">
        <x:v>5231.8</x:v>
      </x:c>
      <x:c r="E261" s="50" t="n">
        <x:v>87</x:v>
      </x:c>
      <x:c r="F261" s="46" t="n">
        <x:v>4.35</x:v>
      </x:c>
      <x:c r="G261" s="46" t="n">
        <x:v>0</x:v>
      </x:c>
      <x:c r="H261" s="61" t="n">
        <x:v>60.13563218390805</x:v>
      </x:c>
      <x:c r="I261" s="52" t="n">
        <x:v>0.8850574712643678</x:v>
      </x:c>
      <x:c r="J261" s="52" t="n">
        <x:v>0.4329293933254329</x:v>
      </x:c>
      <x:c r="K261" s="60" t="n">
        <x:v>5070.16</x:v>
      </x:c>
      <x:c r="L261" s="60" t="n">
        <x:v>161.64</x:v>
      </x:c>
      <x:c r="M261" s="50" t="n">
        <x:v>77</x:v>
      </x:c>
      <x:c r="N261" s="50" t="n">
        <x:v>10</x:v>
      </x:c>
      <x:c r="O261" s="50" t="n">
        <x:v>160</x:v>
      </x:c>
      <x:c r="P261" s="50" t="n">
        <x:v>20</x:v>
      </x:c>
    </x:row>
    <x:row r="262" ht="36" customHeight="1">
      <x:c r="A262" s="53" t="n">
        <x:v>243</x:v>
      </x:c>
      <x:c r="B262" s="53" t="n">
        <x:v>1</x:v>
      </x:c>
      <x:c r="C262" s="40" t="str">
        <x:v>High-Value Frequent Shoppers</x:v>
      </x:c>
      <x:c r="D262" s="60" t="n">
        <x:v>8074.12</x:v>
      </x:c>
      <x:c r="E262" s="50" t="n">
        <x:v>250</x:v>
      </x:c>
      <x:c r="F262" s="46" t="n">
        <x:v>10.869565217391305</x:v>
      </x:c>
      <x:c r="G262" s="46" t="n">
        <x:v>1</x:v>
      </x:c>
      <x:c r="H262" s="61" t="n">
        <x:v>32.29648</x:v>
      </x:c>
      <x:c r="I262" s="52" t="n">
        <x:v>0.868</x:v>
      </x:c>
      <x:c r="J262" s="52" t="n">
        <x:v>0.4727697879149678</x:v>
      </x:c>
      <x:c r="K262" s="60" t="n">
        <x:v>7608.51</x:v>
      </x:c>
      <x:c r="L262" s="60" t="n">
        <x:v>465.61</x:v>
      </x:c>
      <x:c r="M262" s="50" t="n">
        <x:v>217</x:v>
      </x:c>
      <x:c r="N262" s="50" t="n">
        <x:v>33</x:v>
      </x:c>
      <x:c r="O262" s="50" t="n">
        <x:v>187</x:v>
      </x:c>
      <x:c r="P262" s="50" t="n">
        <x:v>23</x:v>
      </x:c>
    </x:row>
    <x:row r="263" ht="36" customHeight="1">
      <x:c r="A263" s="53" t="n">
        <x:v>244</x:v>
      </x:c>
      <x:c r="B263" s="53" t="n">
        <x:v>2</x:v>
      </x:c>
      <x:c r="C263" s="40" t="str">
        <x:v>Large-Basket Occasional Shoppers</x:v>
      </x:c>
      <x:c r="D263" s="60" t="n">
        <x:v>1698.95</x:v>
      </x:c>
      <x:c r="E263" s="50" t="n">
        <x:v>41</x:v>
      </x:c>
      <x:c r="F263" s="46" t="n">
        <x:v>1.9523809523809523</x:v>
      </x:c>
      <x:c r="G263" s="46" t="n">
        <x:v>34</x:v>
      </x:c>
      <x:c r="H263" s="61" t="n">
        <x:v>41.43780487804879</x:v>
      </x:c>
      <x:c r="I263" s="52" t="n">
        <x:v>0.9756097560975608</x:v>
      </x:c>
      <x:c r="J263" s="52" t="n">
        <x:v>0.457635598457871</x:v>
      </x:c>
      <x:c r="K263" s="60" t="n">
        <x:v>1679.01</x:v>
      </x:c>
      <x:c r="L263" s="60" t="n">
        <x:v>19.94</x:v>
      </x:c>
      <x:c r="M263" s="50" t="n">
        <x:v>40</x:v>
      </x:c>
      <x:c r="N263" s="50" t="n">
        <x:v>1</x:v>
      </x:c>
      <x:c r="O263" s="50" t="n">
        <x:v>90</x:v>
      </x:c>
      <x:c r="P263" s="50" t="n">
        <x:v>21</x:v>
      </x:c>
    </x:row>
    <x:row r="264" ht="36" customHeight="1">
      <x:c r="A264" s="53" t="n">
        <x:v>245</x:v>
      </x:c>
      <x:c r="B264" s="53" t="n">
        <x:v>2</x:v>
      </x:c>
      <x:c r="C264" s="40" t="str">
        <x:v>Large-Basket Occasional Shoppers</x:v>
      </x:c>
      <x:c r="D264" s="60" t="n">
        <x:v>1396.45</x:v>
      </x:c>
      <x:c r="E264" s="50" t="n">
        <x:v>48</x:v>
      </x:c>
      <x:c r="F264" s="46" t="n">
        <x:v>2.526315789473684</x:v>
      </x:c>
      <x:c r="G264" s="46" t="n">
        <x:v>27</x:v>
      </x:c>
      <x:c r="H264" s="61" t="n">
        <x:v>29.09270833333333</x:v>
      </x:c>
      <x:c r="I264" s="52" t="n">
        <x:v>0.9375</x:v>
      </x:c>
      <x:c r="J264" s="52" t="n">
        <x:v>0.753603781016148</x:v>
      </x:c>
      <x:c r="K264" s="60" t="n">
        <x:v>1380.4</x:v>
      </x:c>
      <x:c r="L264" s="60" t="n">
        <x:v>16.05</x:v>
      </x:c>
      <x:c r="M264" s="50" t="n">
        <x:v>45</x:v>
      </x:c>
      <x:c r="N264" s="50" t="n">
        <x:v>3</x:v>
      </x:c>
      <x:c r="O264" s="50" t="n">
        <x:v>84</x:v>
      </x:c>
      <x:c r="P264" s="50" t="n">
        <x:v>19</x:v>
      </x:c>
    </x:row>
    <x:row r="265" ht="36" customHeight="1">
      <x:c r="A265" s="53" t="n">
        <x:v>246</x:v>
      </x:c>
      <x:c r="B265" s="53" t="n">
        <x:v>2</x:v>
      </x:c>
      <x:c r="C265" s="40" t="str">
        <x:v>Large-Basket Occasional Shoppers</x:v>
      </x:c>
      <x:c r="D265" s="60" t="n">
        <x:v>847.25</x:v>
      </x:c>
      <x:c r="E265" s="50" t="n">
        <x:v>47</x:v>
      </x:c>
      <x:c r="F265" s="46" t="n">
        <x:v>2.238095238095238</x:v>
      </x:c>
      <x:c r="G265" s="46" t="n">
        <x:v>19</x:v>
      </x:c>
      <x:c r="H265" s="61" t="n">
        <x:v>18.026595744680847</x:v>
      </x:c>
      <x:c r="I265" s="52" t="n">
        <x:v>0.9361702127659574</x:v>
      </x:c>
      <x:c r="J265" s="52" t="n">
        <x:v>0.508716435526704</x:v>
      </x:c>
      <x:c r="K265" s="60" t="n">
        <x:v>836.17</x:v>
      </x:c>
      <x:c r="L265" s="60" t="n">
        <x:v>11.08</x:v>
      </x:c>
      <x:c r="M265" s="50" t="n">
        <x:v>44</x:v>
      </x:c>
      <x:c r="N265" s="50" t="n">
        <x:v>3</x:v>
      </x:c>
      <x:c r="O265" s="50" t="n">
        <x:v>89</x:v>
      </x:c>
      <x:c r="P265" s="50" t="n">
        <x:v>21</x:v>
      </x:c>
    </x:row>
    <x:row r="266" ht="36" customHeight="1">
      <x:c r="A266" s="53" t="n">
        <x:v>247</x:v>
      </x:c>
      <x:c r="B266" s="53" t="n">
        <x:v>2</x:v>
      </x:c>
      <x:c r="C266" s="40" t="str">
        <x:v>Large-Basket Occasional Shoppers</x:v>
      </x:c>
      <x:c r="D266" s="60" t="n">
        <x:v>1243.06</x:v>
      </x:c>
      <x:c r="E266" s="50" t="n">
        <x:v>58</x:v>
      </x:c>
      <x:c r="F266" s="46" t="n">
        <x:v>3.866666666666666</x:v>
      </x:c>
      <x:c r="G266" s="46" t="n">
        <x:v>7</x:v>
      </x:c>
      <x:c r="H266" s="61" t="n">
        <x:v>21.43206896551724</x:v>
      </x:c>
      <x:c r="I266" s="52" t="n">
        <x:v>0.8103448275862069</x:v>
      </x:c>
      <x:c r="J266" s="52" t="n">
        <x:v>0.4094653516322623</x:v>
      </x:c>
      <x:c r="K266" s="60" t="n">
        <x:v>1153.97</x:v>
      </x:c>
      <x:c r="L266" s="60" t="n">
        <x:v>89.09</x:v>
      </x:c>
      <x:c r="M266" s="50" t="n">
        <x:v>47</x:v>
      </x:c>
      <x:c r="N266" s="50" t="n">
        <x:v>11</x:v>
      </x:c>
      <x:c r="O266" s="50" t="n">
        <x:v>102</x:v>
      </x:c>
      <x:c r="P266" s="50" t="n">
        <x:v>15</x:v>
      </x:c>
    </x:row>
    <x:row r="267" ht="36" customHeight="1">
      <x:c r="A267" s="53" t="n">
        <x:v>248</x:v>
      </x:c>
      <x:c r="B267" s="53" t="n">
        <x:v>2</x:v>
      </x:c>
      <x:c r="C267" s="40" t="str">
        <x:v>Large-Basket Occasional Shoppers</x:v>
      </x:c>
      <x:c r="D267" s="60" t="n">
        <x:v>6039.01</x:v>
      </x:c>
      <x:c r="E267" s="50" t="n">
        <x:v>57</x:v>
      </x:c>
      <x:c r="F267" s="46" t="n">
        <x:v>2.7142857142857144</x:v>
      </x:c>
      <x:c r="G267" s="46" t="n">
        <x:v>7</x:v>
      </x:c>
      <x:c r="H267" s="61" t="n">
        <x:v>105.94754385964912</x:v>
      </x:c>
      <x:c r="I267" s="52" t="n">
        <x:v>0.9473684210526316</x:v>
      </x:c>
      <x:c r="J267" s="52" t="n">
        <x:v>0.7397801957605634</x:v>
      </x:c>
      <x:c r="K267" s="60" t="n">
        <x:v>5934.82</x:v>
      </x:c>
      <x:c r="L267" s="60" t="n">
        <x:v>104.19</x:v>
      </x:c>
      <x:c r="M267" s="50" t="n">
        <x:v>54</x:v>
      </x:c>
      <x:c r="N267" s="50" t="n">
        <x:v>3</x:v>
      </x:c>
      <x:c r="O267" s="50" t="n">
        <x:v>165</x:v>
      </x:c>
      <x:c r="P267" s="50" t="n">
        <x:v>21</x:v>
      </x:c>
    </x:row>
    <x:row r="268" ht="36" customHeight="1">
      <x:c r="A268" s="53" t="n">
        <x:v>249</x:v>
      </x:c>
      <x:c r="B268" s="53" t="n">
        <x:v>1</x:v>
      </x:c>
      <x:c r="C268" s="40" t="str">
        <x:v>High-Value Frequent Shoppers</x:v>
      </x:c>
      <x:c r="D268" s="60" t="n">
        <x:v>2822.44</x:v>
      </x:c>
      <x:c r="E268" s="50" t="n">
        <x:v>137</x:v>
      </x:c>
      <x:c r="F268" s="46" t="n">
        <x:v>6.227272727272728</x:v>
      </x:c>
      <x:c r="G268" s="46" t="n">
        <x:v>7</x:v>
      </x:c>
      <x:c r="H268" s="61" t="n">
        <x:v>20.60175182481752</x:v>
      </x:c>
      <x:c r="I268" s="52" t="n">
        <x:v>0.8467153284671532</x:v>
      </x:c>
      <x:c r="J268" s="52" t="n">
        <x:v>0.540865350547753</x:v>
      </x:c>
      <x:c r="K268" s="60" t="n">
        <x:v>2667.52</x:v>
      </x:c>
      <x:c r="L268" s="60" t="n">
        <x:v>154.92</x:v>
      </x:c>
      <x:c r="M268" s="50" t="n">
        <x:v>116</x:v>
      </x:c>
      <x:c r="N268" s="50" t="n">
        <x:v>21</x:v>
      </x:c>
      <x:c r="O268" s="50" t="n">
        <x:v>140</x:v>
      </x:c>
      <x:c r="P268" s="50" t="n">
        <x:v>22</x:v>
      </x:c>
    </x:row>
    <x:row r="269" ht="36" customHeight="1">
      <x:c r="A269" s="53" t="n">
        <x:v>250</x:v>
      </x:c>
      <x:c r="B269" s="53" t="n">
        <x:v>1</x:v>
      </x:c>
      <x:c r="C269" s="40" t="str">
        <x:v>High-Value Frequent Shoppers</x:v>
      </x:c>
      <x:c r="D269" s="60" t="n">
        <x:v>5991.84</x:v>
      </x:c>
      <x:c r="E269" s="50" t="n">
        <x:v>121</x:v>
      </x:c>
      <x:c r="F269" s="46" t="n">
        <x:v>5.761904761904762</x:v>
      </x:c>
      <x:c r="G269" s="46" t="n">
        <x:v>5</x:v>
      </x:c>
      <x:c r="H269" s="61" t="n">
        <x:v>49.51933884297521</x:v>
      </x:c>
      <x:c r="I269" s="52" t="n">
        <x:v>0.909090909090909</x:v>
      </x:c>
      <x:c r="J269" s="52" t="n">
        <x:v>0.3952542123955245</x:v>
      </x:c>
      <x:c r="K269" s="60" t="n">
        <x:v>5851.95</x:v>
      </x:c>
      <x:c r="L269" s="60" t="n">
        <x:v>139.89</x:v>
      </x:c>
      <x:c r="M269" s="50" t="n">
        <x:v>110</x:v>
      </x:c>
      <x:c r="N269" s="50" t="n">
        <x:v>11</x:v>
      </x:c>
      <x:c r="O269" s="50" t="n">
        <x:v>122</x:v>
      </x:c>
      <x:c r="P269" s="50" t="n">
        <x:v>21</x:v>
      </x:c>
    </x:row>
    <x:row r="270" ht="36" customHeight="1">
      <x:c r="A270" s="53" t="n">
        <x:v>251</x:v>
      </x:c>
      <x:c r="B270" s="53" t="n">
        <x:v>2</x:v>
      </x:c>
      <x:c r="C270" s="40" t="str">
        <x:v>Large-Basket Occasional Shoppers</x:v>
      </x:c>
      <x:c r="D270" s="60" t="n">
        <x:v>2268.51</x:v>
      </x:c>
      <x:c r="E270" s="50" t="n">
        <x:v>83</x:v>
      </x:c>
      <x:c r="F270" s="46" t="n">
        <x:v>3.458333333333333</x:v>
      </x:c>
      <x:c r="G270" s="46" t="n">
        <x:v>8</x:v>
      </x:c>
      <x:c r="H270" s="61" t="n">
        <x:v>27.331445783132526</x:v>
      </x:c>
      <x:c r="I270" s="52" t="n">
        <x:v>0.7951807228915662</x:v>
      </x:c>
      <x:c r="J270" s="52" t="n">
        <x:v>0.5555452698026457</x:v>
      </x:c>
      <x:c r="K270" s="60" t="n">
        <x:v>2078.35</x:v>
      </x:c>
      <x:c r="L270" s="60" t="n">
        <x:v>190.16</x:v>
      </x:c>
      <x:c r="M270" s="50" t="n">
        <x:v>66</x:v>
      </x:c>
      <x:c r="N270" s="50" t="n">
        <x:v>17</x:v>
      </x:c>
      <x:c r="O270" s="50" t="n">
        <x:v>124</x:v>
      </x:c>
      <x:c r="P270" s="50" t="n">
        <x:v>24</x:v>
      </x:c>
    </x:row>
    <x:row r="271" ht="36" customHeight="1">
      <x:c r="A271" s="53" t="n">
        <x:v>252</x:v>
      </x:c>
      <x:c r="B271" s="53" t="n">
        <x:v>3</x:v>
      </x:c>
      <x:c r="C271" s="40" t="str">
        <x:v>Low-Value Low-Engagement Shoppers</x:v>
      </x:c>
      <x:c r="D271" s="60" t="n">
        <x:v>93.78</x:v>
      </x:c>
      <x:c r="E271" s="50" t="n">
        <x:v>9</x:v>
      </x:c>
      <x:c r="F271" s="46" t="n">
        <x:v>1.2857142857142856</x:v>
      </x:c>
      <x:c r="G271" s="46" t="n">
        <x:v>46</x:v>
      </x:c>
      <x:c r="H271" s="61" t="n">
        <x:v>10.42</x:v>
      </x:c>
      <x:c r="I271" s="52" t="n">
        <x:v>0.6666666666666666</x:v>
      </x:c>
      <x:c r="J271" s="52" t="n">
        <x:v>0.2291533375986351</x:v>
      </x:c>
      <x:c r="K271" s="60" t="n">
        <x:v>58.42</x:v>
      </x:c>
      <x:c r="L271" s="60" t="n">
        <x:v>35.36</x:v>
      </x:c>
      <x:c r="M271" s="50" t="n">
        <x:v>6</x:v>
      </x:c>
      <x:c r="N271" s="50" t="n">
        <x:v>3</x:v>
      </x:c>
      <x:c r="O271" s="50" t="n">
        <x:v>15</x:v>
      </x:c>
      <x:c r="P271" s="50" t="n">
        <x:v>7</x:v>
      </x:c>
    </x:row>
    <x:row r="272" ht="36" customHeight="1">
      <x:c r="A272" s="53" t="n">
        <x:v>253</x:v>
      </x:c>
      <x:c r="B272" s="53" t="n">
        <x:v>1</x:v>
      </x:c>
      <x:c r="C272" s="40" t="str">
        <x:v>High-Value Frequent Shoppers</x:v>
      </x:c>
      <x:c r="D272" s="60" t="n">
        <x:v>10993.71</x:v>
      </x:c>
      <x:c r="E272" s="50" t="n">
        <x:v>383</x:v>
      </x:c>
      <x:c r="F272" s="46" t="n">
        <x:v>15.958333333333332</x:v>
      </x:c>
      <x:c r="G272" s="46" t="n">
        <x:v>1</x:v>
      </x:c>
      <x:c r="H272" s="61" t="n">
        <x:v>28.70420365535248</x:v>
      </x:c>
      <x:c r="I272" s="52" t="n">
        <x:v>0.9399477806788512</x:v>
      </x:c>
      <x:c r="J272" s="52" t="n">
        <x:v>0.5959271256018214</x:v>
      </x:c>
      <x:c r="K272" s="60" t="n">
        <x:v>10839.85</x:v>
      </x:c>
      <x:c r="L272" s="60" t="n">
        <x:v>153.86</x:v>
      </x:c>
      <x:c r="M272" s="50" t="n">
        <x:v>360</x:v>
      </x:c>
      <x:c r="N272" s="50" t="n">
        <x:v>23</x:v>
      </x:c>
      <x:c r="O272" s="50" t="n">
        <x:v>171</x:v>
      </x:c>
      <x:c r="P272" s="50" t="n">
        <x:v>24</x:v>
      </x:c>
    </x:row>
    <x:row r="273" ht="36" customHeight="1">
      <x:c r="A273" s="53" t="n">
        <x:v>254</x:v>
      </x:c>
      <x:c r="B273" s="53" t="n">
        <x:v>3</x:v>
      </x:c>
      <x:c r="C273" s="40" t="str">
        <x:v>Low-Value Low-Engagement Shoppers</x:v>
      </x:c>
      <x:c r="D273" s="60" t="n">
        <x:v>442.14</x:v>
      </x:c>
      <x:c r="E273" s="50" t="n">
        <x:v>43</x:v>
      </x:c>
      <x:c r="F273" s="46" t="n">
        <x:v>1.8695652173913044</x:v>
      </x:c>
      <x:c r="G273" s="46" t="n">
        <x:v>3</x:v>
      </x:c>
      <x:c r="H273" s="61" t="n">
        <x:v>10.282325581395348</x:v>
      </x:c>
      <x:c r="I273" s="52" t="n">
        <x:v>0.8372093023255813</x:v>
      </x:c>
      <x:c r="J273" s="52" t="n">
        <x:v>0.4153209390690731</x:v>
      </x:c>
      <x:c r="K273" s="60" t="n">
        <x:v>390.7</x:v>
      </x:c>
      <x:c r="L273" s="60" t="n">
        <x:v>51.44</x:v>
      </x:c>
      <x:c r="M273" s="50" t="n">
        <x:v>36</x:v>
      </x:c>
      <x:c r="N273" s="50" t="n">
        <x:v>7</x:v>
      </x:c>
      <x:c r="O273" s="50" t="n">
        <x:v>66</x:v>
      </x:c>
      <x:c r="P273" s="50" t="n">
        <x:v>23</x:v>
      </x:c>
    </x:row>
    <x:row r="274" ht="36" customHeight="1">
      <x:c r="A274" s="53" t="n">
        <x:v>255</x:v>
      </x:c>
      <x:c r="B274" s="53" t="n">
        <x:v>2</x:v>
      </x:c>
      <x:c r="C274" s="40" t="str">
        <x:v>Large-Basket Occasional Shoppers</x:v>
      </x:c>
      <x:c r="D274" s="60" t="n">
        <x:v>672.09</x:v>
      </x:c>
      <x:c r="E274" s="50" t="n">
        <x:v>18</x:v>
      </x:c>
      <x:c r="F274" s="46" t="n">
        <x:v>1.5</x:v>
      </x:c>
      <x:c r="G274" s="46" t="n">
        <x:v>14</x:v>
      </x:c>
      <x:c r="H274" s="61" t="n">
        <x:v>37.33833333333333</x:v>
      </x:c>
      <x:c r="I274" s="52" t="n">
        <x:v>0.9444444444444444</x:v>
      </x:c>
      <x:c r="J274" s="52" t="n">
        <x:v>0.6411194929250545</x:v>
      </x:c>
      <x:c r="K274" s="60" t="n">
        <x:v>666.27</x:v>
      </x:c>
      <x:c r="L274" s="60" t="n">
        <x:v>5.82</x:v>
      </x:c>
      <x:c r="M274" s="50" t="n">
        <x:v>17</x:v>
      </x:c>
      <x:c r="N274" s="50" t="n">
        <x:v>1</x:v>
      </x:c>
      <x:c r="O274" s="50" t="n">
        <x:v>58</x:v>
      </x:c>
      <x:c r="P274" s="50" t="n">
        <x:v>12</x:v>
      </x:c>
    </x:row>
    <x:row r="275" ht="36" customHeight="1">
      <x:c r="A275" s="53" t="n">
        <x:v>256</x:v>
      </x:c>
      <x:c r="B275" s="53" t="n">
        <x:v>1</x:v>
      </x:c>
      <x:c r="C275" s="40" t="str">
        <x:v>High-Value Frequent Shoppers</x:v>
      </x:c>
      <x:c r="D275" s="60" t="n">
        <x:v>9849.75</x:v>
      </x:c>
      <x:c r="E275" s="50" t="n">
        <x:v>125</x:v>
      </x:c>
      <x:c r="F275" s="46" t="n">
        <x:v>5.434782608695652</x:v>
      </x:c>
      <x:c r="G275" s="46" t="n">
        <x:v>0</x:v>
      </x:c>
      <x:c r="H275" s="61" t="n">
        <x:v>78.798</x:v>
      </x:c>
      <x:c r="I275" s="52" t="n">
        <x:v>0.888</x:v>
      </x:c>
      <x:c r="J275" s="52" t="n">
        <x:v>0.3631016015634914</x:v>
      </x:c>
      <x:c r="K275" s="60" t="n">
        <x:v>9682.55</x:v>
      </x:c>
      <x:c r="L275" s="60" t="n">
        <x:v>167.2</x:v>
      </x:c>
      <x:c r="M275" s="50" t="n">
        <x:v>111</x:v>
      </x:c>
      <x:c r="N275" s="50" t="n">
        <x:v>14</x:v>
      </x:c>
      <x:c r="O275" s="50" t="n">
        <x:v>159</x:v>
      </x:c>
      <x:c r="P275" s="50" t="n">
        <x:v>23</x:v>
      </x:c>
    </x:row>
    <x:row r="276" ht="36" customHeight="1">
      <x:c r="A276" s="53" t="n">
        <x:v>257</x:v>
      </x:c>
      <x:c r="B276" s="53" t="n">
        <x:v>2</x:v>
      </x:c>
      <x:c r="C276" s="40" t="str">
        <x:v>Large-Basket Occasional Shoppers</x:v>
      </x:c>
      <x:c r="D276" s="60" t="n">
        <x:v>2689.99</x:v>
      </x:c>
      <x:c r="E276" s="50" t="n">
        <x:v>120</x:v>
      </x:c>
      <x:c r="F276" s="46" t="n">
        <x:v>5.454545454545455</x:v>
      </x:c>
      <x:c r="G276" s="46" t="n">
        <x:v>13</x:v>
      </x:c>
      <x:c r="H276" s="61" t="n">
        <x:v>22.41658333333333</x:v>
      </x:c>
      <x:c r="I276" s="52" t="n">
        <x:v>0.8666666666666666</x:v>
      </x:c>
      <x:c r="J276" s="52" t="n">
        <x:v>0.521801196286975</x:v>
      </x:c>
      <x:c r="K276" s="60" t="n">
        <x:v>2564.95</x:v>
      </x:c>
      <x:c r="L276" s="60" t="n">
        <x:v>125.04</x:v>
      </x:c>
      <x:c r="M276" s="50" t="n">
        <x:v>104</x:v>
      </x:c>
      <x:c r="N276" s="50" t="n">
        <x:v>16</x:v>
      </x:c>
      <x:c r="O276" s="50" t="n">
        <x:v>116</x:v>
      </x:c>
      <x:c r="P276" s="50" t="n">
        <x:v>22</x:v>
      </x:c>
    </x:row>
    <x:row r="277" ht="36" customHeight="1">
      <x:c r="A277" s="53" t="n">
        <x:v>258</x:v>
      </x:c>
      <x:c r="B277" s="53" t="n">
        <x:v>1</x:v>
      </x:c>
      <x:c r="C277" s="40" t="str">
        <x:v>High-Value Frequent Shoppers</x:v>
      </x:c>
      <x:c r="D277" s="60" t="n">
        <x:v>2631.11</x:v>
      </x:c>
      <x:c r="E277" s="50" t="n">
        <x:v>211</x:v>
      </x:c>
      <x:c r="F277" s="46" t="n">
        <x:v>9.173913043478262</x:v>
      </x:c>
      <x:c r="G277" s="46" t="n">
        <x:v>1</x:v>
      </x:c>
      <x:c r="H277" s="61" t="n">
        <x:v>12.469715639810426</x:v>
      </x:c>
      <x:c r="I277" s="52" t="n">
        <x:v>0.8720379146919431</x:v>
      </x:c>
      <x:c r="J277" s="52" t="n">
        <x:v>0.4844267248423669</x:v>
      </x:c>
      <x:c r="K277" s="60" t="n">
        <x:v>2494.02</x:v>
      </x:c>
      <x:c r="L277" s="60" t="n">
        <x:v>137.09</x:v>
      </x:c>
      <x:c r="M277" s="50" t="n">
        <x:v>184</x:v>
      </x:c>
      <x:c r="N277" s="50" t="n">
        <x:v>27</x:v>
      </x:c>
      <x:c r="O277" s="50" t="n">
        <x:v>154</x:v>
      </x:c>
      <x:c r="P277" s="50" t="n">
        <x:v>23</x:v>
      </x:c>
    </x:row>
    <x:row r="278" ht="36" customHeight="1">
      <x:c r="A278" s="53" t="n">
        <x:v>259</x:v>
      </x:c>
      <x:c r="B278" s="53" t="n">
        <x:v>3</x:v>
      </x:c>
      <x:c r="C278" s="40" t="str">
        <x:v>Low-Value Low-Engagement Shoppers</x:v>
      </x:c>
      <x:c r="D278" s="60" t="n">
        <x:v>1158.33</x:v>
      </x:c>
      <x:c r="E278" s="50" t="n">
        <x:v>54</x:v>
      </x:c>
      <x:c r="F278" s="46" t="n">
        <x:v>2.7</x:v>
      </x:c>
      <x:c r="G278" s="46" t="n">
        <x:v>17</x:v>
      </x:c>
      <x:c r="H278" s="61" t="n">
        <x:v>21.45055555555556</x:v>
      </x:c>
      <x:c r="I278" s="52" t="n">
        <x:v>0.8148148148148148</x:v>
      </x:c>
      <x:c r="J278" s="52" t="n">
        <x:v>0.3698255246777688</x:v>
      </x:c>
      <x:c r="K278" s="60" t="n">
        <x:v>992.61</x:v>
      </x:c>
      <x:c r="L278" s="60" t="n">
        <x:v>165.72</x:v>
      </x:c>
      <x:c r="M278" s="50" t="n">
        <x:v>44</x:v>
      </x:c>
      <x:c r="N278" s="50" t="n">
        <x:v>10</x:v>
      </x:c>
      <x:c r="O278" s="50" t="n">
        <x:v>87</x:v>
      </x:c>
      <x:c r="P278" s="50" t="n">
        <x:v>20</x:v>
      </x:c>
    </x:row>
    <x:row r="279" ht="36" customHeight="1">
      <x:c r="A279" s="53" t="n">
        <x:v>260</x:v>
      </x:c>
      <x:c r="B279" s="53" t="n">
        <x:v>3</x:v>
      </x:c>
      <x:c r="C279" s="40" t="str">
        <x:v>Low-Value Low-Engagement Shoppers</x:v>
      </x:c>
      <x:c r="D279" s="60" t="n">
        <x:v>425.04</x:v>
      </x:c>
      <x:c r="E279" s="50" t="n">
        <x:v>30</x:v>
      </x:c>
      <x:c r="F279" s="46" t="n">
        <x:v>1.875</x:v>
      </x:c>
      <x:c r="G279" s="46" t="n">
        <x:v>12</x:v>
      </x:c>
      <x:c r="H279" s="61" t="n">
        <x:v>14.168</x:v>
      </x:c>
      <x:c r="I279" s="52" t="n">
        <x:v>0.7</x:v>
      </x:c>
      <x:c r="J279" s="52" t="n">
        <x:v>0.3692593638245812</x:v>
      </x:c>
      <x:c r="K279" s="60" t="n">
        <x:v>375.19</x:v>
      </x:c>
      <x:c r="L279" s="60" t="n">
        <x:v>49.85</x:v>
      </x:c>
      <x:c r="M279" s="50" t="n">
        <x:v>21</x:v>
      </x:c>
      <x:c r="N279" s="50" t="n">
        <x:v>9</x:v>
      </x:c>
      <x:c r="O279" s="50" t="n">
        <x:v>73</x:v>
      </x:c>
      <x:c r="P279" s="50" t="n">
        <x:v>16</x:v>
      </x:c>
    </x:row>
    <x:row r="280" ht="36" customHeight="1">
      <x:c r="A280" s="53" t="n">
        <x:v>261</x:v>
      </x:c>
      <x:c r="B280" s="53" t="n">
        <x:v>2</x:v>
      </x:c>
      <x:c r="C280" s="40" t="str">
        <x:v>Large-Basket Occasional Shoppers</x:v>
      </x:c>
      <x:c r="D280" s="60" t="n">
        <x:v>1241.87</x:v>
      </x:c>
      <x:c r="E280" s="50" t="n">
        <x:v>44</x:v>
      </x:c>
      <x:c r="F280" s="46" t="n">
        <x:v>4</x:v>
      </x:c>
      <x:c r="G280" s="46" t="n">
        <x:v>61</x:v>
      </x:c>
      <x:c r="H280" s="61" t="n">
        <x:v>28.22431818181818</x:v>
      </x:c>
      <x:c r="I280" s="52" t="n">
        <x:v>0.9318181818181818</x:v>
      </x:c>
      <x:c r="J280" s="52" t="n">
        <x:v>0.5314485413126977</x:v>
      </x:c>
      <x:c r="K280" s="60" t="n">
        <x:v>1160.74</x:v>
      </x:c>
      <x:c r="L280" s="60" t="n">
        <x:v>81.13</x:v>
      </x:c>
      <x:c r="M280" s="50" t="n">
        <x:v>41</x:v>
      </x:c>
      <x:c r="N280" s="50" t="n">
        <x:v>3</x:v>
      </x:c>
      <x:c r="O280" s="50" t="n">
        <x:v>84</x:v>
      </x:c>
      <x:c r="P280" s="50" t="n">
        <x:v>11</x:v>
      </x:c>
    </x:row>
    <x:row r="281" ht="36" customHeight="1">
      <x:c r="A281" s="53" t="n">
        <x:v>262</x:v>
      </x:c>
      <x:c r="B281" s="53" t="n">
        <x:v>1</x:v>
      </x:c>
      <x:c r="C281" s="40" t="str">
        <x:v>High-Value Frequent Shoppers</x:v>
      </x:c>
      <x:c r="D281" s="60" t="n">
        <x:v>4802.27</x:v>
      </x:c>
      <x:c r="E281" s="50" t="n">
        <x:v>215</x:v>
      </x:c>
      <x:c r="F281" s="46" t="n">
        <x:v>10.75</x:v>
      </x:c>
      <x:c r="G281" s="46" t="n">
        <x:v>14</x:v>
      </x:c>
      <x:c r="H281" s="61" t="n">
        <x:v>22.33613953488372</x:v>
      </x:c>
      <x:c r="I281" s="52" t="n">
        <x:v>0.855813953488372</x:v>
      </x:c>
      <x:c r="J281" s="52" t="n">
        <x:v>0.589921016519271</x:v>
      </x:c>
      <x:c r="K281" s="60" t="n">
        <x:v>4514.32</x:v>
      </x:c>
      <x:c r="L281" s="60" t="n">
        <x:v>287.95</x:v>
      </x:c>
      <x:c r="M281" s="50" t="n">
        <x:v>184</x:v>
      </x:c>
      <x:c r="N281" s="50" t="n">
        <x:v>31</x:v>
      </x:c>
      <x:c r="O281" s="50" t="n">
        <x:v>158</x:v>
      </x:c>
      <x:c r="P281" s="50" t="n">
        <x:v>20</x:v>
      </x:c>
    </x:row>
    <x:row r="282" ht="36" customHeight="1">
      <x:c r="A282" s="53" t="n">
        <x:v>263</x:v>
      </x:c>
      <x:c r="B282" s="53" t="n">
        <x:v>1</x:v>
      </x:c>
      <x:c r="C282" s="40" t="str">
        <x:v>High-Value Frequent Shoppers</x:v>
      </x:c>
      <x:c r="D282" s="60" t="n">
        <x:v>5870.33</x:v>
      </x:c>
      <x:c r="E282" s="50" t="n">
        <x:v>325</x:v>
      </x:c>
      <x:c r="F282" s="46" t="n">
        <x:v>15.476190476190476</x:v>
      </x:c>
      <x:c r="G282" s="46" t="n">
        <x:v>3</x:v>
      </x:c>
      <x:c r="H282" s="61" t="n">
        <x:v>18.062553846153847</x:v>
      </x:c>
      <x:c r="I282" s="52" t="n">
        <x:v>0.8184615384615384</x:v>
      </x:c>
      <x:c r="J282" s="52" t="n">
        <x:v>0.4394982905560675</x:v>
      </x:c>
      <x:c r="K282" s="60" t="n">
        <x:v>5497.51</x:v>
      </x:c>
      <x:c r="L282" s="60" t="n">
        <x:v>372.82</x:v>
      </x:c>
      <x:c r="M282" s="50" t="n">
        <x:v>266</x:v>
      </x:c>
      <x:c r="N282" s="50" t="n">
        <x:v>59</x:v>
      </x:c>
      <x:c r="O282" s="50" t="n">
        <x:v>152</x:v>
      </x:c>
      <x:c r="P282" s="50" t="n">
        <x:v>21</x:v>
      </x:c>
    </x:row>
    <x:row r="283" ht="36" customHeight="1">
      <x:c r="A283" s="53" t="n">
        <x:v>264</x:v>
      </x:c>
      <x:c r="B283" s="53" t="n">
        <x:v>2</x:v>
      </x:c>
      <x:c r="C283" s="40" t="str">
        <x:v>Large-Basket Occasional Shoppers</x:v>
      </x:c>
      <x:c r="D283" s="60" t="n">
        <x:v>1783.07</x:v>
      </x:c>
      <x:c r="E283" s="50" t="n">
        <x:v>61</x:v>
      </x:c>
      <x:c r="F283" s="46" t="n">
        <x:v>3.05</x:v>
      </x:c>
      <x:c r="G283" s="46" t="n">
        <x:v>31</x:v>
      </x:c>
      <x:c r="H283" s="61" t="n">
        <x:v>29.23065573770492</x:v>
      </x:c>
      <x:c r="I283" s="52" t="n">
        <x:v>0.9508196721311476</x:v>
      </x:c>
      <x:c r="J283" s="52" t="n">
        <x:v>0.5837291861788937</x:v>
      </x:c>
      <x:c r="K283" s="60" t="n">
        <x:v>1763.15</x:v>
      </x:c>
      <x:c r="L283" s="60" t="n">
        <x:v>19.92</x:v>
      </x:c>
      <x:c r="M283" s="50" t="n">
        <x:v>58</x:v>
      </x:c>
      <x:c r="N283" s="50" t="n">
        <x:v>3</x:v>
      </x:c>
      <x:c r="O283" s="50" t="n">
        <x:v>86</x:v>
      </x:c>
      <x:c r="P283" s="50" t="n">
        <x:v>20</x:v>
      </x:c>
    </x:row>
    <x:row r="284" ht="36" customHeight="1">
      <x:c r="A284" s="53" t="n">
        <x:v>265</x:v>
      </x:c>
      <x:c r="B284" s="53" t="n">
        <x:v>1</x:v>
      </x:c>
      <x:c r="C284" s="40" t="str">
        <x:v>High-Value Frequent Shoppers</x:v>
      </x:c>
      <x:c r="D284" s="60" t="n">
        <x:v>1881.76</x:v>
      </x:c>
      <x:c r="E284" s="50" t="n">
        <x:v>53</x:v>
      </x:c>
      <x:c r="F284" s="46" t="n">
        <x:v>3.3125</x:v>
      </x:c>
      <x:c r="G284" s="46" t="n">
        <x:v>1</x:v>
      </x:c>
      <x:c r="H284" s="61" t="n">
        <x:v>35.50490566037736</x:v>
      </x:c>
      <x:c r="I284" s="52" t="n">
        <x:v>0.7735849056603773</x:v>
      </x:c>
      <x:c r="J284" s="52" t="n">
        <x:v>0.644529589320636</x:v>
      </x:c>
      <x:c r="K284" s="60" t="n">
        <x:v>1827.07</x:v>
      </x:c>
      <x:c r="L284" s="60" t="n">
        <x:v>54.69</x:v>
      </x:c>
      <x:c r="M284" s="50" t="n">
        <x:v>41</x:v>
      </x:c>
      <x:c r="N284" s="50" t="n">
        <x:v>12</x:v>
      </x:c>
      <x:c r="O284" s="50" t="n">
        <x:v>133</x:v>
      </x:c>
      <x:c r="P284" s="50" t="n">
        <x:v>16</x:v>
      </x:c>
    </x:row>
    <x:row r="285" ht="36" customHeight="1">
      <x:c r="A285" s="53" t="n">
        <x:v>266</x:v>
      </x:c>
      <x:c r="B285" s="53" t="n">
        <x:v>2</x:v>
      </x:c>
      <x:c r="C285" s="40" t="str">
        <x:v>Large-Basket Occasional Shoppers</x:v>
      </x:c>
      <x:c r="D285" s="60" t="n">
        <x:v>3130.22</x:v>
      </x:c>
      <x:c r="E285" s="50" t="n">
        <x:v>59</x:v>
      </x:c>
      <x:c r="F285" s="46" t="n">
        <x:v>3.1052631578947367</x:v>
      </x:c>
      <x:c r="G285" s="46" t="n">
        <x:v>14</x:v>
      </x:c>
      <x:c r="H285" s="61" t="n">
        <x:v>53.05457627118644</x:v>
      </x:c>
      <x:c r="I285" s="52" t="n">
        <x:v>0.9152542372881356</x:v>
      </x:c>
      <x:c r="J285" s="52" t="n">
        <x:v>0.4703790787867945</x:v>
      </x:c>
      <x:c r="K285" s="60" t="n">
        <x:v>2984.45</x:v>
      </x:c>
      <x:c r="L285" s="60" t="n">
        <x:v>145.77</x:v>
      </x:c>
      <x:c r="M285" s="50" t="n">
        <x:v>54</x:v>
      </x:c>
      <x:c r="N285" s="50" t="n">
        <x:v>5</x:v>
      </x:c>
      <x:c r="O285" s="50" t="n">
        <x:v>109</x:v>
      </x:c>
      <x:c r="P285" s="50" t="n">
        <x:v>19</x:v>
      </x:c>
    </x:row>
    <x:row r="286" ht="36" customHeight="1">
      <x:c r="A286" s="53" t="n">
        <x:v>267</x:v>
      </x:c>
      <x:c r="B286" s="53" t="n">
        <x:v>3</x:v>
      </x:c>
      <x:c r="C286" s="40" t="str">
        <x:v>Low-Value Low-Engagement Shoppers</x:v>
      </x:c>
      <x:c r="D286" s="60" t="n">
        <x:v>385.56</x:v>
      </x:c>
      <x:c r="E286" s="50" t="n">
        <x:v>25</x:v>
      </x:c>
      <x:c r="F286" s="46" t="n">
        <x:v>1.9230769230769231</x:v>
      </x:c>
      <x:c r="G286" s="46" t="n">
        <x:v>36</x:v>
      </x:c>
      <x:c r="H286" s="61" t="n">
        <x:v>15.4224</x:v>
      </x:c>
      <x:c r="I286" s="52" t="n">
        <x:v>0.68</x:v>
      </x:c>
      <x:c r="J286" s="52" t="n">
        <x:v>0.3490766677041186</x:v>
      </x:c>
      <x:c r="K286" s="60" t="n">
        <x:v>295.61</x:v>
      </x:c>
      <x:c r="L286" s="60" t="n">
        <x:v>89.95</x:v>
      </x:c>
      <x:c r="M286" s="50" t="n">
        <x:v>17</x:v>
      </x:c>
      <x:c r="N286" s="50" t="n">
        <x:v>8</x:v>
      </x:c>
      <x:c r="O286" s="50" t="n">
        <x:v>21</x:v>
      </x:c>
      <x:c r="P286" s="50" t="n">
        <x:v>13</x:v>
      </x:c>
    </x:row>
    <x:row r="287" ht="36" customHeight="1">
      <x:c r="A287" s="53" t="n">
        <x:v>268</x:v>
      </x:c>
      <x:c r="B287" s="53" t="n">
        <x:v>2</x:v>
      </x:c>
      <x:c r="C287" s="40" t="str">
        <x:v>Large-Basket Occasional Shoppers</x:v>
      </x:c>
      <x:c r="D287" s="60" t="n">
        <x:v>809.21</x:v>
      </x:c>
      <x:c r="E287" s="50" t="n">
        <x:v>30</x:v>
      </x:c>
      <x:c r="F287" s="46" t="n">
        <x:v>2.5</x:v>
      </x:c>
      <x:c r="G287" s="46" t="n">
        <x:v>35</x:v>
      </x:c>
      <x:c r="H287" s="61" t="n">
        <x:v>26.973666666666663</x:v>
      </x:c>
      <x:c r="I287" s="52" t="n">
        <x:v>0.8333333333333333</x:v>
      </x:c>
      <x:c r="J287" s="52" t="n">
        <x:v>0.6178742230076247</x:v>
      </x:c>
      <x:c r="K287" s="60" t="n">
        <x:v>790.8</x:v>
      </x:c>
      <x:c r="L287" s="60" t="n">
        <x:v>18.41</x:v>
      </x:c>
      <x:c r="M287" s="50" t="n">
        <x:v>25</x:v>
      </x:c>
      <x:c r="N287" s="50" t="n">
        <x:v>5</x:v>
      </x:c>
      <x:c r="O287" s="50" t="n">
        <x:v>93</x:v>
      </x:c>
      <x:c r="P287" s="50" t="n">
        <x:v>12</x:v>
      </x:c>
    </x:row>
    <x:row r="288" ht="36" customHeight="1">
      <x:c r="A288" s="53" t="n">
        <x:v>269</x:v>
      </x:c>
      <x:c r="B288" s="53" t="n">
        <x:v>3</x:v>
      </x:c>
      <x:c r="C288" s="40" t="str">
        <x:v>Low-Value Low-Engagement Shoppers</x:v>
      </x:c>
      <x:c r="D288" s="60" t="n">
        <x:v>1764.76</x:v>
      </x:c>
      <x:c r="E288" s="50" t="n">
        <x:v>84</x:v>
      </x:c>
      <x:c r="F288" s="46" t="n">
        <x:v>4.941176470588236</x:v>
      </x:c>
      <x:c r="G288" s="46" t="n">
        <x:v>4</x:v>
      </x:c>
      <x:c r="H288" s="61" t="n">
        <x:v>21.009047619047617</x:v>
      </x:c>
      <x:c r="I288" s="52" t="n">
        <x:v>0.75</x:v>
      </x:c>
      <x:c r="J288" s="52" t="n">
        <x:v>0.4197227951676148</x:v>
      </x:c>
      <x:c r="K288" s="60" t="n">
        <x:v>1518.19</x:v>
      </x:c>
      <x:c r="L288" s="60" t="n">
        <x:v>246.57</x:v>
      </x:c>
      <x:c r="M288" s="50" t="n">
        <x:v>63</x:v>
      </x:c>
      <x:c r="N288" s="50" t="n">
        <x:v>21</x:v>
      </x:c>
      <x:c r="O288" s="50" t="n">
        <x:v>100</x:v>
      </x:c>
      <x:c r="P288" s="50" t="n">
        <x:v>17</x:v>
      </x:c>
    </x:row>
    <x:row r="289" ht="36" customHeight="1">
      <x:c r="A289" s="53" t="n">
        <x:v>270</x:v>
      </x:c>
      <x:c r="B289" s="53" t="n">
        <x:v>3</x:v>
      </x:c>
      <x:c r="C289" s="40" t="str">
        <x:v>Low-Value Low-Engagement Shoppers</x:v>
      </x:c>
      <x:c r="D289" s="60" t="n">
        <x:v>923.46</x:v>
      </x:c>
      <x:c r="E289" s="50" t="n">
        <x:v>40</x:v>
      </x:c>
      <x:c r="F289" s="46" t="n">
        <x:v>3.0769230769230766</x:v>
      </x:c>
      <x:c r="G289" s="46" t="n">
        <x:v>3</x:v>
      </x:c>
      <x:c r="H289" s="61" t="n">
        <x:v>23.0865</x:v>
      </x:c>
      <x:c r="I289" s="52" t="n">
        <x:v>0.75</x:v>
      </x:c>
      <x:c r="J289" s="52" t="n">
        <x:v>0.6316137136421718</x:v>
      </x:c>
      <x:c r="K289" s="60" t="n">
        <x:v>800.29</x:v>
      </x:c>
      <x:c r="L289" s="60" t="n">
        <x:v>123.17</x:v>
      </x:c>
      <x:c r="M289" s="50" t="n">
        <x:v>30</x:v>
      </x:c>
      <x:c r="N289" s="50" t="n">
        <x:v>10</x:v>
      </x:c>
      <x:c r="O289" s="50" t="n">
        <x:v>77</x:v>
      </x:c>
      <x:c r="P289" s="50" t="n">
        <x:v>13</x:v>
      </x:c>
    </x:row>
    <x:row r="290" ht="36" customHeight="1">
      <x:c r="A290" s="53" t="n">
        <x:v>271</x:v>
      </x:c>
      <x:c r="B290" s="53" t="n">
        <x:v>3</x:v>
      </x:c>
      <x:c r="C290" s="40" t="str">
        <x:v>Low-Value Low-Engagement Shoppers</x:v>
      </x:c>
      <x:c r="D290" s="60" t="n">
        <x:v>1375.52</x:v>
      </x:c>
      <x:c r="E290" s="50" t="n">
        <x:v>98</x:v>
      </x:c>
      <x:c r="F290" s="46" t="n">
        <x:v>4.454545454545455</x:v>
      </x:c>
      <x:c r="G290" s="46" t="n">
        <x:v>7</x:v>
      </x:c>
      <x:c r="H290" s="61" t="n">
        <x:v>14.035918367346936</x:v>
      </x:c>
      <x:c r="I290" s="52" t="n">
        <x:v>0.7346938775510204</x:v>
      </x:c>
      <x:c r="J290" s="52" t="n">
        <x:v>0.5659968593695475</x:v>
      </x:c>
      <x:c r="K290" s="60" t="n">
        <x:v>1288.44</x:v>
      </x:c>
      <x:c r="L290" s="60" t="n">
        <x:v>87.08</x:v>
      </x:c>
      <x:c r="M290" s="50" t="n">
        <x:v>72</x:v>
      </x:c>
      <x:c r="N290" s="50" t="n">
        <x:v>26</x:v>
      </x:c>
      <x:c r="O290" s="50" t="n">
        <x:v>92</x:v>
      </x:c>
      <x:c r="P290" s="50" t="n">
        <x:v>22</x:v>
      </x:c>
    </x:row>
    <x:row r="291" ht="36" customHeight="1">
      <x:c r="A291" s="53" t="n">
        <x:v>272</x:v>
      </x:c>
      <x:c r="B291" s="53" t="n">
        <x:v>2</x:v>
      </x:c>
      <x:c r="C291" s="40" t="str">
        <x:v>Large-Basket Occasional Shoppers</x:v>
      </x:c>
      <x:c r="D291" s="60" t="n">
        <x:v>401.62</x:v>
      </x:c>
      <x:c r="E291" s="50" t="n">
        <x:v>7</x:v>
      </x:c>
      <x:c r="F291" s="46" t="n">
        <x:v>1.4</x:v>
      </x:c>
      <x:c r="G291" s="46" t="n">
        <x:v>254</x:v>
      </x:c>
      <x:c r="H291" s="61" t="n">
        <x:v>57.37428571428571</x:v>
      </x:c>
      <x:c r="I291" s="52" t="n">
        <x:v>1</x:v>
      </x:c>
      <x:c r="J291" s="52" t="n">
        <x:v>0.5625964842388327</x:v>
      </x:c>
      <x:c r="K291" s="60" t="n">
        <x:v>401.62</x:v>
      </x:c>
      <x:c r="L291" s="60" t="n">
        <x:v>0</x:v>
      </x:c>
      <x:c r="M291" s="50" t="n">
        <x:v>7</x:v>
      </x:c>
      <x:c r="N291" s="50" t="n">
        <x:v>0</x:v>
      </x:c>
      <x:c r="O291" s="50" t="n">
        <x:v>62</x:v>
      </x:c>
      <x:c r="P291" s="50" t="n">
        <x:v>5</x:v>
      </x:c>
    </x:row>
    <x:row r="292" ht="36" customHeight="1">
      <x:c r="A292" s="53" t="n">
        <x:v>273</x:v>
      </x:c>
      <x:c r="B292" s="53" t="n">
        <x:v>1</x:v>
      </x:c>
      <x:c r="C292" s="40" t="str">
        <x:v>High-Value Frequent Shoppers</x:v>
      </x:c>
      <x:c r="D292" s="60" t="n">
        <x:v>2500.86</x:v>
      </x:c>
      <x:c r="E292" s="50" t="n">
        <x:v>127</x:v>
      </x:c>
      <x:c r="F292" s="46" t="n">
        <x:v>5.521739130434783</x:v>
      </x:c>
      <x:c r="G292" s="46" t="n">
        <x:v>1</x:v>
      </x:c>
      <x:c r="H292" s="61" t="n">
        <x:v>19.691811023622048</x:v>
      </x:c>
      <x:c r="I292" s="52" t="n">
        <x:v>0.7952755905511811</x:v>
      </x:c>
      <x:c r="J292" s="52" t="n">
        <x:v>0.3330894172404692</x:v>
      </x:c>
      <x:c r="K292" s="60" t="n">
        <x:v>2241.54</x:v>
      </x:c>
      <x:c r="L292" s="60" t="n">
        <x:v>259.32</x:v>
      </x:c>
      <x:c r="M292" s="50" t="n">
        <x:v>101</x:v>
      </x:c>
      <x:c r="N292" s="50" t="n">
        <x:v>26</x:v>
      </x:c>
      <x:c r="O292" s="50" t="n">
        <x:v>130</x:v>
      </x:c>
      <x:c r="P292" s="50" t="n">
        <x:v>23</x:v>
      </x:c>
    </x:row>
    <x:row r="293" ht="36" customHeight="1">
      <x:c r="A293" s="53" t="n">
        <x:v>274</x:v>
      </x:c>
      <x:c r="B293" s="53" t="n">
        <x:v>3</x:v>
      </x:c>
      <x:c r="C293" s="40" t="str">
        <x:v>Low-Value Low-Engagement Shoppers</x:v>
      </x:c>
      <x:c r="D293" s="60" t="n">
        <x:v>120.07</x:v>
      </x:c>
      <x:c r="E293" s="50" t="n">
        <x:v>15</x:v>
      </x:c>
      <x:c r="F293" s="46" t="n">
        <x:v>1.6666666666666667</x:v>
      </x:c>
      <x:c r="G293" s="46" t="n">
        <x:v>37</x:v>
      </x:c>
      <x:c r="H293" s="61" t="n">
        <x:v>8.004666666666665</x:v>
      </x:c>
      <x:c r="I293" s="52" t="n">
        <x:v>0.8666666666666666</x:v>
      </x:c>
      <x:c r="J293" s="52" t="n">
        <x:v>0.4484883817772965</x:v>
      </x:c>
      <x:c r="K293" s="60" t="n">
        <x:v>111.79</x:v>
      </x:c>
      <x:c r="L293" s="60" t="n">
        <x:v>8.28</x:v>
      </x:c>
      <x:c r="M293" s="50" t="n">
        <x:v>13</x:v>
      </x:c>
      <x:c r="N293" s="50" t="n">
        <x:v>2</x:v>
      </x:c>
      <x:c r="O293" s="50" t="n">
        <x:v>33</x:v>
      </x:c>
      <x:c r="P293" s="50" t="n">
        <x:v>9</x:v>
      </x:c>
    </x:row>
    <x:row r="294" ht="36" customHeight="1">
      <x:c r="A294" s="53" t="n">
        <x:v>275</x:v>
      </x:c>
      <x:c r="B294" s="53" t="n">
        <x:v>1</x:v>
      </x:c>
      <x:c r="C294" s="40" t="str">
        <x:v>High-Value Frequent Shoppers</x:v>
      </x:c>
      <x:c r="D294" s="60" t="n">
        <x:v>6284.99</x:v>
      </x:c>
      <x:c r="E294" s="50" t="n">
        <x:v>320</x:v>
      </x:c>
      <x:c r="F294" s="46" t="n">
        <x:v>15.238095238095235</x:v>
      </x:c>
      <x:c r="G294" s="46" t="n">
        <x:v>0</x:v>
      </x:c>
      <x:c r="H294" s="61" t="n">
        <x:v>19.64059375</x:v>
      </x:c>
      <x:c r="I294" s="52" t="n">
        <x:v>0.81875</x:v>
      </x:c>
      <x:c r="J294" s="52" t="n">
        <x:v>0.5059005662697951</x:v>
      </x:c>
      <x:c r="K294" s="60" t="n">
        <x:v>5523.48</x:v>
      </x:c>
      <x:c r="L294" s="60" t="n">
        <x:v>761.51</x:v>
      </x:c>
      <x:c r="M294" s="50" t="n">
        <x:v>262</x:v>
      </x:c>
      <x:c r="N294" s="50" t="n">
        <x:v>58</x:v>
      </x:c>
      <x:c r="O294" s="50" t="n">
        <x:v>131</x:v>
      </x:c>
      <x:c r="P294" s="50" t="n">
        <x:v>21</x:v>
      </x:c>
    </x:row>
    <x:row r="295" ht="36" customHeight="1">
      <x:c r="A295" s="53" t="n">
        <x:v>276</x:v>
      </x:c>
      <x:c r="B295" s="53" t="n">
        <x:v>1</x:v>
      </x:c>
      <x:c r="C295" s="40" t="str">
        <x:v>High-Value Frequent Shoppers</x:v>
      </x:c>
      <x:c r="D295" s="60" t="n">
        <x:v>5758.71</x:v>
      </x:c>
      <x:c r="E295" s="50" t="n">
        <x:v>172</x:v>
      </x:c>
      <x:c r="F295" s="46" t="n">
        <x:v>8.19047619047619</x:v>
      </x:c>
      <x:c r="G295" s="46" t="n">
        <x:v>2</x:v>
      </x:c>
      <x:c r="H295" s="61" t="n">
        <x:v>33.48087209302325</x:v>
      </x:c>
      <x:c r="I295" s="52" t="n">
        <x:v>0.8546511627906976</x:v>
      </x:c>
      <x:c r="J295" s="52" t="n">
        <x:v>0.5461396736421872</x:v>
      </x:c>
      <x:c r="K295" s="60" t="n">
        <x:v>5550.5</x:v>
      </x:c>
      <x:c r="L295" s="60" t="n">
        <x:v>208.21</x:v>
      </x:c>
      <x:c r="M295" s="50" t="n">
        <x:v>147</x:v>
      </x:c>
      <x:c r="N295" s="50" t="n">
        <x:v>25</x:v>
      </x:c>
      <x:c r="O295" s="50" t="n">
        <x:v>152</x:v>
      </x:c>
      <x:c r="P295" s="50" t="n">
        <x:v>21</x:v>
      </x:c>
    </x:row>
    <x:row r="296" ht="36" customHeight="1">
      <x:c r="A296" s="53" t="n">
        <x:v>277</x:v>
      </x:c>
      <x:c r="B296" s="53" t="n">
        <x:v>3</x:v>
      </x:c>
      <x:c r="C296" s="40" t="str">
        <x:v>Low-Value Low-Engagement Shoppers</x:v>
      </x:c>
      <x:c r="D296" s="60" t="n">
        <x:v>754.05</x:v>
      </x:c>
      <x:c r="E296" s="50" t="n">
        <x:v>31</x:v>
      </x:c>
      <x:c r="F296" s="46" t="n">
        <x:v>2.2142857142857144</x:v>
      </x:c>
      <x:c r="G296" s="46" t="n">
        <x:v>17</x:v>
      </x:c>
      <x:c r="H296" s="61" t="n">
        <x:v>24.324193548387097</x:v>
      </x:c>
      <x:c r="I296" s="52" t="n">
        <x:v>0.6129032258064516</x:v>
      </x:c>
      <x:c r="J296" s="52" t="n">
        <x:v>0.6207015449903852</x:v>
      </x:c>
      <x:c r="K296" s="60" t="n">
        <x:v>676.26</x:v>
      </x:c>
      <x:c r="L296" s="60" t="n">
        <x:v>77.79</x:v>
      </x:c>
      <x:c r="M296" s="50" t="n">
        <x:v>19</x:v>
      </x:c>
      <x:c r="N296" s="50" t="n">
        <x:v>12</x:v>
      </x:c>
      <x:c r="O296" s="50" t="n">
        <x:v>62</x:v>
      </x:c>
      <x:c r="P296" s="50" t="n">
        <x:v>14</x:v>
      </x:c>
    </x:row>
    <x:row r="297" ht="36" customHeight="1">
      <x:c r="A297" s="53" t="n">
        <x:v>278</x:v>
      </x:c>
      <x:c r="B297" s="53" t="n">
        <x:v>2</x:v>
      </x:c>
      <x:c r="C297" s="40" t="str">
        <x:v>Large-Basket Occasional Shoppers</x:v>
      </x:c>
      <x:c r="D297" s="60" t="n">
        <x:v>2053.56</x:v>
      </x:c>
      <x:c r="E297" s="50" t="n">
        <x:v>84</x:v>
      </x:c>
      <x:c r="F297" s="46" t="n">
        <x:v>3.6521739130434794</x:v>
      </x:c>
      <x:c r="G297" s="46" t="n">
        <x:v>5</x:v>
      </x:c>
      <x:c r="H297" s="61" t="n">
        <x:v>24.447142857142858</x:v>
      </x:c>
      <x:c r="I297" s="52" t="n">
        <x:v>0.8452380952380952</x:v>
      </x:c>
      <x:c r="J297" s="52" t="n">
        <x:v>0.5055756832038021</x:v>
      </x:c>
      <x:c r="K297" s="60" t="n">
        <x:v>1978.77</x:v>
      </x:c>
      <x:c r="L297" s="60" t="n">
        <x:v>74.79</x:v>
      </x:c>
      <x:c r="M297" s="50" t="n">
        <x:v>71</x:v>
      </x:c>
      <x:c r="N297" s="50" t="n">
        <x:v>13</x:v>
      </x:c>
      <x:c r="O297" s="50" t="n">
        <x:v>107</x:v>
      </x:c>
      <x:c r="P297" s="50" t="n">
        <x:v>23</x:v>
      </x:c>
    </x:row>
    <x:row r="298" ht="36" customHeight="1">
      <x:c r="A298" s="53" t="n">
        <x:v>279</x:v>
      </x:c>
      <x:c r="B298" s="53" t="n">
        <x:v>2</x:v>
      </x:c>
      <x:c r="C298" s="40" t="str">
        <x:v>Large-Basket Occasional Shoppers</x:v>
      </x:c>
      <x:c r="D298" s="60" t="n">
        <x:v>1816.62</x:v>
      </x:c>
      <x:c r="E298" s="50" t="n">
        <x:v>52</x:v>
      </x:c>
      <x:c r="F298" s="46" t="n">
        <x:v>3.25</x:v>
      </x:c>
      <x:c r="G298" s="46" t="n">
        <x:v>56</x:v>
      </x:c>
      <x:c r="H298" s="61" t="n">
        <x:v>34.935</x:v>
      </x:c>
      <x:c r="I298" s="52" t="n">
        <x:v>0.903846153846154</x:v>
      </x:c>
      <x:c r="J298" s="52" t="n">
        <x:v>0.6384384186015787</x:v>
      </x:c>
      <x:c r="K298" s="60" t="n">
        <x:v>1794.05</x:v>
      </x:c>
      <x:c r="L298" s="60" t="n">
        <x:v>22.57</x:v>
      </x:c>
      <x:c r="M298" s="50" t="n">
        <x:v>47</x:v>
      </x:c>
      <x:c r="N298" s="50" t="n">
        <x:v>5</x:v>
      </x:c>
      <x:c r="O298" s="50" t="n">
        <x:v>117</x:v>
      </x:c>
      <x:c r="P298" s="50" t="n">
        <x:v>16</x:v>
      </x:c>
    </x:row>
    <x:row r="299" ht="36" customHeight="1">
      <x:c r="A299" s="53" t="n">
        <x:v>280</x:v>
      </x:c>
      <x:c r="B299" s="53" t="n">
        <x:v>1</x:v>
      </x:c>
      <x:c r="C299" s="40" t="str">
        <x:v>High-Value Frequent Shoppers</x:v>
      </x:c>
      <x:c r="D299" s="60" t="n">
        <x:v>2375.86</x:v>
      </x:c>
      <x:c r="E299" s="50" t="n">
        <x:v>105</x:v>
      </x:c>
      <x:c r="F299" s="46" t="n">
        <x:v>4.375</x:v>
      </x:c>
      <x:c r="G299" s="46" t="n">
        <x:v>3</x:v>
      </x:c>
      <x:c r="H299" s="61" t="n">
        <x:v>22.62723809523809</x:v>
      </x:c>
      <x:c r="I299" s="52" t="n">
        <x:v>0.7619047619047619</x:v>
      </x:c>
      <x:c r="J299" s="52" t="n">
        <x:v>0.6072664214221376</x:v>
      </x:c>
      <x:c r="K299" s="60" t="n">
        <x:v>2221.35</x:v>
      </x:c>
      <x:c r="L299" s="60" t="n">
        <x:v>154.51</x:v>
      </x:c>
      <x:c r="M299" s="50" t="n">
        <x:v>80</x:v>
      </x:c>
      <x:c r="N299" s="50" t="n">
        <x:v>25</x:v>
      </x:c>
      <x:c r="O299" s="50" t="n">
        <x:v>111</x:v>
      </x:c>
      <x:c r="P299" s="50" t="n">
        <x:v>24</x:v>
      </x:c>
    </x:row>
    <x:row r="300" ht="36" customHeight="1">
      <x:c r="A300" s="53" t="n">
        <x:v>281</x:v>
      </x:c>
      <x:c r="B300" s="53" t="n">
        <x:v>2</x:v>
      </x:c>
      <x:c r="C300" s="40" t="str">
        <x:v>Large-Basket Occasional Shoppers</x:v>
      </x:c>
      <x:c r="D300" s="60" t="n">
        <x:v>1495.08</x:v>
      </x:c>
      <x:c r="E300" s="50" t="n">
        <x:v>79</x:v>
      </x:c>
      <x:c r="F300" s="46" t="n">
        <x:v>3.434782608695652</x:v>
      </x:c>
      <x:c r="G300" s="46" t="n">
        <x:v>5</x:v>
      </x:c>
      <x:c r="H300" s="61" t="n">
        <x:v>18.92506329113924</x:v>
      </x:c>
      <x:c r="I300" s="52" t="n">
        <x:v>0.8987341772151898</x:v>
      </x:c>
      <x:c r="J300" s="52" t="n">
        <x:v>0.5423589373143912</x:v>
      </x:c>
      <x:c r="K300" s="60" t="n">
        <x:v>1463.52</x:v>
      </x:c>
      <x:c r="L300" s="60" t="n">
        <x:v>31.56</x:v>
      </x:c>
      <x:c r="M300" s="50" t="n">
        <x:v>71</x:v>
      </x:c>
      <x:c r="N300" s="50" t="n">
        <x:v>8</x:v>
      </x:c>
      <x:c r="O300" s="50" t="n">
        <x:v>85</x:v>
      </x:c>
      <x:c r="P300" s="50" t="n">
        <x:v>23</x:v>
      </x:c>
    </x:row>
    <x:row r="301" ht="36" customHeight="1">
      <x:c r="A301" s="53" t="n">
        <x:v>282</x:v>
      </x:c>
      <x:c r="B301" s="53" t="n">
        <x:v>1</x:v>
      </x:c>
      <x:c r="C301" s="40" t="str">
        <x:v>High-Value Frequent Shoppers</x:v>
      </x:c>
      <x:c r="D301" s="60" t="n">
        <x:v>4162.56</x:v>
      </x:c>
      <x:c r="E301" s="50" t="n">
        <x:v>110</x:v>
      </x:c>
      <x:c r="F301" s="46" t="n">
        <x:v>5</x:v>
      </x:c>
      <x:c r="G301" s="46" t="n">
        <x:v>0</x:v>
      </x:c>
      <x:c r="H301" s="61" t="n">
        <x:v>37.84145454545455</x:v>
      </x:c>
      <x:c r="I301" s="52" t="n">
        <x:v>0.7727272727272727</x:v>
      </x:c>
      <x:c r="J301" s="52" t="n">
        <x:v>0.4830248693111931</x:v>
      </x:c>
      <x:c r="K301" s="60" t="n">
        <x:v>3867.25</x:v>
      </x:c>
      <x:c r="L301" s="60" t="n">
        <x:v>295.31</x:v>
      </x:c>
      <x:c r="M301" s="50" t="n">
        <x:v>85</x:v>
      </x:c>
      <x:c r="N301" s="50" t="n">
        <x:v>25</x:v>
      </x:c>
      <x:c r="O301" s="50" t="n">
        <x:v>151</x:v>
      </x:c>
      <x:c r="P301" s="50" t="n">
        <x:v>22</x:v>
      </x:c>
    </x:row>
    <x:row r="302" ht="36" customHeight="1">
      <x:c r="A302" s="53" t="n">
        <x:v>283</x:v>
      </x:c>
      <x:c r="B302" s="53" t="n">
        <x:v>2</x:v>
      </x:c>
      <x:c r="C302" s="40" t="str">
        <x:v>Large-Basket Occasional Shoppers</x:v>
      </x:c>
      <x:c r="D302" s="60" t="n">
        <x:v>6023.37</x:v>
      </x:c>
      <x:c r="E302" s="50" t="n">
        <x:v>78</x:v>
      </x:c>
      <x:c r="F302" s="46" t="n">
        <x:v>3.7142857142857135</x:v>
      </x:c>
      <x:c r="G302" s="46" t="n">
        <x:v>11</x:v>
      </x:c>
      <x:c r="H302" s="61" t="n">
        <x:v>77.2226923076923</x:v>
      </x:c>
      <x:c r="I302" s="52" t="n">
        <x:v>0.9102564102564102</x:v>
      </x:c>
      <x:c r="J302" s="52" t="n">
        <x:v>0.490638961245947</x:v>
      </x:c>
      <x:c r="K302" s="60" t="n">
        <x:v>5900.77</x:v>
      </x:c>
      <x:c r="L302" s="60" t="n">
        <x:v>122.6</x:v>
      </x:c>
      <x:c r="M302" s="50" t="n">
        <x:v>71</x:v>
      </x:c>
      <x:c r="N302" s="50" t="n">
        <x:v>7</x:v>
      </x:c>
      <x:c r="O302" s="50" t="n">
        <x:v>169</x:v>
      </x:c>
      <x:c r="P302" s="50" t="n">
        <x:v>21</x:v>
      </x:c>
    </x:row>
    <x:row r="303" ht="36" customHeight="1">
      <x:c r="A303" s="53" t="n">
        <x:v>284</x:v>
      </x:c>
      <x:c r="B303" s="53" t="n">
        <x:v>3</x:v>
      </x:c>
      <x:c r="C303" s="40" t="str">
        <x:v>Low-Value Low-Engagement Shoppers</x:v>
      </x:c>
      <x:c r="D303" s="60" t="n">
        <x:v>534.98</x:v>
      </x:c>
      <x:c r="E303" s="50" t="n">
        <x:v>21</x:v>
      </x:c>
      <x:c r="F303" s="46" t="n">
        <x:v>1.9090909090909087</x:v>
      </x:c>
      <x:c r="G303" s="46" t="n">
        <x:v>6</x:v>
      </x:c>
      <x:c r="H303" s="61" t="n">
        <x:v>25.47523809523809</x:v>
      </x:c>
      <x:c r="I303" s="52" t="n">
        <x:v>0.7142857142857142</x:v>
      </x:c>
      <x:c r="J303" s="52" t="n">
        <x:v>0.435511607910576</x:v>
      </x:c>
      <x:c r="K303" s="60" t="n">
        <x:v>461.78</x:v>
      </x:c>
      <x:c r="L303" s="60" t="n">
        <x:v>73.2</x:v>
      </x:c>
      <x:c r="M303" s="50" t="n">
        <x:v>15</x:v>
      </x:c>
      <x:c r="N303" s="50" t="n">
        <x:v>6</x:v>
      </x:c>
      <x:c r="O303" s="50" t="n">
        <x:v>62</x:v>
      </x:c>
      <x:c r="P303" s="50" t="n">
        <x:v>11</x:v>
      </x:c>
    </x:row>
    <x:row r="304" ht="36" customHeight="1">
      <x:c r="A304" s="53" t="n">
        <x:v>285</x:v>
      </x:c>
      <x:c r="B304" s="53" t="n">
        <x:v>1</x:v>
      </x:c>
      <x:c r="C304" s="40" t="str">
        <x:v>High-Value Frequent Shoppers</x:v>
      </x:c>
      <x:c r="D304" s="60" t="n">
        <x:v>4227.64</x:v>
      </x:c>
      <x:c r="E304" s="50" t="n">
        <x:v>201</x:v>
      </x:c>
      <x:c r="F304" s="46" t="n">
        <x:v>9.136363636363637</x:v>
      </x:c>
      <x:c r="G304" s="46" t="n">
        <x:v>1</x:v>
      </x:c>
      <x:c r="H304" s="61" t="n">
        <x:v>21.033034825870647</x:v>
      </x:c>
      <x:c r="I304" s="52" t="n">
        <x:v>0.8606965174129353</x:v>
      </x:c>
      <x:c r="J304" s="52" t="n">
        <x:v>0.5516316431862694</x:v>
      </x:c>
      <x:c r="K304" s="60" t="n">
        <x:v>3936.57</x:v>
      </x:c>
      <x:c r="L304" s="60" t="n">
        <x:v>291.07</x:v>
      </x:c>
      <x:c r="M304" s="50" t="n">
        <x:v>173</x:v>
      </x:c>
      <x:c r="N304" s="50" t="n">
        <x:v>28</x:v>
      </x:c>
      <x:c r="O304" s="50" t="n">
        <x:v>132</x:v>
      </x:c>
      <x:c r="P304" s="50" t="n">
        <x:v>22</x:v>
      </x:c>
    </x:row>
    <x:row r="305" ht="36" customHeight="1">
      <x:c r="A305" s="53" t="n">
        <x:v>286</x:v>
      </x:c>
      <x:c r="B305" s="53" t="n">
        <x:v>2</x:v>
      </x:c>
      <x:c r="C305" s="40" t="str">
        <x:v>Large-Basket Occasional Shoppers</x:v>
      </x:c>
      <x:c r="D305" s="60" t="n">
        <x:v>1245.24</x:v>
      </x:c>
      <x:c r="E305" s="50" t="n">
        <x:v>41</x:v>
      </x:c>
      <x:c r="F305" s="46" t="n">
        <x:v>2.2777777777777777</x:v>
      </x:c>
      <x:c r="G305" s="46" t="n">
        <x:v>0</x:v>
      </x:c>
      <x:c r="H305" s="61" t="n">
        <x:v>30.371707317073167</x:v>
      </x:c>
      <x:c r="I305" s="52" t="n">
        <x:v>0.7560975609756097</x:v>
      </x:c>
      <x:c r="J305" s="52" t="n">
        <x:v>0.3526147569946355</x:v>
      </x:c>
      <x:c r="K305" s="60" t="n">
        <x:v>1056.04</x:v>
      </x:c>
      <x:c r="L305" s="60" t="n">
        <x:v>189.2</x:v>
      </x:c>
      <x:c r="M305" s="50" t="n">
        <x:v>31</x:v>
      </x:c>
      <x:c r="N305" s="50" t="n">
        <x:v>10</x:v>
      </x:c>
      <x:c r="O305" s="50" t="n">
        <x:v>88</x:v>
      </x:c>
      <x:c r="P305" s="50" t="n">
        <x:v>18</x:v>
      </x:c>
    </x:row>
    <x:row r="306" ht="36" customHeight="1">
      <x:c r="A306" s="53" t="n">
        <x:v>287</x:v>
      </x:c>
      <x:c r="B306" s="53" t="n">
        <x:v>1</x:v>
      </x:c>
      <x:c r="C306" s="40" t="str">
        <x:v>High-Value Frequent Shoppers</x:v>
      </x:c>
      <x:c r="D306" s="60" t="n">
        <x:v>3229.28</x:v>
      </x:c>
      <x:c r="E306" s="50" t="n">
        <x:v>271</x:v>
      </x:c>
      <x:c r="F306" s="46" t="n">
        <x:v>11.291666666666666</x:v>
      </x:c>
      <x:c r="G306" s="46" t="n">
        <x:v>2</x:v>
      </x:c>
      <x:c r="H306" s="61" t="n">
        <x:v>11.916162361623616</x:v>
      </x:c>
      <x:c r="I306" s="52" t="n">
        <x:v>0.7121771217712177</x:v>
      </x:c>
      <x:c r="J306" s="52" t="n">
        <x:v>0.5191219095278204</x:v>
      </x:c>
      <x:c r="K306" s="60" t="n">
        <x:v>2844.23</x:v>
      </x:c>
      <x:c r="L306" s="60" t="n">
        <x:v>385.05</x:v>
      </x:c>
      <x:c r="M306" s="50" t="n">
        <x:v>193</x:v>
      </x:c>
      <x:c r="N306" s="50" t="n">
        <x:v>78</x:v>
      </x:c>
      <x:c r="O306" s="50" t="n">
        <x:v>151</x:v>
      </x:c>
      <x:c r="P306" s="50" t="n">
        <x:v>24</x:v>
      </x:c>
    </x:row>
    <x:row r="307" ht="36" customHeight="1">
      <x:c r="A307" s="53" t="n">
        <x:v>288</x:v>
      </x:c>
      <x:c r="B307" s="53" t="n">
        <x:v>1</x:v>
      </x:c>
      <x:c r="C307" s="40" t="str">
        <x:v>High-Value Frequent Shoppers</x:v>
      </x:c>
      <x:c r="D307" s="60" t="n">
        <x:v>3114.77</x:v>
      </x:c>
      <x:c r="E307" s="50" t="n">
        <x:v>92</x:v>
      </x:c>
      <x:c r="F307" s="46" t="n">
        <x:v>4.842105263157896</x:v>
      </x:c>
      <x:c r="G307" s="46" t="n">
        <x:v>2</x:v>
      </x:c>
      <x:c r="H307" s="61" t="n">
        <x:v>33.85619565217392</x:v>
      </x:c>
      <x:c r="I307" s="52" t="n">
        <x:v>0.8695652173913043</x:v>
      </x:c>
      <x:c r="J307" s="52" t="n">
        <x:v>0.4352327780221332</x:v>
      </x:c>
      <x:c r="K307" s="60" t="n">
        <x:v>2959.73</x:v>
      </x:c>
      <x:c r="L307" s="60" t="n">
        <x:v>155.04</x:v>
      </x:c>
      <x:c r="M307" s="50" t="n">
        <x:v>80</x:v>
      </x:c>
      <x:c r="N307" s="50" t="n">
        <x:v>12</x:v>
      </x:c>
      <x:c r="O307" s="50" t="n">
        <x:v>143</x:v>
      </x:c>
      <x:c r="P307" s="50" t="n">
        <x:v>19</x:v>
      </x:c>
    </x:row>
    <x:row r="308" ht="36" customHeight="1">
      <x:c r="A308" s="53" t="n">
        <x:v>289</x:v>
      </x:c>
      <x:c r="B308" s="53" t="n">
        <x:v>1</x:v>
      </x:c>
      <x:c r="C308" s="40" t="str">
        <x:v>High-Value Frequent Shoppers</x:v>
      </x:c>
      <x:c r="D308" s="60" t="n">
        <x:v>5970.47</x:v>
      </x:c>
      <x:c r="E308" s="50" t="n">
        <x:v>182</x:v>
      </x:c>
      <x:c r="F308" s="46" t="n">
        <x:v>9.1</x:v>
      </x:c>
      <x:c r="G308" s="46" t="n">
        <x:v>13</x:v>
      </x:c>
      <x:c r="H308" s="61" t="n">
        <x:v>32.80478021978021</x:v>
      </x:c>
      <x:c r="I308" s="52" t="n">
        <x:v>0.8571428571428571</x:v>
      </x:c>
      <x:c r="J308" s="52" t="n">
        <x:v>0.5249469472252603</x:v>
      </x:c>
      <x:c r="K308" s="60" t="n">
        <x:v>5527.13</x:v>
      </x:c>
      <x:c r="L308" s="60" t="n">
        <x:v>443.34</x:v>
      </x:c>
      <x:c r="M308" s="50" t="n">
        <x:v>156</x:v>
      </x:c>
      <x:c r="N308" s="50" t="n">
        <x:v>26</x:v>
      </x:c>
      <x:c r="O308" s="50" t="n">
        <x:v>152</x:v>
      </x:c>
      <x:c r="P308" s="50" t="n">
        <x:v>20</x:v>
      </x:c>
    </x:row>
    <x:row r="309" ht="36" customHeight="1">
      <x:c r="A309" s="53" t="n">
        <x:v>290</x:v>
      </x:c>
      <x:c r="B309" s="53" t="n">
        <x:v>1</x:v>
      </x:c>
      <x:c r="C309" s="40" t="str">
        <x:v>High-Value Frequent Shoppers</x:v>
      </x:c>
      <x:c r="D309" s="60" t="n">
        <x:v>5524.34</x:v>
      </x:c>
      <x:c r="E309" s="50" t="n">
        <x:v>286</x:v>
      </x:c>
      <x:c r="F309" s="46" t="n">
        <x:v>14.3</x:v>
      </x:c>
      <x:c r="G309" s="46" t="n">
        <x:v>1</x:v>
      </x:c>
      <x:c r="H309" s="61" t="n">
        <x:v>19.315874125874124</x:v>
      </x:c>
      <x:c r="I309" s="52" t="n">
        <x:v>0.8776223776223776</x:v>
      </x:c>
      <x:c r="J309" s="52" t="n">
        <x:v>0.5122512372518708</x:v>
      </x:c>
      <x:c r="K309" s="60" t="n">
        <x:v>5317.74</x:v>
      </x:c>
      <x:c r="L309" s="60" t="n">
        <x:v>206.6</x:v>
      </x:c>
      <x:c r="M309" s="50" t="n">
        <x:v>251</x:v>
      </x:c>
      <x:c r="N309" s="50" t="n">
        <x:v>35</x:v>
      </x:c>
      <x:c r="O309" s="50" t="n">
        <x:v>138</x:v>
      </x:c>
      <x:c r="P309" s="50" t="n">
        <x:v>20</x:v>
      </x:c>
    </x:row>
    <x:row r="310" ht="36" customHeight="1">
      <x:c r="A310" s="53" t="n">
        <x:v>291</x:v>
      </x:c>
      <x:c r="B310" s="53" t="n">
        <x:v>2</x:v>
      </x:c>
      <x:c r="C310" s="40" t="str">
        <x:v>Large-Basket Occasional Shoppers</x:v>
      </x:c>
      <x:c r="D310" s="60" t="n">
        <x:v>2474.49</x:v>
      </x:c>
      <x:c r="E310" s="50" t="n">
        <x:v>61</x:v>
      </x:c>
      <x:c r="F310" s="46" t="n">
        <x:v>3.8125</x:v>
      </x:c>
      <x:c r="G310" s="46" t="n">
        <x:v>23</x:v>
      </x:c>
      <x:c r="H310" s="61" t="n">
        <x:v>40.56540983606557</x:v>
      </x:c>
      <x:c r="I310" s="52" t="n">
        <x:v>0.918032786885246</x:v>
      </x:c>
      <x:c r="J310" s="52" t="n">
        <x:v>0.4691956726436558</x:v>
      </x:c>
      <x:c r="K310" s="60" t="n">
        <x:v>2407.99</x:v>
      </x:c>
      <x:c r="L310" s="60" t="n">
        <x:v>66.5</x:v>
      </x:c>
      <x:c r="M310" s="50" t="n">
        <x:v>56</x:v>
      </x:c>
      <x:c r="N310" s="50" t="n">
        <x:v>5</x:v>
      </x:c>
      <x:c r="O310" s="50" t="n">
        <x:v>107</x:v>
      </x:c>
      <x:c r="P310" s="50" t="n">
        <x:v>16</x:v>
      </x:c>
    </x:row>
    <x:row r="311" ht="36" customHeight="1">
      <x:c r="A311" s="53" t="n">
        <x:v>292</x:v>
      </x:c>
      <x:c r="B311" s="53" t="n">
        <x:v>3</x:v>
      </x:c>
      <x:c r="C311" s="40" t="str">
        <x:v>Low-Value Low-Engagement Shoppers</x:v>
      </x:c>
      <x:c r="D311" s="60" t="n">
        <x:v>977.07</x:v>
      </x:c>
      <x:c r="E311" s="50" t="n">
        <x:v>82</x:v>
      </x:c>
      <x:c r="F311" s="46" t="n">
        <x:v>4.315789473684211</x:v>
      </x:c>
      <x:c r="G311" s="46" t="n">
        <x:v>7</x:v>
      </x:c>
      <x:c r="H311" s="61" t="n">
        <x:v>11.915487804878047</x:v>
      </x:c>
      <x:c r="I311" s="52" t="n">
        <x:v>0.7560975609756097</x:v>
      </x:c>
      <x:c r="J311" s="52" t="n">
        <x:v>0.4597623507015873</x:v>
      </x:c>
      <x:c r="K311" s="60" t="n">
        <x:v>902.15</x:v>
      </x:c>
      <x:c r="L311" s="60" t="n">
        <x:v>74.92</x:v>
      </x:c>
      <x:c r="M311" s="50" t="n">
        <x:v>62</x:v>
      </x:c>
      <x:c r="N311" s="50" t="n">
        <x:v>20</x:v>
      </x:c>
      <x:c r="O311" s="50" t="n">
        <x:v>102</x:v>
      </x:c>
      <x:c r="P311" s="50" t="n">
        <x:v>19</x:v>
      </x:c>
    </x:row>
    <x:row r="312" ht="36" customHeight="1">
      <x:c r="A312" s="53" t="n">
        <x:v>293</x:v>
      </x:c>
      <x:c r="B312" s="53" t="n">
        <x:v>2</x:v>
      </x:c>
      <x:c r="C312" s="40" t="str">
        <x:v>Large-Basket Occasional Shoppers</x:v>
      </x:c>
      <x:c r="D312" s="60" t="n">
        <x:v>3957.66</x:v>
      </x:c>
      <x:c r="E312" s="50" t="n">
        <x:v>108</x:v>
      </x:c>
      <x:c r="F312" s="46" t="n">
        <x:v>4.909090909090909</x:v>
      </x:c>
      <x:c r="G312" s="46" t="n">
        <x:v>17</x:v>
      </x:c>
      <x:c r="H312" s="61" t="n">
        <x:v>36.645</x:v>
      </x:c>
      <x:c r="I312" s="52" t="n">
        <x:v>0.9166666666666666</x:v>
      </x:c>
      <x:c r="J312" s="52" t="n">
        <x:v>0.4825326076519963</x:v>
      </x:c>
      <x:c r="K312" s="60" t="n">
        <x:v>3835.24</x:v>
      </x:c>
      <x:c r="L312" s="60" t="n">
        <x:v>122.42</x:v>
      </x:c>
      <x:c r="M312" s="50" t="n">
        <x:v>99</x:v>
      </x:c>
      <x:c r="N312" s="50" t="n">
        <x:v>9</x:v>
      </x:c>
      <x:c r="O312" s="50" t="n">
        <x:v>152</x:v>
      </x:c>
      <x:c r="P312" s="50" t="n">
        <x:v>22</x:v>
      </x:c>
    </x:row>
    <x:row r="313" ht="36" customHeight="1">
      <x:c r="A313" s="53" t="n">
        <x:v>294</x:v>
      </x:c>
      <x:c r="B313" s="53" t="n">
        <x:v>1</x:v>
      </x:c>
      <x:c r="C313" s="40" t="str">
        <x:v>High-Value Frequent Shoppers</x:v>
      </x:c>
      <x:c r="D313" s="60" t="n">
        <x:v>5411.36</x:v>
      </x:c>
      <x:c r="E313" s="50" t="n">
        <x:v>269</x:v>
      </x:c>
      <x:c r="F313" s="46" t="n">
        <x:v>11.208333333333332</x:v>
      </x:c>
      <x:c r="G313" s="46" t="n">
        <x:v>1</x:v>
      </x:c>
      <x:c r="H313" s="61" t="n">
        <x:v>20.11657992565056</x:v>
      </x:c>
      <x:c r="I313" s="52" t="n">
        <x:v>0.8215613382899628</x:v>
      </x:c>
      <x:c r="J313" s="52" t="n">
        <x:v>0.5998196386860234</x:v>
      </x:c>
      <x:c r="K313" s="60" t="n">
        <x:v>5137.51</x:v>
      </x:c>
      <x:c r="L313" s="60" t="n">
        <x:v>273.85</x:v>
      </x:c>
      <x:c r="M313" s="50" t="n">
        <x:v>221</x:v>
      </x:c>
      <x:c r="N313" s="50" t="n">
        <x:v>48</x:v>
      </x:c>
      <x:c r="O313" s="50" t="n">
        <x:v>150</x:v>
      </x:c>
      <x:c r="P313" s="50" t="n">
        <x:v>24</x:v>
      </x:c>
    </x:row>
    <x:row r="314" ht="36" customHeight="1">
      <x:c r="A314" s="53" t="n">
        <x:v>295</x:v>
      </x:c>
      <x:c r="B314" s="53" t="n">
        <x:v>2</x:v>
      </x:c>
      <x:c r="C314" s="40" t="str">
        <x:v>Large-Basket Occasional Shoppers</x:v>
      </x:c>
      <x:c r="D314" s="60" t="n">
        <x:v>149.31</x:v>
      </x:c>
      <x:c r="E314" s="50" t="n">
        <x:v>5</x:v>
      </x:c>
      <x:c r="F314" s="46" t="n">
        <x:v>1.25</x:v>
      </x:c>
      <x:c r="G314" s="46" t="n">
        <x:v>0</x:v>
      </x:c>
      <x:c r="H314" s="61" t="n">
        <x:v>29.862</x:v>
      </x:c>
      <x:c r="I314" s="52" t="n">
        <x:v>1</x:v>
      </x:c>
      <x:c r="J314" s="52" t="n">
        <x:v>0.7389324224767262</x:v>
      </x:c>
      <x:c r="K314" s="60" t="n">
        <x:v>149.31</x:v>
      </x:c>
      <x:c r="L314" s="60" t="n">
        <x:v>0</x:v>
      </x:c>
      <x:c r="M314" s="50" t="n">
        <x:v>5</x:v>
      </x:c>
      <x:c r="N314" s="50" t="n">
        <x:v>0</x:v>
      </x:c>
      <x:c r="O314" s="50" t="n">
        <x:v>23</x:v>
      </x:c>
      <x:c r="P314" s="50" t="n">
        <x:v>4</x:v>
      </x:c>
    </x:row>
    <x:row r="315" ht="36" customHeight="1">
      <x:c r="A315" s="53" t="n">
        <x:v>296</x:v>
      </x:c>
      <x:c r="B315" s="53" t="n">
        <x:v>3</x:v>
      </x:c>
      <x:c r="C315" s="40" t="str">
        <x:v>Low-Value Low-Engagement Shoppers</x:v>
      </x:c>
      <x:c r="D315" s="60" t="n">
        <x:v>149.25</x:v>
      </x:c>
      <x:c r="E315" s="50" t="n">
        <x:v>12</x:v>
      </x:c>
      <x:c r="F315" s="46" t="n">
        <x:v>2</x:v>
      </x:c>
      <x:c r="G315" s="46" t="n">
        <x:v>14</x:v>
      </x:c>
      <x:c r="H315" s="61" t="n">
        <x:v>12.4375</x:v>
      </x:c>
      <x:c r="I315" s="52" t="n">
        <x:v>0.9166666666666666</x:v>
      </x:c>
      <x:c r="J315" s="52" t="n">
        <x:v>0.7709212730318257</x:v>
      </x:c>
      <x:c r="K315" s="60" t="n">
        <x:v>147.75</x:v>
      </x:c>
      <x:c r="L315" s="60" t="n">
        <x:v>1.5</x:v>
      </x:c>
      <x:c r="M315" s="50" t="n">
        <x:v>11</x:v>
      </x:c>
      <x:c r="N315" s="50" t="n">
        <x:v>1</x:v>
      </x:c>
      <x:c r="O315" s="50" t="n">
        <x:v>30</x:v>
      </x:c>
      <x:c r="P315" s="50" t="n">
        <x:v>6</x:v>
      </x:c>
    </x:row>
    <x:row r="316" ht="36" customHeight="1">
      <x:c r="A316" s="53" t="n">
        <x:v>297</x:v>
      </x:c>
      <x:c r="B316" s="53" t="n">
        <x:v>1</x:v>
      </x:c>
      <x:c r="C316" s="40" t="str">
        <x:v>High-Value Frequent Shoppers</x:v>
      </x:c>
      <x:c r="D316" s="60" t="n">
        <x:v>3535.62</x:v>
      </x:c>
      <x:c r="E316" s="50" t="n">
        <x:v>114</x:v>
      </x:c>
      <x:c r="F316" s="46" t="n">
        <x:v>5.7</x:v>
      </x:c>
      <x:c r="G316" s="46" t="n">
        <x:v>13</x:v>
      </x:c>
      <x:c r="H316" s="61" t="n">
        <x:v>31.01421052631579</x:v>
      </x:c>
      <x:c r="I316" s="52" t="n">
        <x:v>0.7456140350877192</x:v>
      </x:c>
      <x:c r="J316" s="52" t="n">
        <x:v>0.5278904407147826</x:v>
      </x:c>
      <x:c r="K316" s="60" t="n">
        <x:v>3308.58</x:v>
      </x:c>
      <x:c r="L316" s="60" t="n">
        <x:v>227.04</x:v>
      </x:c>
      <x:c r="M316" s="50" t="n">
        <x:v>85</x:v>
      </x:c>
      <x:c r="N316" s="50" t="n">
        <x:v>29</x:v>
      </x:c>
      <x:c r="O316" s="50" t="n">
        <x:v>147</x:v>
      </x:c>
      <x:c r="P316" s="50" t="n">
        <x:v>20</x:v>
      </x:c>
    </x:row>
    <x:row r="317" ht="36" customHeight="1">
      <x:c r="A317" s="53" t="n">
        <x:v>298</x:v>
      </x:c>
      <x:c r="B317" s="53" t="n">
        <x:v>3</x:v>
      </x:c>
      <x:c r="C317" s="40" t="str">
        <x:v>Low-Value Low-Engagement Shoppers</x:v>
      </x:c>
      <x:c r="D317" s="60" t="n">
        <x:v>224.86</x:v>
      </x:c>
      <x:c r="E317" s="50" t="n">
        <x:v>7</x:v>
      </x:c>
      <x:c r="F317" s="46" t="n">
        <x:v>2.333333333333333</x:v>
      </x:c>
      <x:c r="G317" s="46" t="n">
        <x:v>419</x:v>
      </x:c>
      <x:c r="H317" s="61" t="n">
        <x:v>32.12285714285714</x:v>
      </x:c>
      <x:c r="I317" s="52" t="n">
        <x:v>0.8571428571428571</x:v>
      </x:c>
      <x:c r="J317" s="52" t="n">
        <x:v>0.3822823089922618</x:v>
      </x:c>
      <x:c r="K317" s="60" t="n">
        <x:v>211.4</x:v>
      </x:c>
      <x:c r="L317" s="60" t="n">
        <x:v>13.46</x:v>
      </x:c>
      <x:c r="M317" s="50" t="n">
        <x:v>6</x:v>
      </x:c>
      <x:c r="N317" s="50" t="n">
        <x:v>1</x:v>
      </x:c>
      <x:c r="O317" s="50" t="n">
        <x:v>56</x:v>
      </x:c>
      <x:c r="P317" s="50" t="n">
        <x:v>3</x:v>
      </x:c>
    </x:row>
    <x:row r="318" ht="36" customHeight="1">
      <x:c r="A318" s="53" t="n">
        <x:v>299</x:v>
      </x:c>
      <x:c r="B318" s="53" t="n">
        <x:v>3</x:v>
      </x:c>
      <x:c r="C318" s="40" t="str">
        <x:v>Low-Value Low-Engagement Shoppers</x:v>
      </x:c>
      <x:c r="D318" s="60" t="n">
        <x:v>242.24</x:v>
      </x:c>
      <x:c r="E318" s="50" t="n">
        <x:v>11</x:v>
      </x:c>
      <x:c r="F318" s="46" t="n">
        <x:v>1</x:v>
      </x:c>
      <x:c r="G318" s="46" t="n">
        <x:v>1</x:v>
      </x:c>
      <x:c r="H318" s="61" t="n">
        <x:v>22.02181818181818</x:v>
      </x:c>
      <x:c r="I318" s="52" t="n">
        <x:v>0.7272727272727272</x:v>
      </x:c>
      <x:c r="J318" s="52" t="n">
        <x:v>0.15084214002642</x:v>
      </x:c>
      <x:c r="K318" s="60" t="n">
        <x:v>173.07</x:v>
      </x:c>
      <x:c r="L318" s="60" t="n">
        <x:v>69.17</x:v>
      </x:c>
      <x:c r="M318" s="50" t="n">
        <x:v>8</x:v>
      </x:c>
      <x:c r="N318" s="50" t="n">
        <x:v>3</x:v>
      </x:c>
      <x:c r="O318" s="50" t="n">
        <x:v>13</x:v>
      </x:c>
      <x:c r="P318" s="50" t="n">
        <x:v>11</x:v>
      </x:c>
    </x:row>
    <x:row r="319" ht="36" customHeight="1">
      <x:c r="A319" s="53" t="n">
        <x:v>300</x:v>
      </x:c>
      <x:c r="B319" s="53" t="n">
        <x:v>2</x:v>
      </x:c>
      <x:c r="C319" s="40" t="str">
        <x:v>Large-Basket Occasional Shoppers</x:v>
      </x:c>
      <x:c r="D319" s="60" t="n">
        <x:v>4974.31</x:v>
      </x:c>
      <x:c r="E319" s="50" t="n">
        <x:v>106</x:v>
      </x:c>
      <x:c r="F319" s="46" t="n">
        <x:v>5.047619047619048</x:v>
      </x:c>
      <x:c r="G319" s="46" t="n">
        <x:v>26</x:v>
      </x:c>
      <x:c r="H319" s="61" t="n">
        <x:v>46.92745283018868</x:v>
      </x:c>
      <x:c r="I319" s="52" t="n">
        <x:v>0.9245283018867924</x:v>
      </x:c>
      <x:c r="J319" s="52" t="n">
        <x:v>0.451445527118334</x:v>
      </x:c>
      <x:c r="K319" s="60" t="n">
        <x:v>4890.92</x:v>
      </x:c>
      <x:c r="L319" s="60" t="n">
        <x:v>83.39</x:v>
      </x:c>
      <x:c r="M319" s="50" t="n">
        <x:v>98</x:v>
      </x:c>
      <x:c r="N319" s="50" t="n">
        <x:v>8</x:v>
      </x:c>
      <x:c r="O319" s="50" t="n">
        <x:v>149</x:v>
      </x:c>
      <x:c r="P319" s="50" t="n">
        <x:v>21</x:v>
      </x:c>
    </x:row>
    <x:row r="320" ht="36" customHeight="1">
      <x:c r="A320" s="53" t="n">
        <x:v>301</x:v>
      </x:c>
      <x:c r="B320" s="53" t="n">
        <x:v>1</x:v>
      </x:c>
      <x:c r="C320" s="40" t="str">
        <x:v>High-Value Frequent Shoppers</x:v>
      </x:c>
      <x:c r="D320" s="60" t="n">
        <x:v>7211.68</x:v>
      </x:c>
      <x:c r="E320" s="50" t="n">
        <x:v>81</x:v>
      </x:c>
      <x:c r="F320" s="46" t="n">
        <x:v>3.6818181818181817</x:v>
      </x:c>
      <x:c r="G320" s="46" t="n">
        <x:v>0</x:v>
      </x:c>
      <x:c r="H320" s="61" t="n">
        <x:v>89.03308641975309</x:v>
      </x:c>
      <x:c r="I320" s="52" t="n">
        <x:v>0.9382716049382716</x:v>
      </x:c>
      <x:c r="J320" s="52" t="n">
        <x:v>0.4862805892663013</x:v>
      </x:c>
      <x:c r="K320" s="60" t="n">
        <x:v>7178.6</x:v>
      </x:c>
      <x:c r="L320" s="60" t="n">
        <x:v>33.08</x:v>
      </x:c>
      <x:c r="M320" s="50" t="n">
        <x:v>76</x:v>
      </x:c>
      <x:c r="N320" s="50" t="n">
        <x:v>5</x:v>
      </x:c>
      <x:c r="O320" s="50" t="n">
        <x:v>161</x:v>
      </x:c>
      <x:c r="P320" s="50" t="n">
        <x:v>22</x:v>
      </x:c>
    </x:row>
    <x:row r="321" ht="36" customHeight="1">
      <x:c r="A321" s="53" t="n">
        <x:v>302</x:v>
      </x:c>
      <x:c r="B321" s="53" t="n">
        <x:v>2</x:v>
      </x:c>
      <x:c r="C321" s="40" t="str">
        <x:v>Large-Basket Occasional Shoppers</x:v>
      </x:c>
      <x:c r="D321" s="60" t="n">
        <x:v>1797.53</x:v>
      </x:c>
      <x:c r="E321" s="50" t="n">
        <x:v>95</x:v>
      </x:c>
      <x:c r="F321" s="46" t="n">
        <x:v>4.75</x:v>
      </x:c>
      <x:c r="G321" s="46" t="n">
        <x:v>20</x:v>
      </x:c>
      <x:c r="H321" s="61" t="n">
        <x:v>18.92136842105263</x:v>
      </x:c>
      <x:c r="I321" s="52" t="n">
        <x:v>0.7894736842105263</x:v>
      </x:c>
      <x:c r="J321" s="52" t="n">
        <x:v>0.3825638515073461</x:v>
      </x:c>
      <x:c r="K321" s="60" t="n">
        <x:v>1571.89</x:v>
      </x:c>
      <x:c r="L321" s="60" t="n">
        <x:v>225.64</x:v>
      </x:c>
      <x:c r="M321" s="50" t="n">
        <x:v>75</x:v>
      </x:c>
      <x:c r="N321" s="50" t="n">
        <x:v>20</x:v>
      </x:c>
      <x:c r="O321" s="50" t="n">
        <x:v>114</x:v>
      </x:c>
      <x:c r="P321" s="50" t="n">
        <x:v>20</x:v>
      </x:c>
    </x:row>
    <x:row r="322" ht="36" customHeight="1">
      <x:c r="A322" s="53" t="n">
        <x:v>303</x:v>
      </x:c>
      <x:c r="B322" s="53" t="n">
        <x:v>1</x:v>
      </x:c>
      <x:c r="C322" s="40" t="str">
        <x:v>High-Value Frequent Shoppers</x:v>
      </x:c>
      <x:c r="D322" s="60" t="n">
        <x:v>4879.67</x:v>
      </x:c>
      <x:c r="E322" s="50" t="n">
        <x:v>199</x:v>
      </x:c>
      <x:c r="F322" s="46" t="n">
        <x:v>9.476190476190476</x:v>
      </x:c>
      <x:c r="G322" s="46" t="n">
        <x:v>0</x:v>
      </x:c>
      <x:c r="H322" s="61" t="n">
        <x:v>24.520954773869345</x:v>
      </x:c>
      <x:c r="I322" s="52" t="n">
        <x:v>0.9095477386934672</x:v>
      </x:c>
      <x:c r="J322" s="52" t="n">
        <x:v>0.5660075373949467</x:v>
      </x:c>
      <x:c r="K322" s="60" t="n">
        <x:v>4744.29</x:v>
      </x:c>
      <x:c r="L322" s="60" t="n">
        <x:v>135.38</x:v>
      </x:c>
      <x:c r="M322" s="50" t="n">
        <x:v>181</x:v>
      </x:c>
      <x:c r="N322" s="50" t="n">
        <x:v>18</x:v>
      </x:c>
      <x:c r="O322" s="50" t="n">
        <x:v>155</x:v>
      </x:c>
      <x:c r="P322" s="50" t="n">
        <x:v>21</x:v>
      </x:c>
    </x:row>
    <x:row r="323" ht="36" customHeight="1">
      <x:c r="A323" s="53" t="n">
        <x:v>304</x:v>
      </x:c>
      <x:c r="B323" s="53" t="n">
        <x:v>1</x:v>
      </x:c>
      <x:c r="C323" s="40" t="str">
        <x:v>High-Value Frequent Shoppers</x:v>
      </x:c>
      <x:c r="D323" s="60" t="n">
        <x:v>8586.28</x:v>
      </x:c>
      <x:c r="E323" s="50" t="n">
        <x:v>304</x:v>
      </x:c>
      <x:c r="F323" s="46" t="n">
        <x:v>12.666666666666666</x:v>
      </x:c>
      <x:c r="G323" s="46" t="n">
        <x:v>0</x:v>
      </x:c>
      <x:c r="H323" s="61" t="n">
        <x:v>28.24434210526316</x:v>
      </x:c>
      <x:c r="I323" s="52" t="n">
        <x:v>0.894736842105263</x:v>
      </x:c>
      <x:c r="J323" s="52" t="n">
        <x:v>0.6104354854488789</x:v>
      </x:c>
      <x:c r="K323" s="60" t="n">
        <x:v>8348.22</x:v>
      </x:c>
      <x:c r="L323" s="60" t="n">
        <x:v>238.06</x:v>
      </x:c>
      <x:c r="M323" s="50" t="n">
        <x:v>272</x:v>
      </x:c>
      <x:c r="N323" s="50" t="n">
        <x:v>32</x:v>
      </x:c>
      <x:c r="O323" s="50" t="n">
        <x:v>186</x:v>
      </x:c>
      <x:c r="P323" s="50" t="n">
        <x:v>24</x:v>
      </x:c>
    </x:row>
    <x:row r="324" ht="36" customHeight="1">
      <x:c r="A324" s="53" t="n">
        <x:v>305</x:v>
      </x:c>
      <x:c r="B324" s="53" t="n">
        <x:v>1</x:v>
      </x:c>
      <x:c r="C324" s="40" t="str">
        <x:v>High-Value Frequent Shoppers</x:v>
      </x:c>
      <x:c r="D324" s="60" t="n">
        <x:v>3827.02</x:v>
      </x:c>
      <x:c r="E324" s="50" t="n">
        <x:v>141</x:v>
      </x:c>
      <x:c r="F324" s="46" t="n">
        <x:v>5.875</x:v>
      </x:c>
      <x:c r="G324" s="46" t="n">
        <x:v>2</x:v>
      </x:c>
      <x:c r="H324" s="61" t="n">
        <x:v>27.14198581560284</x:v>
      </x:c>
      <x:c r="I324" s="52" t="n">
        <x:v>0.8581560283687943</x:v>
      </x:c>
      <x:c r="J324" s="52" t="n">
        <x:v>0.5391976002215823</x:v>
      </x:c>
      <x:c r="K324" s="60" t="n">
        <x:v>3470.87</x:v>
      </x:c>
      <x:c r="L324" s="60" t="n">
        <x:v>356.15</x:v>
      </x:c>
      <x:c r="M324" s="50" t="n">
        <x:v>121</x:v>
      </x:c>
      <x:c r="N324" s="50" t="n">
        <x:v>20</x:v>
      </x:c>
      <x:c r="O324" s="50" t="n">
        <x:v>133</x:v>
      </x:c>
      <x:c r="P324" s="50" t="n">
        <x:v>24</x:v>
      </x:c>
    </x:row>
    <x:row r="325" ht="36" customHeight="1">
      <x:c r="A325" s="53" t="n">
        <x:v>306</x:v>
      </x:c>
      <x:c r="B325" s="53" t="n">
        <x:v>1</x:v>
      </x:c>
      <x:c r="C325" s="40" t="str">
        <x:v>High-Value Frequent Shoppers</x:v>
      </x:c>
      <x:c r="D325" s="60" t="n">
        <x:v>5716.73</x:v>
      </x:c>
      <x:c r="E325" s="50" t="n">
        <x:v>184</x:v>
      </x:c>
      <x:c r="F325" s="46" t="n">
        <x:v>8.761904761904763</x:v>
      </x:c>
      <x:c r="G325" s="46" t="n">
        <x:v>0</x:v>
      </x:c>
      <x:c r="H325" s="61" t="n">
        <x:v>31.06918478260869</x:v>
      </x:c>
      <x:c r="I325" s="52" t="n">
        <x:v>0.9239130434782608</x:v>
      </x:c>
      <x:c r="J325" s="52" t="n">
        <x:v>0.7395644013273323</x:v>
      </x:c>
      <x:c r="K325" s="60" t="n">
        <x:v>5634.96</x:v>
      </x:c>
      <x:c r="L325" s="60" t="n">
        <x:v>81.77</x:v>
      </x:c>
      <x:c r="M325" s="50" t="n">
        <x:v>170</x:v>
      </x:c>
      <x:c r="N325" s="50" t="n">
        <x:v>14</x:v>
      </x:c>
      <x:c r="O325" s="50" t="n">
        <x:v>165</x:v>
      </x:c>
      <x:c r="P325" s="50" t="n">
        <x:v>21</x:v>
      </x:c>
    </x:row>
    <x:row r="326" ht="36" customHeight="1">
      <x:c r="A326" s="53" t="n">
        <x:v>307</x:v>
      </x:c>
      <x:c r="B326" s="53" t="n">
        <x:v>3</x:v>
      </x:c>
      <x:c r="C326" s="40" t="str">
        <x:v>Low-Value Low-Engagement Shoppers</x:v>
      </x:c>
      <x:c r="D326" s="60" t="n">
        <x:v>2582.03</x:v>
      </x:c>
      <x:c r="E326" s="50" t="n">
        <x:v>414</x:v>
      </x:c>
      <x:c r="F326" s="46" t="n">
        <x:v>18</x:v>
      </x:c>
      <x:c r="G326" s="46" t="n">
        <x:v>1</x:v>
      </x:c>
      <x:c r="H326" s="61" t="n">
        <x:v>6.236787439613527</x:v>
      </x:c>
      <x:c r="I326" s="52" t="n">
        <x:v>0.5265700483091788</x:v>
      </x:c>
      <x:c r="J326" s="52" t="n">
        <x:v>0.3540392636801276</x:v>
      </x:c>
      <x:c r="K326" s="60" t="n">
        <x:v>1825.56</x:v>
      </x:c>
      <x:c r="L326" s="60" t="n">
        <x:v>756.47</x:v>
      </x:c>
      <x:c r="M326" s="50" t="n">
        <x:v>218</x:v>
      </x:c>
      <x:c r="N326" s="50" t="n">
        <x:v>196</x:v>
      </x:c>
      <x:c r="O326" s="50" t="n">
        <x:v>70</x:v>
      </x:c>
      <x:c r="P326" s="50" t="n">
        <x:v>23</x:v>
      </x:c>
    </x:row>
    <x:row r="327" ht="36" customHeight="1">
      <x:c r="A327" s="53" t="n">
        <x:v>308</x:v>
      </x:c>
      <x:c r="B327" s="53" t="n">
        <x:v>1</x:v>
      </x:c>
      <x:c r="C327" s="40" t="str">
        <x:v>High-Value Frequent Shoppers</x:v>
      </x:c>
      <x:c r="D327" s="60" t="n">
        <x:v>2465.26</x:v>
      </x:c>
      <x:c r="E327" s="50" t="n">
        <x:v>83</x:v>
      </x:c>
      <x:c r="F327" s="46" t="n">
        <x:v>4.15</x:v>
      </x:c>
      <x:c r="G327" s="46" t="n">
        <x:v>1</x:v>
      </x:c>
      <x:c r="H327" s="61" t="n">
        <x:v>29.70192771084337</x:v>
      </x:c>
      <x:c r="I327" s="52" t="n">
        <x:v>0.8072289156626506</x:v>
      </x:c>
      <x:c r="J327" s="52" t="n">
        <x:v>0.3616251429869466</x:v>
      </x:c>
      <x:c r="K327" s="60" t="n">
        <x:v>2286.52</x:v>
      </x:c>
      <x:c r="L327" s="60" t="n">
        <x:v>178.74</x:v>
      </x:c>
      <x:c r="M327" s="50" t="n">
        <x:v>67</x:v>
      </x:c>
      <x:c r="N327" s="50" t="n">
        <x:v>16</x:v>
      </x:c>
      <x:c r="O327" s="50" t="n">
        <x:v>135</x:v>
      </x:c>
      <x:c r="P327" s="50" t="n">
        <x:v>20</x:v>
      </x:c>
    </x:row>
    <x:row r="328" ht="36" customHeight="1">
      <x:c r="A328" s="53" t="n">
        <x:v>309</x:v>
      </x:c>
      <x:c r="B328" s="53" t="n">
        <x:v>2</x:v>
      </x:c>
      <x:c r="C328" s="40" t="str">
        <x:v>Large-Basket Occasional Shoppers</x:v>
      </x:c>
      <x:c r="D328" s="60" t="n">
        <x:v>2325.59</x:v>
      </x:c>
      <x:c r="E328" s="50" t="n">
        <x:v>22</x:v>
      </x:c>
      <x:c r="F328" s="46" t="n">
        <x:v>1.2941176470588236</x:v>
      </x:c>
      <x:c r="G328" s="46" t="n">
        <x:v>87</x:v>
      </x:c>
      <x:c r="H328" s="61" t="n">
        <x:v>105.70863636363636</x:v>
      </x:c>
      <x:c r="I328" s="52" t="n">
        <x:v>0.9545454545454544</x:v>
      </x:c>
      <x:c r="J328" s="52" t="n">
        <x:v>0.5025090407165493</x:v>
      </x:c>
      <x:c r="K328" s="60" t="n">
        <x:v>2325.59</x:v>
      </x:c>
      <x:c r="L328" s="60" t="n">
        <x:v>0</x:v>
      </x:c>
      <x:c r="M328" s="50" t="n">
        <x:v>21</x:v>
      </x:c>
      <x:c r="N328" s="50" t="n">
        <x:v>1</x:v>
      </x:c>
      <x:c r="O328" s="50" t="n">
        <x:v>77</x:v>
      </x:c>
      <x:c r="P328" s="50" t="n">
        <x:v>17</x:v>
      </x:c>
    </x:row>
    <x:row r="329" ht="36" customHeight="1">
      <x:c r="A329" s="53" t="n">
        <x:v>310</x:v>
      </x:c>
      <x:c r="B329" s="53" t="n">
        <x:v>3</x:v>
      </x:c>
      <x:c r="C329" s="40" t="str">
        <x:v>Low-Value Low-Engagement Shoppers</x:v>
      </x:c>
      <x:c r="D329" s="60" t="n">
        <x:v>184.02</x:v>
      </x:c>
      <x:c r="E329" s="50" t="n">
        <x:v>9</x:v>
      </x:c>
      <x:c r="F329" s="46" t="n">
        <x:v>2.25</x:v>
      </x:c>
      <x:c r="G329" s="46" t="n">
        <x:v>5</x:v>
      </x:c>
      <x:c r="H329" s="61" t="n">
        <x:v>20.446666666666665</x:v>
      </x:c>
      <x:c r="I329" s="52" t="n">
        <x:v>0.5555555555555555</x:v>
      </x:c>
      <x:c r="J329" s="52" t="n">
        <x:v>0.4262036735137485</x:v>
      </x:c>
      <x:c r="K329" s="60" t="n">
        <x:v>120.24</x:v>
      </x:c>
      <x:c r="L329" s="60" t="n">
        <x:v>63.78</x:v>
      </x:c>
      <x:c r="M329" s="50" t="n">
        <x:v>5</x:v>
      </x:c>
      <x:c r="N329" s="50" t="n">
        <x:v>4</x:v>
      </x:c>
      <x:c r="O329" s="50" t="n">
        <x:v>31</x:v>
      </x:c>
      <x:c r="P329" s="50" t="n">
        <x:v>4</x:v>
      </x:c>
    </x:row>
    <x:row r="330" ht="36" customHeight="1">
      <x:c r="A330" s="53" t="n">
        <x:v>311</x:v>
      </x:c>
      <x:c r="B330" s="53" t="n">
        <x:v>2</x:v>
      </x:c>
      <x:c r="C330" s="40" t="str">
        <x:v>Large-Basket Occasional Shoppers</x:v>
      </x:c>
      <x:c r="D330" s="60" t="n">
        <x:v>1351.13</x:v>
      </x:c>
      <x:c r="E330" s="50" t="n">
        <x:v>51</x:v>
      </x:c>
      <x:c r="F330" s="46" t="n">
        <x:v>2.217391304347826</x:v>
      </x:c>
      <x:c r="G330" s="46" t="n">
        <x:v>2</x:v>
      </x:c>
      <x:c r="H330" s="61" t="n">
        <x:v>26.49274509803921</x:v>
      </x:c>
      <x:c r="I330" s="52" t="n">
        <x:v>0.7450980392156862</x:v>
      </x:c>
      <x:c r="J330" s="52" t="n">
        <x:v>0.4116036206730662</x:v>
      </x:c>
      <x:c r="K330" s="60" t="n">
        <x:v>1162.21</x:v>
      </x:c>
      <x:c r="L330" s="60" t="n">
        <x:v>188.92</x:v>
      </x:c>
      <x:c r="M330" s="50" t="n">
        <x:v>38</x:v>
      </x:c>
      <x:c r="N330" s="50" t="n">
        <x:v>13</x:v>
      </x:c>
      <x:c r="O330" s="50" t="n">
        <x:v>119</x:v>
      </x:c>
      <x:c r="P330" s="50" t="n">
        <x:v>23</x:v>
      </x:c>
    </x:row>
    <x:row r="331" ht="36" customHeight="1">
      <x:c r="A331" s="53" t="n">
        <x:v>312</x:v>
      </x:c>
      <x:c r="B331" s="53" t="n">
        <x:v>2</x:v>
      </x:c>
      <x:c r="C331" s="40" t="str">
        <x:v>Large-Basket Occasional Shoppers</x:v>
      </x:c>
      <x:c r="D331" s="60" t="n">
        <x:v>2578.05</x:v>
      </x:c>
      <x:c r="E331" s="50" t="n">
        <x:v>40</x:v>
      </x:c>
      <x:c r="F331" s="46" t="n">
        <x:v>2.1052631578947367</x:v>
      </x:c>
      <x:c r="G331" s="46" t="n">
        <x:v>15</x:v>
      </x:c>
      <x:c r="H331" s="61" t="n">
        <x:v>64.45125</x:v>
      </x:c>
      <x:c r="I331" s="52" t="n">
        <x:v>0.875</x:v>
      </x:c>
      <x:c r="J331" s="52" t="n">
        <x:v>0.4727798142006555</x:v>
      </x:c>
      <x:c r="K331" s="60" t="n">
        <x:v>2500.91</x:v>
      </x:c>
      <x:c r="L331" s="60" t="n">
        <x:v>77.14</x:v>
      </x:c>
      <x:c r="M331" s="50" t="n">
        <x:v>35</x:v>
      </x:c>
      <x:c r="N331" s="50" t="n">
        <x:v>5</x:v>
      </x:c>
      <x:c r="O331" s="50" t="n">
        <x:v>145</x:v>
      </x:c>
      <x:c r="P331" s="50" t="n">
        <x:v>19</x:v>
      </x:c>
    </x:row>
    <x:row r="332" ht="36" customHeight="1">
      <x:c r="A332" s="53" t="n">
        <x:v>313</x:v>
      </x:c>
      <x:c r="B332" s="53" t="n">
        <x:v>3</x:v>
      </x:c>
      <x:c r="C332" s="40" t="str">
        <x:v>Low-Value Low-Engagement Shoppers</x:v>
      </x:c>
      <x:c r="D332" s="60" t="n">
        <x:v>92.54</x:v>
      </x:c>
      <x:c r="E332" s="50" t="n">
        <x:v>4</x:v>
      </x:c>
      <x:c r="F332" s="46" t="n">
        <x:v>2</x:v>
      </x:c>
      <x:c r="G332" s="46" t="n">
        <x:v>625</x:v>
      </x:c>
      <x:c r="H332" s="61" t="n">
        <x:v>23.135</x:v>
      </x:c>
      <x:c r="I332" s="52" t="n">
        <x:v>1</x:v>
      </x:c>
      <x:c r="J332" s="52" t="n">
        <x:v>0.4269505078884806</x:v>
      </x:c>
      <x:c r="K332" s="60" t="n">
        <x:v>92.54</x:v>
      </x:c>
      <x:c r="L332" s="60" t="n">
        <x:v>0</x:v>
      </x:c>
      <x:c r="M332" s="50" t="n">
        <x:v>4</x:v>
      </x:c>
      <x:c r="N332" s="50" t="n">
        <x:v>0</x:v>
      </x:c>
      <x:c r="O332" s="50" t="n">
        <x:v>26</x:v>
      </x:c>
      <x:c r="P332" s="50" t="n">
        <x:v>2</x:v>
      </x:c>
    </x:row>
    <x:row r="333" ht="36" customHeight="1">
      <x:c r="A333" s="53" t="n">
        <x:v>314</x:v>
      </x:c>
      <x:c r="B333" s="53" t="n">
        <x:v>2</x:v>
      </x:c>
      <x:c r="C333" s="40" t="str">
        <x:v>Large-Basket Occasional Shoppers</x:v>
      </x:c>
      <x:c r="D333" s="60" t="n">
        <x:v>3004.01</x:v>
      </x:c>
      <x:c r="E333" s="50" t="n">
        <x:v>41</x:v>
      </x:c>
      <x:c r="F333" s="46" t="n">
        <x:v>2.2777777777777777</x:v>
      </x:c>
      <x:c r="G333" s="46" t="n">
        <x:v>4</x:v>
      </x:c>
      <x:c r="H333" s="61" t="n">
        <x:v>73.26853658536585</x:v>
      </x:c>
      <x:c r="I333" s="52" t="n">
        <x:v>0.9756097560975608</x:v>
      </x:c>
      <x:c r="J333" s="52" t="n">
        <x:v>0.4843159643276819</x:v>
      </x:c>
      <x:c r="K333" s="60" t="n">
        <x:v>2989.84</x:v>
      </x:c>
      <x:c r="L333" s="60" t="n">
        <x:v>14.17</x:v>
      </x:c>
      <x:c r="M333" s="50" t="n">
        <x:v>40</x:v>
      </x:c>
      <x:c r="N333" s="50" t="n">
        <x:v>1</x:v>
      </x:c>
      <x:c r="O333" s="50" t="n">
        <x:v>126</x:v>
      </x:c>
      <x:c r="P333" s="50" t="n">
        <x:v>18</x:v>
      </x:c>
    </x:row>
    <x:row r="334" ht="36" customHeight="1">
      <x:c r="A334" s="53" t="n">
        <x:v>315</x:v>
      </x:c>
      <x:c r="B334" s="53" t="n">
        <x:v>3</x:v>
      </x:c>
      <x:c r="C334" s="40" t="str">
        <x:v>Low-Value Low-Engagement Shoppers</x:v>
      </x:c>
      <x:c r="D334" s="60" t="n">
        <x:v>182.19</x:v>
      </x:c>
      <x:c r="E334" s="50" t="n">
        <x:v>11</x:v>
      </x:c>
      <x:c r="F334" s="46" t="n">
        <x:v>1.222222222222222</x:v>
      </x:c>
      <x:c r="G334" s="46" t="n">
        <x:v>84</x:v>
      </x:c>
      <x:c r="H334" s="61" t="n">
        <x:v>16.562727272727273</x:v>
      </x:c>
      <x:c r="I334" s="52" t="n">
        <x:v>0.8181818181818181</x:v>
      </x:c>
      <x:c r="J334" s="52" t="n">
        <x:v>0.4288380262363466</x:v>
      </x:c>
      <x:c r="K334" s="60" t="n">
        <x:v>147.61</x:v>
      </x:c>
      <x:c r="L334" s="60" t="n">
        <x:v>34.58</x:v>
      </x:c>
      <x:c r="M334" s="50" t="n">
        <x:v>9</x:v>
      </x:c>
      <x:c r="N334" s="50" t="n">
        <x:v>2</x:v>
      </x:c>
      <x:c r="O334" s="50" t="n">
        <x:v>34</x:v>
      </x:c>
      <x:c r="P334" s="50" t="n">
        <x:v>9</x:v>
      </x:c>
    </x:row>
    <x:row r="335" ht="36" customHeight="1">
      <x:c r="A335" s="53" t="n">
        <x:v>316</x:v>
      </x:c>
      <x:c r="B335" s="53" t="n">
        <x:v>2</x:v>
      </x:c>
      <x:c r="C335" s="40" t="str">
        <x:v>Large-Basket Occasional Shoppers</x:v>
      </x:c>
      <x:c r="D335" s="60" t="n">
        <x:v>1037.78</x:v>
      </x:c>
      <x:c r="E335" s="50" t="n">
        <x:v>53</x:v>
      </x:c>
      <x:c r="F335" s="46" t="n">
        <x:v>3.117647058823529</x:v>
      </x:c>
      <x:c r="G335" s="46" t="n">
        <x:v>0</x:v>
      </x:c>
      <x:c r="H335" s="61" t="n">
        <x:v>19.58075471698113</x:v>
      </x:c>
      <x:c r="I335" s="52" t="n">
        <x:v>0.8867924528301886</x:v>
      </x:c>
      <x:c r="J335" s="52" t="n">
        <x:v>0.5137697777949083</x:v>
      </x:c>
      <x:c r="K335" s="60" t="n">
        <x:v>992.89</x:v>
      </x:c>
      <x:c r="L335" s="60" t="n">
        <x:v>44.89</x:v>
      </x:c>
      <x:c r="M335" s="50" t="n">
        <x:v>47</x:v>
      </x:c>
      <x:c r="N335" s="50" t="n">
        <x:v>6</x:v>
      </x:c>
      <x:c r="O335" s="50" t="n">
        <x:v>96</x:v>
      </x:c>
      <x:c r="P335" s="50" t="n">
        <x:v>17</x:v>
      </x:c>
    </x:row>
    <x:row r="336" ht="36" customHeight="1">
      <x:c r="A336" s="53" t="n">
        <x:v>317</x:v>
      </x:c>
      <x:c r="B336" s="53" t="n">
        <x:v>2</x:v>
      </x:c>
      <x:c r="C336" s="40" t="str">
        <x:v>Large-Basket Occasional Shoppers</x:v>
      </x:c>
      <x:c r="D336" s="60" t="n">
        <x:v>6083.3</x:v>
      </x:c>
      <x:c r="E336" s="50" t="n">
        <x:v>61</x:v>
      </x:c>
      <x:c r="F336" s="46" t="n">
        <x:v>2.772727272727273</x:v>
      </x:c>
      <x:c r="G336" s="46" t="n">
        <x:v>1</x:v>
      </x:c>
      <x:c r="H336" s="61" t="n">
        <x:v>99.72622950819672</x:v>
      </x:c>
      <x:c r="I336" s="52" t="n">
        <x:v>0.9672131147540984</x:v>
      </x:c>
      <x:c r="J336" s="52" t="n">
        <x:v>0.4545312577055216</x:v>
      </x:c>
      <x:c r="K336" s="60" t="n">
        <x:v>6036.05</x:v>
      </x:c>
      <x:c r="L336" s="60" t="n">
        <x:v>47.25</x:v>
      </x:c>
      <x:c r="M336" s="50" t="n">
        <x:v>59</x:v>
      </x:c>
      <x:c r="N336" s="50" t="n">
        <x:v>2</x:v>
      </x:c>
      <x:c r="O336" s="50" t="n">
        <x:v>159</x:v>
      </x:c>
      <x:c r="P336" s="50" t="n">
        <x:v>22</x:v>
      </x:c>
    </x:row>
    <x:row r="337" ht="36" customHeight="1">
      <x:c r="A337" s="53" t="n">
        <x:v>318</x:v>
      </x:c>
      <x:c r="B337" s="53" t="n">
        <x:v>3</x:v>
      </x:c>
      <x:c r="C337" s="40" t="str">
        <x:v>Low-Value Low-Engagement Shoppers</x:v>
      </x:c>
      <x:c r="D337" s="60" t="n">
        <x:v>1242.25</x:v>
      </x:c>
      <x:c r="E337" s="50" t="n">
        <x:v>92</x:v>
      </x:c>
      <x:c r="F337" s="46" t="n">
        <x:v>4.181818181818182</x:v>
      </x:c>
      <x:c r="G337" s="46" t="n">
        <x:v>0</x:v>
      </x:c>
      <x:c r="H337" s="61" t="n">
        <x:v>13.502717391304348</x:v>
      </x:c>
      <x:c r="I337" s="52" t="n">
        <x:v>0.7608695652173914</x:v>
      </x:c>
      <x:c r="J337" s="52" t="n">
        <x:v>0.4737371704568323</x:v>
      </x:c>
      <x:c r="K337" s="60" t="n">
        <x:v>1088</x:v>
      </x:c>
      <x:c r="L337" s="60" t="n">
        <x:v>154.25</x:v>
      </x:c>
      <x:c r="M337" s="50" t="n">
        <x:v>70</x:v>
      </x:c>
      <x:c r="N337" s="50" t="n">
        <x:v>22</x:v>
      </x:c>
      <x:c r="O337" s="50" t="n">
        <x:v>86</x:v>
      </x:c>
      <x:c r="P337" s="50" t="n">
        <x:v>22</x:v>
      </x:c>
    </x:row>
    <x:row r="338" ht="36" customHeight="1">
      <x:c r="A338" s="53" t="n">
        <x:v>319</x:v>
      </x:c>
      <x:c r="B338" s="53" t="n">
        <x:v>2</x:v>
      </x:c>
      <x:c r="C338" s="40" t="str">
        <x:v>Large-Basket Occasional Shoppers</x:v>
      </x:c>
      <x:c r="D338" s="60" t="n">
        <x:v>3758.5</x:v>
      </x:c>
      <x:c r="E338" s="50" t="n">
        <x:v>109</x:v>
      </x:c>
      <x:c r="F338" s="46" t="n">
        <x:v>4.739130434782608</x:v>
      </x:c>
      <x:c r="G338" s="46" t="n">
        <x:v>21</x:v>
      </x:c>
      <x:c r="H338" s="61" t="n">
        <x:v>34.481651376146786</x:v>
      </x:c>
      <x:c r="I338" s="52" t="n">
        <x:v>0.8899082568807339</x:v>
      </x:c>
      <x:c r="J338" s="52" t="n">
        <x:v>0.6470373819342822</x:v>
      </x:c>
      <x:c r="K338" s="60" t="n">
        <x:v>3618.53</x:v>
      </x:c>
      <x:c r="L338" s="60" t="n">
        <x:v>139.97</x:v>
      </x:c>
      <x:c r="M338" s="50" t="n">
        <x:v>97</x:v>
      </x:c>
      <x:c r="N338" s="50" t="n">
        <x:v>12</x:v>
      </x:c>
      <x:c r="O338" s="50" t="n">
        <x:v>152</x:v>
      </x:c>
      <x:c r="P338" s="50" t="n">
        <x:v>23</x:v>
      </x:c>
    </x:row>
    <x:row r="339" ht="36" customHeight="1">
      <x:c r="A339" s="53" t="n">
        <x:v>320</x:v>
      </x:c>
      <x:c r="B339" s="53" t="n">
        <x:v>3</x:v>
      </x:c>
      <x:c r="C339" s="40" t="str">
        <x:v>Low-Value Low-Engagement Shoppers</x:v>
      </x:c>
      <x:c r="D339" s="60" t="n">
        <x:v>497.41</x:v>
      </x:c>
      <x:c r="E339" s="50" t="n">
        <x:v>19</x:v>
      </x:c>
      <x:c r="F339" s="46" t="n">
        <x:v>1.5833333333333333</x:v>
      </x:c>
      <x:c r="G339" s="46" t="n">
        <x:v>22</x:v>
      </x:c>
      <x:c r="H339" s="61" t="n">
        <x:v>26.179473684210528</x:v>
      </x:c>
      <x:c r="I339" s="52" t="n">
        <x:v>0.8421052631578947</x:v>
      </x:c>
      <x:c r="J339" s="52" t="n">
        <x:v>0.2892181500170885</x:v>
      </x:c>
      <x:c r="K339" s="60" t="n">
        <x:v>420.85</x:v>
      </x:c>
      <x:c r="L339" s="60" t="n">
        <x:v>76.56</x:v>
      </x:c>
      <x:c r="M339" s="50" t="n">
        <x:v>16</x:v>
      </x:c>
      <x:c r="N339" s="50" t="n">
        <x:v>3</x:v>
      </x:c>
      <x:c r="O339" s="50" t="n">
        <x:v>69</x:v>
      </x:c>
      <x:c r="P339" s="50" t="n">
        <x:v>12</x:v>
      </x:c>
    </x:row>
    <x:row r="340" ht="36" customHeight="1">
      <x:c r="A340" s="53" t="n">
        <x:v>321</x:v>
      </x:c>
      <x:c r="B340" s="53" t="n">
        <x:v>1</x:v>
      </x:c>
      <x:c r="C340" s="40" t="str">
        <x:v>High-Value Frequent Shoppers</x:v>
      </x:c>
      <x:c r="D340" s="60" t="n">
        <x:v>5935.66</x:v>
      </x:c>
      <x:c r="E340" s="50" t="n">
        <x:v>106</x:v>
      </x:c>
      <x:c r="F340" s="46" t="n">
        <x:v>4.8181818181818175</x:v>
      </x:c>
      <x:c r="G340" s="46" t="n">
        <x:v>21</x:v>
      </x:c>
      <x:c r="H340" s="61" t="n">
        <x:v>55.996792452830185</x:v>
      </x:c>
      <x:c r="I340" s="52" t="n">
        <x:v>0.8962264150943396</x:v>
      </x:c>
      <x:c r="J340" s="52" t="n">
        <x:v>0.5363952787053166</x:v>
      </x:c>
      <x:c r="K340" s="60" t="n">
        <x:v>5827.32</x:v>
      </x:c>
      <x:c r="L340" s="60" t="n">
        <x:v>108.34</x:v>
      </x:c>
      <x:c r="M340" s="50" t="n">
        <x:v>95</x:v>
      </x:c>
      <x:c r="N340" s="50" t="n">
        <x:v>11</x:v>
      </x:c>
      <x:c r="O340" s="50" t="n">
        <x:v>155</x:v>
      </x:c>
      <x:c r="P340" s="50" t="n">
        <x:v>22</x:v>
      </x:c>
    </x:row>
    <x:row r="341" ht="36" customHeight="1">
      <x:c r="A341" s="53" t="n">
        <x:v>322</x:v>
      </x:c>
      <x:c r="B341" s="53" t="n">
        <x:v>2</x:v>
      </x:c>
      <x:c r="C341" s="40" t="str">
        <x:v>Large-Basket Occasional Shoppers</x:v>
      </x:c>
      <x:c r="D341" s="60" t="n">
        <x:v>2418.88</x:v>
      </x:c>
      <x:c r="E341" s="50" t="n">
        <x:v>71</x:v>
      </x:c>
      <x:c r="F341" s="46" t="n">
        <x:v>3.7368421052631575</x:v>
      </x:c>
      <x:c r="G341" s="46" t="n">
        <x:v>3</x:v>
      </x:c>
      <x:c r="H341" s="61" t="n">
        <x:v>34.0687323943662</x:v>
      </x:c>
      <x:c r="I341" s="52" t="n">
        <x:v>0.9014084507042252</x:v>
      </x:c>
      <x:c r="J341" s="52" t="n">
        <x:v>0.4128853022886625</x:v>
      </x:c>
      <x:c r="K341" s="60" t="n">
        <x:v>2367.78</x:v>
      </x:c>
      <x:c r="L341" s="60" t="n">
        <x:v>51.1</x:v>
      </x:c>
      <x:c r="M341" s="50" t="n">
        <x:v>64</x:v>
      </x:c>
      <x:c r="N341" s="50" t="n">
        <x:v>7</x:v>
      </x:c>
      <x:c r="O341" s="50" t="n">
        <x:v>148</x:v>
      </x:c>
      <x:c r="P341" s="50" t="n">
        <x:v>19</x:v>
      </x:c>
    </x:row>
    <x:row r="342" ht="36" customHeight="1">
      <x:c r="A342" s="53" t="n">
        <x:v>323</x:v>
      </x:c>
      <x:c r="B342" s="53" t="n">
        <x:v>3</x:v>
      </x:c>
      <x:c r="C342" s="40" t="str">
        <x:v>Low-Value Low-Engagement Shoppers</x:v>
      </x:c>
      <x:c r="D342" s="60" t="n">
        <x:v>156.99</x:v>
      </x:c>
      <x:c r="E342" s="50" t="n">
        <x:v>14</x:v>
      </x:c>
      <x:c r="F342" s="46" t="n">
        <x:v>1.4</x:v>
      </x:c>
      <x:c r="G342" s="46" t="n">
        <x:v>0</x:v>
      </x:c>
      <x:c r="H342" s="61" t="n">
        <x:v>11.213571428571427</x:v>
      </x:c>
      <x:c r="I342" s="52" t="n">
        <x:v>0.6428571428571428</x:v>
      </x:c>
      <x:c r="J342" s="52" t="n">
        <x:v>0.448627301101981</x:v>
      </x:c>
      <x:c r="K342" s="60" t="n">
        <x:v>140.69</x:v>
      </x:c>
      <x:c r="L342" s="60" t="n">
        <x:v>16.3</x:v>
      </x:c>
      <x:c r="M342" s="50" t="n">
        <x:v>9</x:v>
      </x:c>
      <x:c r="N342" s="50" t="n">
        <x:v>5</x:v>
      </x:c>
      <x:c r="O342" s="50" t="n">
        <x:v>29</x:v>
      </x:c>
      <x:c r="P342" s="50" t="n">
        <x:v>10</x:v>
      </x:c>
    </x:row>
    <x:row r="343" ht="36" customHeight="1">
      <x:c r="A343" s="53" t="n">
        <x:v>324</x:v>
      </x:c>
      <x:c r="B343" s="53" t="n">
        <x:v>1</x:v>
      </x:c>
      <x:c r="C343" s="40" t="str">
        <x:v>High-Value Frequent Shoppers</x:v>
      </x:c>
      <x:c r="D343" s="60" t="n">
        <x:v>8554.87</x:v>
      </x:c>
      <x:c r="E343" s="50" t="n">
        <x:v>150</x:v>
      </x:c>
      <x:c r="F343" s="46" t="n">
        <x:v>6.521739130434783</x:v>
      </x:c>
      <x:c r="G343" s="46" t="n">
        <x:v>0</x:v>
      </x:c>
      <x:c r="H343" s="61" t="n">
        <x:v>57.03246666666666</x:v>
      </x:c>
      <x:c r="I343" s="52" t="n">
        <x:v>0.9266666666666666</x:v>
      </x:c>
      <x:c r="J343" s="52" t="n">
        <x:v>0.4623775697351333</x:v>
      </x:c>
      <x:c r="K343" s="60" t="n">
        <x:v>8445.35</x:v>
      </x:c>
      <x:c r="L343" s="60" t="n">
        <x:v>109.52</x:v>
      </x:c>
      <x:c r="M343" s="50" t="n">
        <x:v>139</x:v>
      </x:c>
      <x:c r="N343" s="50" t="n">
        <x:v>11</x:v>
      </x:c>
      <x:c r="O343" s="50" t="n">
        <x:v>177</x:v>
      </x:c>
      <x:c r="P343" s="50" t="n">
        <x:v>23</x:v>
      </x:c>
    </x:row>
    <x:row r="344" ht="36" customHeight="1">
      <x:c r="A344" s="53" t="n">
        <x:v>325</x:v>
      </x:c>
      <x:c r="B344" s="53" t="n">
        <x:v>2</x:v>
      </x:c>
      <x:c r="C344" s="40" t="str">
        <x:v>Large-Basket Occasional Shoppers</x:v>
      </x:c>
      <x:c r="D344" s="60" t="n">
        <x:v>2849.69</x:v>
      </x:c>
      <x:c r="E344" s="50" t="n">
        <x:v>74</x:v>
      </x:c>
      <x:c r="F344" s="46" t="n">
        <x:v>3.523809523809524</x:v>
      </x:c>
      <x:c r="G344" s="46" t="n">
        <x:v>13</x:v>
      </x:c>
      <x:c r="H344" s="61" t="n">
        <x:v>38.50932432432432</x:v>
      </x:c>
      <x:c r="I344" s="52" t="n">
        <x:v>0.9594594594594594</x:v>
      </x:c>
      <x:c r="J344" s="52" t="n">
        <x:v>0.6974021735697566</x:v>
      </x:c>
      <x:c r="K344" s="60" t="n">
        <x:v>2805.74</x:v>
      </x:c>
      <x:c r="L344" s="60" t="n">
        <x:v>43.95</x:v>
      </x:c>
      <x:c r="M344" s="50" t="n">
        <x:v>71</x:v>
      </x:c>
      <x:c r="N344" s="50" t="n">
        <x:v>3</x:v>
      </x:c>
      <x:c r="O344" s="50" t="n">
        <x:v>136</x:v>
      </x:c>
      <x:c r="P344" s="50" t="n">
        <x:v>21</x:v>
      </x:c>
    </x:row>
    <x:row r="345" ht="36" customHeight="1">
      <x:c r="A345" s="53" t="n">
        <x:v>326</x:v>
      </x:c>
      <x:c r="B345" s="53" t="n">
        <x:v>2</x:v>
      </x:c>
      <x:c r="C345" s="40" t="str">
        <x:v>Large-Basket Occasional Shoppers</x:v>
      </x:c>
      <x:c r="D345" s="60" t="n">
        <x:v>739.72</x:v>
      </x:c>
      <x:c r="E345" s="50" t="n">
        <x:v>26</x:v>
      </x:c>
      <x:c r="F345" s="46" t="n">
        <x:v>2.6</x:v>
      </x:c>
      <x:c r="G345" s="46" t="n">
        <x:v>0</x:v>
      </x:c>
      <x:c r="H345" s="61" t="n">
        <x:v>28.450769230769232</x:v>
      </x:c>
      <x:c r="I345" s="52" t="n">
        <x:v>0.8846153846153846</x:v>
      </x:c>
      <x:c r="J345" s="52" t="n">
        <x:v>0.4685827069702049</x:v>
      </x:c>
      <x:c r="K345" s="60" t="n">
        <x:v>713.22</x:v>
      </x:c>
      <x:c r="L345" s="60" t="n">
        <x:v>26.5</x:v>
      </x:c>
      <x:c r="M345" s="50" t="n">
        <x:v>23</x:v>
      </x:c>
      <x:c r="N345" s="50" t="n">
        <x:v>3</x:v>
      </x:c>
      <x:c r="O345" s="50" t="n">
        <x:v>56</x:v>
      </x:c>
      <x:c r="P345" s="50" t="n">
        <x:v>10</x:v>
      </x:c>
    </x:row>
    <x:row r="346" ht="36" customHeight="1">
      <x:c r="A346" s="53" t="n">
        <x:v>327</x:v>
      </x:c>
      <x:c r="B346" s="53" t="n">
        <x:v>3</x:v>
      </x:c>
      <x:c r="C346" s="40" t="str">
        <x:v>Low-Value Low-Engagement Shoppers</x:v>
      </x:c>
      <x:c r="D346" s="60" t="n">
        <x:v>226.71</x:v>
      </x:c>
      <x:c r="E346" s="50" t="n">
        <x:v>27</x:v>
      </x:c>
      <x:c r="F346" s="46" t="n">
        <x:v>3</x:v>
      </x:c>
      <x:c r="G346" s="46" t="n">
        <x:v>40</x:v>
      </x:c>
      <x:c r="H346" s="61" t="n">
        <x:v>8.396666666666665</x:v>
      </x:c>
      <x:c r="I346" s="52" t="n">
        <x:v>0.8148148148148148</x:v>
      </x:c>
      <x:c r="J346" s="52" t="n">
        <x:v>0.5728904768206078</x:v>
      </x:c>
      <x:c r="K346" s="60" t="n">
        <x:v>216.78</x:v>
      </x:c>
      <x:c r="L346" s="60" t="n">
        <x:v>9.93</x:v>
      </x:c>
      <x:c r="M346" s="50" t="n">
        <x:v>22</x:v>
      </x:c>
      <x:c r="N346" s="50" t="n">
        <x:v>5</x:v>
      </x:c>
      <x:c r="O346" s="50" t="n">
        <x:v>49</x:v>
      </x:c>
      <x:c r="P346" s="50" t="n">
        <x:v>9</x:v>
      </x:c>
    </x:row>
    <x:row r="347" ht="36" customHeight="1">
      <x:c r="A347" s="53" t="n">
        <x:v>328</x:v>
      </x:c>
      <x:c r="B347" s="53" t="n">
        <x:v>1</x:v>
      </x:c>
      <x:c r="C347" s="40" t="str">
        <x:v>High-Value Frequent Shoppers</x:v>
      </x:c>
      <x:c r="D347" s="60" t="n">
        <x:v>17332.13</x:v>
      </x:c>
      <x:c r="E347" s="50" t="n">
        <x:v>237</x:v>
      </x:c>
      <x:c r="F347" s="46" t="n">
        <x:v>10.772727272727272</x:v>
      </x:c>
      <x:c r="G347" s="46" t="n">
        <x:v>3</x:v>
      </x:c>
      <x:c r="H347" s="61" t="n">
        <x:v>73.13135021097047</x:v>
      </x:c>
      <x:c r="I347" s="52" t="n">
        <x:v>0.9451476793248944</x:v>
      </x:c>
      <x:c r="J347" s="52" t="n">
        <x:v>0.4109812238888122</x:v>
      </x:c>
      <x:c r="K347" s="60" t="n">
        <x:v>17162.95</x:v>
      </x:c>
      <x:c r="L347" s="60" t="n">
        <x:v>169.18</x:v>
      </x:c>
      <x:c r="M347" s="50" t="n">
        <x:v>224</x:v>
      </x:c>
      <x:c r="N347" s="50" t="n">
        <x:v>13</x:v>
      </x:c>
      <x:c r="O347" s="50" t="n">
        <x:v>228</x:v>
      </x:c>
      <x:c r="P347" s="50" t="n">
        <x:v>22</x:v>
      </x:c>
    </x:row>
    <x:row r="348" ht="36" customHeight="1">
      <x:c r="A348" s="53" t="n">
        <x:v>329</x:v>
      </x:c>
      <x:c r="B348" s="53" t="n">
        <x:v>1</x:v>
      </x:c>
      <x:c r="C348" s="40" t="str">
        <x:v>High-Value Frequent Shoppers</x:v>
      </x:c>
      <x:c r="D348" s="60" t="n">
        <x:v>3026.71</x:v>
      </x:c>
      <x:c r="E348" s="50" t="n">
        <x:v>146</x:v>
      </x:c>
      <x:c r="F348" s="46" t="n">
        <x:v>6.636363636363637</x:v>
      </x:c>
      <x:c r="G348" s="46" t="n">
        <x:v>5</x:v>
      </x:c>
      <x:c r="H348" s="61" t="n">
        <x:v>20.730890410958903</x:v>
      </x:c>
      <x:c r="I348" s="52" t="n">
        <x:v>0.8424657534246575</x:v>
      </x:c>
      <x:c r="J348" s="52" t="n">
        <x:v>0.2649774838025446</x:v>
      </x:c>
      <x:c r="K348" s="60" t="n">
        <x:v>2835.67</x:v>
      </x:c>
      <x:c r="L348" s="60" t="n">
        <x:v>191.04</x:v>
      </x:c>
      <x:c r="M348" s="50" t="n">
        <x:v>123</x:v>
      </x:c>
      <x:c r="N348" s="50" t="n">
        <x:v>23</x:v>
      </x:c>
      <x:c r="O348" s="50" t="n">
        <x:v>138</x:v>
      </x:c>
      <x:c r="P348" s="50" t="n">
        <x:v>22</x:v>
      </x:c>
    </x:row>
    <x:row r="349" ht="36" customHeight="1">
      <x:c r="A349" s="53" t="n">
        <x:v>330</x:v>
      </x:c>
      <x:c r="B349" s="53" t="n">
        <x:v>3</x:v>
      </x:c>
      <x:c r="C349" s="40" t="str">
        <x:v>Low-Value Low-Engagement Shoppers</x:v>
      </x:c>
      <x:c r="D349" s="60" t="n">
        <x:v>1679.38</x:v>
      </x:c>
      <x:c r="E349" s="50" t="n">
        <x:v>189</x:v>
      </x:c>
      <x:c r="F349" s="46" t="n">
        <x:v>9</x:v>
      </x:c>
      <x:c r="G349" s="46" t="n">
        <x:v>25</x:v>
      </x:c>
      <x:c r="H349" s="61" t="n">
        <x:v>8.885608465608465</x:v>
      </x:c>
      <x:c r="I349" s="52" t="n">
        <x:v>0.7936507936507936</x:v>
      </x:c>
      <x:c r="J349" s="52" t="n">
        <x:v>0.4714477962105062</x:v>
      </x:c>
      <x:c r="K349" s="60" t="n">
        <x:v>1551.38</x:v>
      </x:c>
      <x:c r="L349" s="60" t="n">
        <x:v>128</x:v>
      </x:c>
      <x:c r="M349" s="50" t="n">
        <x:v>150</x:v>
      </x:c>
      <x:c r="N349" s="50" t="n">
        <x:v>39</x:v>
      </x:c>
      <x:c r="O349" s="50" t="n">
        <x:v>105</x:v>
      </x:c>
      <x:c r="P349" s="50" t="n">
        <x:v>21</x:v>
      </x:c>
    </x:row>
    <x:row r="350" ht="36" customHeight="1">
      <x:c r="A350" s="53" t="n">
        <x:v>331</x:v>
      </x:c>
      <x:c r="B350" s="53" t="n">
        <x:v>3</x:v>
      </x:c>
      <x:c r="C350" s="40" t="str">
        <x:v>Low-Value Low-Engagement Shoppers</x:v>
      </x:c>
      <x:c r="D350" s="60" t="n">
        <x:v>1273.3</x:v>
      </x:c>
      <x:c r="E350" s="50" t="n">
        <x:v>65</x:v>
      </x:c>
      <x:c r="F350" s="46" t="n">
        <x:v>3.8235294117647056</x:v>
      </x:c>
      <x:c r="G350" s="46" t="n">
        <x:v>20</x:v>
      </x:c>
      <x:c r="H350" s="61" t="n">
        <x:v>19.589230769230767</x:v>
      </x:c>
      <x:c r="I350" s="52" t="n">
        <x:v>0.7538461538461538</x:v>
      </x:c>
      <x:c r="J350" s="52" t="n">
        <x:v>0.4183381763920521</x:v>
      </x:c>
      <x:c r="K350" s="60" t="n">
        <x:v>1073.71</x:v>
      </x:c>
      <x:c r="L350" s="60" t="n">
        <x:v>199.59</x:v>
      </x:c>
      <x:c r="M350" s="50" t="n">
        <x:v>49</x:v>
      </x:c>
      <x:c r="N350" s="50" t="n">
        <x:v>16</x:v>
      </x:c>
      <x:c r="O350" s="50" t="n">
        <x:v>98</x:v>
      </x:c>
      <x:c r="P350" s="50" t="n">
        <x:v>17</x:v>
      </x:c>
    </x:row>
    <x:row r="351" ht="36" customHeight="1">
      <x:c r="A351" s="53" t="n">
        <x:v>332</x:v>
      </x:c>
      <x:c r="B351" s="53" t="n">
        <x:v>1</x:v>
      </x:c>
      <x:c r="C351" s="40" t="str">
        <x:v>High-Value Frequent Shoppers</x:v>
      </x:c>
      <x:c r="D351" s="60" t="n">
        <x:v>5519.02</x:v>
      </x:c>
      <x:c r="E351" s="50" t="n">
        <x:v>118</x:v>
      </x:c>
      <x:c r="F351" s="46" t="n">
        <x:v>4.916666666666666</x:v>
      </x:c>
      <x:c r="G351" s="46" t="n">
        <x:v>4</x:v>
      </x:c>
      <x:c r="H351" s="61" t="n">
        <x:v>46.77135593220338</x:v>
      </x:c>
      <x:c r="I351" s="52" t="n">
        <x:v>0.8813559322033898</x:v>
      </x:c>
      <x:c r="J351" s="52" t="n">
        <x:v>0.5097843457715319</x:v>
      </x:c>
      <x:c r="K351" s="60" t="n">
        <x:v>5228.79</x:v>
      </x:c>
      <x:c r="L351" s="60" t="n">
        <x:v>290.23</x:v>
      </x:c>
      <x:c r="M351" s="50" t="n">
        <x:v>104</x:v>
      </x:c>
      <x:c r="N351" s="50" t="n">
        <x:v>14</x:v>
      </x:c>
      <x:c r="O351" s="50" t="n">
        <x:v>182</x:v>
      </x:c>
      <x:c r="P351" s="50" t="n">
        <x:v>24</x:v>
      </x:c>
    </x:row>
    <x:row r="352" ht="36" customHeight="1">
      <x:c r="A352" s="53" t="n">
        <x:v>333</x:v>
      </x:c>
      <x:c r="B352" s="53" t="n">
        <x:v>2</x:v>
      </x:c>
      <x:c r="C352" s="40" t="str">
        <x:v>Large-Basket Occasional Shoppers</x:v>
      </x:c>
      <x:c r="D352" s="60" t="n">
        <x:v>1248.81</x:v>
      </x:c>
      <x:c r="E352" s="50" t="n">
        <x:v>38</x:v>
      </x:c>
      <x:c r="F352" s="46" t="n">
        <x:v>2.533333333333333</x:v>
      </x:c>
      <x:c r="G352" s="46" t="n">
        <x:v>33</x:v>
      </x:c>
      <x:c r="H352" s="61" t="n">
        <x:v>32.86342105263157</x:v>
      </x:c>
      <x:c r="I352" s="52" t="n">
        <x:v>0.9210526315789472</x:v>
      </x:c>
      <x:c r="J352" s="52" t="n">
        <x:v>0.5772615529984545</x:v>
      </x:c>
      <x:c r="K352" s="60" t="n">
        <x:v>1234.86</x:v>
      </x:c>
      <x:c r="L352" s="60" t="n">
        <x:v>13.95</x:v>
      </x:c>
      <x:c r="M352" s="50" t="n">
        <x:v>35</x:v>
      </x:c>
      <x:c r="N352" s="50" t="n">
        <x:v>3</x:v>
      </x:c>
      <x:c r="O352" s="50" t="n">
        <x:v>98</x:v>
      </x:c>
      <x:c r="P352" s="50" t="n">
        <x:v>15</x:v>
      </x:c>
    </x:row>
    <x:row r="353" ht="36" customHeight="1">
      <x:c r="A353" s="53" t="n">
        <x:v>334</x:v>
      </x:c>
      <x:c r="B353" s="53" t="n">
        <x:v>1</x:v>
      </x:c>
      <x:c r="C353" s="40" t="str">
        <x:v>High-Value Frequent Shoppers</x:v>
      </x:c>
      <x:c r="D353" s="60" t="n">
        <x:v>4827.8</x:v>
      </x:c>
      <x:c r="E353" s="50" t="n">
        <x:v>463</x:v>
      </x:c>
      <x:c r="F353" s="46" t="n">
        <x:v>19.291666666666664</x:v>
      </x:c>
      <x:c r="G353" s="46" t="n">
        <x:v>0</x:v>
      </x:c>
      <x:c r="H353" s="61" t="n">
        <x:v>10.427213822894169</x:v>
      </x:c>
      <x:c r="I353" s="52" t="n">
        <x:v>0.8509719222462203</x:v>
      </x:c>
      <x:c r="J353" s="52" t="n">
        <x:v>0.7001967769998757</x:v>
      </x:c>
      <x:c r="K353" s="60" t="n">
        <x:v>4642.7</x:v>
      </x:c>
      <x:c r="L353" s="60" t="n">
        <x:v>185.1</x:v>
      </x:c>
      <x:c r="M353" s="50" t="n">
        <x:v>394</x:v>
      </x:c>
      <x:c r="N353" s="50" t="n">
        <x:v>69</x:v>
      </x:c>
      <x:c r="O353" s="50" t="n">
        <x:v>152</x:v>
      </x:c>
      <x:c r="P353" s="50" t="n">
        <x:v>24</x:v>
      </x:c>
    </x:row>
    <x:row r="354" ht="36" customHeight="1">
      <x:c r="A354" s="53" t="n">
        <x:v>335</x:v>
      </x:c>
      <x:c r="B354" s="53" t="n">
        <x:v>1</x:v>
      </x:c>
      <x:c r="C354" s="40" t="str">
        <x:v>High-Value Frequent Shoppers</x:v>
      </x:c>
      <x:c r="D354" s="60" t="n">
        <x:v>2822.18</x:v>
      </x:c>
      <x:c r="E354" s="50" t="n">
        <x:v>147</x:v>
      </x:c>
      <x:c r="F354" s="46" t="n">
        <x:v>6.125</x:v>
      </x:c>
      <x:c r="G354" s="46" t="n">
        <x:v>5</x:v>
      </x:c>
      <x:c r="H354" s="61" t="n">
        <x:v>19.198503401360544</x:v>
      </x:c>
      <x:c r="I354" s="52" t="n">
        <x:v>0.6870748299319727</x:v>
      </x:c>
      <x:c r="J354" s="52" t="n">
        <x:v>0.2620279358510087</x:v>
      </x:c>
      <x:c r="K354" s="60" t="n">
        <x:v>2209.22</x:v>
      </x:c>
      <x:c r="L354" s="60" t="n">
        <x:v>612.96</x:v>
      </x:c>
      <x:c r="M354" s="50" t="n">
        <x:v>101</x:v>
      </x:c>
      <x:c r="N354" s="50" t="n">
        <x:v>46</x:v>
      </x:c>
      <x:c r="O354" s="50" t="n">
        <x:v>130</x:v>
      </x:c>
      <x:c r="P354" s="50" t="n">
        <x:v>24</x:v>
      </x:c>
    </x:row>
    <x:row r="355" ht="36" customHeight="1">
      <x:c r="A355" s="53" t="n">
        <x:v>336</x:v>
      </x:c>
      <x:c r="B355" s="53" t="n">
        <x:v>1</x:v>
      </x:c>
      <x:c r="C355" s="40" t="str">
        <x:v>High-Value Frequent Shoppers</x:v>
      </x:c>
      <x:c r="D355" s="60" t="n">
        <x:v>3089.74</x:v>
      </x:c>
      <x:c r="E355" s="50" t="n">
        <x:v>120</x:v>
      </x:c>
      <x:c r="F355" s="46" t="n">
        <x:v>6.666666666666666</x:v>
      </x:c>
      <x:c r="G355" s="46" t="n">
        <x:v>24</x:v>
      </x:c>
      <x:c r="H355" s="61" t="n">
        <x:v>25.74783333333333</x:v>
      </x:c>
      <x:c r="I355" s="52" t="n">
        <x:v>0.7</x:v>
      </x:c>
      <x:c r="J355" s="52" t="n">
        <x:v>0.4214140995682484</x:v>
      </x:c>
      <x:c r="K355" s="60" t="n">
        <x:v>2634.14</x:v>
      </x:c>
      <x:c r="L355" s="60" t="n">
        <x:v>455.6</x:v>
      </x:c>
      <x:c r="M355" s="50" t="n">
        <x:v>84</x:v>
      </x:c>
      <x:c r="N355" s="50" t="n">
        <x:v>36</x:v>
      </x:c>
      <x:c r="O355" s="50" t="n">
        <x:v>117</x:v>
      </x:c>
      <x:c r="P355" s="50" t="n">
        <x:v>18</x:v>
      </x:c>
    </x:row>
    <x:row r="356" ht="36" customHeight="1">
      <x:c r="A356" s="53" t="n">
        <x:v>337</x:v>
      </x:c>
      <x:c r="B356" s="53" t="n">
        <x:v>3</x:v>
      </x:c>
      <x:c r="C356" s="40" t="str">
        <x:v>Low-Value Low-Engagement Shoppers</x:v>
      </x:c>
      <x:c r="D356" s="60" t="n">
        <x:v>933.59</x:v>
      </x:c>
      <x:c r="E356" s="50" t="n">
        <x:v>61</x:v>
      </x:c>
      <x:c r="F356" s="46" t="n">
        <x:v>3.210526315789473</x:v>
      </x:c>
      <x:c r="G356" s="46" t="n">
        <x:v>12</x:v>
      </x:c>
      <x:c r="H356" s="61" t="n">
        <x:v>15.304754098360656</x:v>
      </x:c>
      <x:c r="I356" s="52" t="n">
        <x:v>0.901639344262295</x:v>
      </x:c>
      <x:c r="J356" s="52" t="n">
        <x:v>0.5862316434409108</x:v>
      </x:c>
      <x:c r="K356" s="60" t="n">
        <x:v>894.42</x:v>
      </x:c>
      <x:c r="L356" s="60" t="n">
        <x:v>39.17</x:v>
      </x:c>
      <x:c r="M356" s="50" t="n">
        <x:v>55</x:v>
      </x:c>
      <x:c r="N356" s="50" t="n">
        <x:v>6</x:v>
      </x:c>
      <x:c r="O356" s="50" t="n">
        <x:v>51</x:v>
      </x:c>
      <x:c r="P356" s="50" t="n">
        <x:v>19</x:v>
      </x:c>
    </x:row>
    <x:row r="357" ht="36" customHeight="1">
      <x:c r="A357" s="53" t="n">
        <x:v>338</x:v>
      </x:c>
      <x:c r="B357" s="53" t="n">
        <x:v>1</x:v>
      </x:c>
      <x:c r="C357" s="40" t="str">
        <x:v>High-Value Frequent Shoppers</x:v>
      </x:c>
      <x:c r="D357" s="60" t="n">
        <x:v>2690.97</x:v>
      </x:c>
      <x:c r="E357" s="50" t="n">
        <x:v>153</x:v>
      </x:c>
      <x:c r="F357" s="46" t="n">
        <x:v>8.052631578947368</x:v>
      </x:c>
      <x:c r="G357" s="46" t="n">
        <x:v>2</x:v>
      </x:c>
      <x:c r="H357" s="61" t="n">
        <x:v>17.588039215686273</x:v>
      </x:c>
      <x:c r="I357" s="52" t="n">
        <x:v>0.7712418300653594</x:v>
      </x:c>
      <x:c r="J357" s="52" t="n">
        <x:v>0.4049431989208352</x:v>
      </x:c>
      <x:c r="K357" s="60" t="n">
        <x:v>2378.84</x:v>
      </x:c>
      <x:c r="L357" s="60" t="n">
        <x:v>312.13</x:v>
      </x:c>
      <x:c r="M357" s="50" t="n">
        <x:v>118</x:v>
      </x:c>
      <x:c r="N357" s="50" t="n">
        <x:v>35</x:v>
      </x:c>
      <x:c r="O357" s="50" t="n">
        <x:v>139</x:v>
      </x:c>
      <x:c r="P357" s="50" t="n">
        <x:v>19</x:v>
      </x:c>
    </x:row>
    <x:row r="358" ht="36" customHeight="1">
      <x:c r="A358" s="53" t="n">
        <x:v>339</x:v>
      </x:c>
      <x:c r="B358" s="53" t="n">
        <x:v>2</x:v>
      </x:c>
      <x:c r="C358" s="40" t="str">
        <x:v>Large-Basket Occasional Shoppers</x:v>
      </x:c>
      <x:c r="D358" s="60" t="n">
        <x:v>1668.92</x:v>
      </x:c>
      <x:c r="E358" s="50" t="n">
        <x:v>67</x:v>
      </x:c>
      <x:c r="F358" s="46" t="n">
        <x:v>3.35</x:v>
      </x:c>
      <x:c r="G358" s="46" t="n">
        <x:v>15</x:v>
      </x:c>
      <x:c r="H358" s="61" t="n">
        <x:v>24.909253731343284</x:v>
      </x:c>
      <x:c r="I358" s="52" t="n">
        <x:v>0.8656716417910447</x:v>
      </x:c>
      <x:c r="J358" s="52" t="n">
        <x:v>0.5951932986602113</x:v>
      </x:c>
      <x:c r="K358" s="60" t="n">
        <x:v>1608.39</x:v>
      </x:c>
      <x:c r="L358" s="60" t="n">
        <x:v>60.53</x:v>
      </x:c>
      <x:c r="M358" s="50" t="n">
        <x:v>58</x:v>
      </x:c>
      <x:c r="N358" s="50" t="n">
        <x:v>9</x:v>
      </x:c>
      <x:c r="O358" s="50" t="n">
        <x:v>114</x:v>
      </x:c>
      <x:c r="P358" s="50" t="n">
        <x:v>20</x:v>
      </x:c>
    </x:row>
    <x:row r="359" ht="36" customHeight="1">
      <x:c r="A359" s="53" t="n">
        <x:v>340</x:v>
      </x:c>
      <x:c r="B359" s="53" t="n">
        <x:v>2</x:v>
      </x:c>
      <x:c r="C359" s="40" t="str">
        <x:v>Large-Basket Occasional Shoppers</x:v>
      </x:c>
      <x:c r="D359" s="60" t="n">
        <x:v>1057.56</x:v>
      </x:c>
      <x:c r="E359" s="50" t="n">
        <x:v>29</x:v>
      </x:c>
      <x:c r="F359" s="46" t="n">
        <x:v>1.933333333333333</x:v>
      </x:c>
      <x:c r="G359" s="46" t="n">
        <x:v>84</x:v>
      </x:c>
      <x:c r="H359" s="61" t="n">
        <x:v>36.46758620689655</x:v>
      </x:c>
      <x:c r="I359" s="52" t="n">
        <x:v>0.8275862068965517</x:v>
      </x:c>
      <x:c r="J359" s="52" t="n">
        <x:v>0.51968682627936</x:v>
      </x:c>
      <x:c r="K359" s="60" t="n">
        <x:v>1033.82</x:v>
      </x:c>
      <x:c r="L359" s="60" t="n">
        <x:v>23.74</x:v>
      </x:c>
      <x:c r="M359" s="50" t="n">
        <x:v>24</x:v>
      </x:c>
      <x:c r="N359" s="50" t="n">
        <x:v>5</x:v>
      </x:c>
      <x:c r="O359" s="50" t="n">
        <x:v>91</x:v>
      </x:c>
      <x:c r="P359" s="50" t="n">
        <x:v>15</x:v>
      </x:c>
    </x:row>
    <x:row r="360" ht="36" customHeight="1">
      <x:c r="A360" s="53" t="n">
        <x:v>341</x:v>
      </x:c>
      <x:c r="B360" s="53" t="n">
        <x:v>3</x:v>
      </x:c>
      <x:c r="C360" s="40" t="str">
        <x:v>Low-Value Low-Engagement Shoppers</x:v>
      </x:c>
      <x:c r="D360" s="60" t="n">
        <x:v>393.5</x:v>
      </x:c>
      <x:c r="E360" s="50" t="n">
        <x:v>30</x:v>
      </x:c>
      <x:c r="F360" s="46" t="n">
        <x:v>2.307692307692308</x:v>
      </x:c>
      <x:c r="G360" s="46" t="n">
        <x:v>74</x:v>
      </x:c>
      <x:c r="H360" s="61" t="n">
        <x:v>13.116666666666664</x:v>
      </x:c>
      <x:c r="I360" s="52" t="n">
        <x:v>0.7</x:v>
      </x:c>
      <x:c r="J360" s="52" t="n">
        <x:v>0.4520711562897077</x:v>
      </x:c>
      <x:c r="K360" s="60" t="n">
        <x:v>308.59</x:v>
      </x:c>
      <x:c r="L360" s="60" t="n">
        <x:v>84.91</x:v>
      </x:c>
      <x:c r="M360" s="50" t="n">
        <x:v>21</x:v>
      </x:c>
      <x:c r="N360" s="50" t="n">
        <x:v>9</x:v>
      </x:c>
      <x:c r="O360" s="50" t="n">
        <x:v>47</x:v>
      </x:c>
      <x:c r="P360" s="50" t="n">
        <x:v>13</x:v>
      </x:c>
    </x:row>
    <x:row r="361" ht="36" customHeight="1">
      <x:c r="A361" s="53" t="n">
        <x:v>342</x:v>
      </x:c>
      <x:c r="B361" s="53" t="n">
        <x:v>2</x:v>
      </x:c>
      <x:c r="C361" s="40" t="str">
        <x:v>Large-Basket Occasional Shoppers</x:v>
      </x:c>
      <x:c r="D361" s="60" t="n">
        <x:v>2125.51</x:v>
      </x:c>
      <x:c r="E361" s="50" t="n">
        <x:v>48</x:v>
      </x:c>
      <x:c r="F361" s="46" t="n">
        <x:v>2.526315789473684</x:v>
      </x:c>
      <x:c r="G361" s="46" t="n">
        <x:v>8</x:v>
      </x:c>
      <x:c r="H361" s="61" t="n">
        <x:v>44.281458333333326</x:v>
      </x:c>
      <x:c r="I361" s="52" t="n">
        <x:v>0.875</x:v>
      </x:c>
      <x:c r="J361" s="52" t="n">
        <x:v>0.5244435453138305</x:v>
      </x:c>
      <x:c r="K361" s="60" t="n">
        <x:v>2083.32</x:v>
      </x:c>
      <x:c r="L361" s="60" t="n">
        <x:v>42.19</x:v>
      </x:c>
      <x:c r="M361" s="50" t="n">
        <x:v>42</x:v>
      </x:c>
      <x:c r="N361" s="50" t="n">
        <x:v>6</x:v>
      </x:c>
      <x:c r="O361" s="50" t="n">
        <x:v>114</x:v>
      </x:c>
      <x:c r="P361" s="50" t="n">
        <x:v>19</x:v>
      </x:c>
    </x:row>
    <x:row r="362" ht="36" customHeight="1">
      <x:c r="A362" s="53" t="n">
        <x:v>343</x:v>
      </x:c>
      <x:c r="B362" s="53" t="n">
        <x:v>2</x:v>
      </x:c>
      <x:c r="C362" s="40" t="str">
        <x:v>Large-Basket Occasional Shoppers</x:v>
      </x:c>
      <x:c r="D362" s="60" t="n">
        <x:v>1650.64</x:v>
      </x:c>
      <x:c r="E362" s="50" t="n">
        <x:v>67</x:v>
      </x:c>
      <x:c r="F362" s="46" t="n">
        <x:v>2.9130434782608696</x:v>
      </x:c>
      <x:c r="G362" s="46" t="n">
        <x:v>6</x:v>
      </x:c>
      <x:c r="H362" s="61" t="n">
        <x:v>24.63641791044776</x:v>
      </x:c>
      <x:c r="I362" s="52" t="n">
        <x:v>0.7611940298507462</x:v>
      </x:c>
      <x:c r="J362" s="52" t="n">
        <x:v>0.2970665923520573</x:v>
      </x:c>
      <x:c r="K362" s="60" t="n">
        <x:v>1416.66</x:v>
      </x:c>
      <x:c r="L362" s="60" t="n">
        <x:v>233.98</x:v>
      </x:c>
      <x:c r="M362" s="50" t="n">
        <x:v>51</x:v>
      </x:c>
      <x:c r="N362" s="50" t="n">
        <x:v>16</x:v>
      </x:c>
      <x:c r="O362" s="50" t="n">
        <x:v>107</x:v>
      </x:c>
      <x:c r="P362" s="50" t="n">
        <x:v>23</x:v>
      </x:c>
    </x:row>
    <x:row r="363" ht="36" customHeight="1">
      <x:c r="A363" s="53" t="n">
        <x:v>344</x:v>
      </x:c>
      <x:c r="B363" s="53" t="n">
        <x:v>2</x:v>
      </x:c>
      <x:c r="C363" s="40" t="str">
        <x:v>Large-Basket Occasional Shoppers</x:v>
      </x:c>
      <x:c r="D363" s="60" t="n">
        <x:v>2237.91</x:v>
      </x:c>
      <x:c r="E363" s="50" t="n">
        <x:v>48</x:v>
      </x:c>
      <x:c r="F363" s="46" t="n">
        <x:v>3</x:v>
      </x:c>
      <x:c r="G363" s="46" t="n">
        <x:v>0</x:v>
      </x:c>
      <x:c r="H363" s="61" t="n">
        <x:v>46.623125</x:v>
      </x:c>
      <x:c r="I363" s="52" t="n">
        <x:v>0.9166666666666666</x:v>
      </x:c>
      <x:c r="J363" s="52" t="n">
        <x:v>0.5049488138486355</x:v>
      </x:c>
      <x:c r="K363" s="60" t="n">
        <x:v>2197.1</x:v>
      </x:c>
      <x:c r="L363" s="60" t="n">
        <x:v>40.81</x:v>
      </x:c>
      <x:c r="M363" s="50" t="n">
        <x:v>44</x:v>
      </x:c>
      <x:c r="N363" s="50" t="n">
        <x:v>4</x:v>
      </x:c>
      <x:c r="O363" s="50" t="n">
        <x:v>136</x:v>
      </x:c>
      <x:c r="P363" s="50" t="n">
        <x:v>16</x:v>
      </x:c>
    </x:row>
    <x:row r="364" ht="36" customHeight="1">
      <x:c r="A364" s="53" t="n">
        <x:v>345</x:v>
      </x:c>
      <x:c r="B364" s="53" t="n">
        <x:v>1</x:v>
      </x:c>
      <x:c r="C364" s="40" t="str">
        <x:v>High-Value Frequent Shoppers</x:v>
      </x:c>
      <x:c r="D364" s="60" t="n">
        <x:v>5741.08</x:v>
      </x:c>
      <x:c r="E364" s="50" t="n">
        <x:v>181</x:v>
      </x:c>
      <x:c r="F364" s="46" t="n">
        <x:v>7.541666666666665</x:v>
      </x:c>
      <x:c r="G364" s="46" t="n">
        <x:v>0</x:v>
      </x:c>
      <x:c r="H364" s="61" t="n">
        <x:v>31.718674033149167</x:v>
      </x:c>
      <x:c r="I364" s="52" t="n">
        <x:v>0.9668508287292816</x:v>
      </x:c>
      <x:c r="J364" s="52" t="n">
        <x:v>0.6627272220557804</x:v>
      </x:c>
      <x:c r="K364" s="60" t="n">
        <x:v>5641.25</x:v>
      </x:c>
      <x:c r="L364" s="60" t="n">
        <x:v>99.83</x:v>
      </x:c>
      <x:c r="M364" s="50" t="n">
        <x:v>175</x:v>
      </x:c>
      <x:c r="N364" s="50" t="n">
        <x:v>6</x:v>
      </x:c>
      <x:c r="O364" s="50" t="n">
        <x:v>164</x:v>
      </x:c>
      <x:c r="P364" s="50" t="n">
        <x:v>24</x:v>
      </x:c>
    </x:row>
    <x:row r="365" ht="36" customHeight="1">
      <x:c r="A365" s="53" t="n">
        <x:v>346</x:v>
      </x:c>
      <x:c r="B365" s="53" t="n">
        <x:v>1</x:v>
      </x:c>
      <x:c r="C365" s="40" t="str">
        <x:v>High-Value Frequent Shoppers</x:v>
      </x:c>
      <x:c r="D365" s="60" t="n">
        <x:v>5351.41</x:v>
      </x:c>
      <x:c r="E365" s="50" t="n">
        <x:v>124</x:v>
      </x:c>
      <x:c r="F365" s="46" t="n">
        <x:v>5.636363636363637</x:v>
      </x:c>
      <x:c r="G365" s="46" t="n">
        <x:v>5</x:v>
      </x:c>
      <x:c r="H365" s="61" t="n">
        <x:v>43.15653225806452</x:v>
      </x:c>
      <x:c r="I365" s="52" t="n">
        <x:v>0.9112903225806452</x:v>
      </x:c>
      <x:c r="J365" s="52" t="n">
        <x:v>0.4007635370864874</x:v>
      </x:c>
      <x:c r="K365" s="60" t="n">
        <x:v>5241.42</x:v>
      </x:c>
      <x:c r="L365" s="60" t="n">
        <x:v>109.99</x:v>
      </x:c>
      <x:c r="M365" s="50" t="n">
        <x:v>113</x:v>
      </x:c>
      <x:c r="N365" s="50" t="n">
        <x:v>11</x:v>
      </x:c>
      <x:c r="O365" s="50" t="n">
        <x:v>125</x:v>
      </x:c>
      <x:c r="P365" s="50" t="n">
        <x:v>22</x:v>
      </x:c>
    </x:row>
    <x:row r="366" ht="36" customHeight="1">
      <x:c r="A366" s="53" t="n">
        <x:v>347</x:v>
      </x:c>
      <x:c r="B366" s="53" t="n">
        <x:v>3</x:v>
      </x:c>
      <x:c r="C366" s="40" t="str">
        <x:v>Low-Value Low-Engagement Shoppers</x:v>
      </x:c>
      <x:c r="D366" s="60" t="n">
        <x:v>540.76</x:v>
      </x:c>
      <x:c r="E366" s="50" t="n">
        <x:v>15</x:v>
      </x:c>
      <x:c r="F366" s="46" t="n">
        <x:v>1.875</x:v>
      </x:c>
      <x:c r="G366" s="46" t="n">
        <x:v>42</x:v>
      </x:c>
      <x:c r="H366" s="61" t="n">
        <x:v>36.050666666666665</x:v>
      </x:c>
      <x:c r="I366" s="52" t="n">
        <x:v>0.6666666666666666</x:v>
      </x:c>
      <x:c r="J366" s="52" t="n">
        <x:v>0.2626858495450846</x:v>
      </x:c>
      <x:c r="K366" s="60" t="n">
        <x:v>422.64</x:v>
      </x:c>
      <x:c r="L366" s="60" t="n">
        <x:v>118.12</x:v>
      </x:c>
      <x:c r="M366" s="50" t="n">
        <x:v>10</x:v>
      </x:c>
      <x:c r="N366" s="50" t="n">
        <x:v>5</x:v>
      </x:c>
      <x:c r="O366" s="50" t="n">
        <x:v>61</x:v>
      </x:c>
      <x:c r="P366" s="50" t="n">
        <x:v>8</x:v>
      </x:c>
    </x:row>
    <x:row r="367" ht="36" customHeight="1">
      <x:c r="A367" s="53" t="n">
        <x:v>348</x:v>
      </x:c>
      <x:c r="B367" s="53" t="n">
        <x:v>1</x:v>
      </x:c>
      <x:c r="C367" s="40" t="str">
        <x:v>High-Value Frequent Shoppers</x:v>
      </x:c>
      <x:c r="D367" s="60" t="n">
        <x:v>2961.83</x:v>
      </x:c>
      <x:c r="E367" s="50" t="n">
        <x:v>126</x:v>
      </x:c>
      <x:c r="F367" s="46" t="n">
        <x:v>7</x:v>
      </x:c>
      <x:c r="G367" s="46" t="n">
        <x:v>2</x:v>
      </x:c>
      <x:c r="H367" s="61" t="n">
        <x:v>23.5065873015873</x:v>
      </x:c>
      <x:c r="I367" s="52" t="n">
        <x:v>0.8333333333333333</x:v>
      </x:c>
      <x:c r="J367" s="52" t="n">
        <x:v>0.5558387888568891</x:v>
      </x:c>
      <x:c r="K367" s="60" t="n">
        <x:v>2791.78</x:v>
      </x:c>
      <x:c r="L367" s="60" t="n">
        <x:v>170.05</x:v>
      </x:c>
      <x:c r="M367" s="50" t="n">
        <x:v>105</x:v>
      </x:c>
      <x:c r="N367" s="50" t="n">
        <x:v>21</x:v>
      </x:c>
      <x:c r="O367" s="50" t="n">
        <x:v>134</x:v>
      </x:c>
      <x:c r="P367" s="50" t="n">
        <x:v>18</x:v>
      </x:c>
    </x:row>
    <x:row r="368" ht="36" customHeight="1">
      <x:c r="A368" s="53" t="n">
        <x:v>349</x:v>
      </x:c>
      <x:c r="B368" s="53" t="n">
        <x:v>2</x:v>
      </x:c>
      <x:c r="C368" s="40" t="str">
        <x:v>Large-Basket Occasional Shoppers</x:v>
      </x:c>
      <x:c r="D368" s="60" t="n">
        <x:v>869.16</x:v>
      </x:c>
      <x:c r="E368" s="50" t="n">
        <x:v>34</x:v>
      </x:c>
      <x:c r="F368" s="46" t="n">
        <x:v>2.6153846153846154</x:v>
      </x:c>
      <x:c r="G368" s="46" t="n">
        <x:v>5</x:v>
      </x:c>
      <x:c r="H368" s="61" t="n">
        <x:v>25.563529411764705</x:v>
      </x:c>
      <x:c r="I368" s="52" t="n">
        <x:v>0.8529411764705882</x:v>
      </x:c>
      <x:c r="J368" s="52" t="n">
        <x:v>0.3933452989092917</x:v>
      </x:c>
      <x:c r="K368" s="60" t="n">
        <x:v>821.57</x:v>
      </x:c>
      <x:c r="L368" s="60" t="n">
        <x:v>47.59</x:v>
      </x:c>
      <x:c r="M368" s="50" t="n">
        <x:v>29</x:v>
      </x:c>
      <x:c r="N368" s="50" t="n">
        <x:v>5</x:v>
      </x:c>
      <x:c r="O368" s="50" t="n">
        <x:v>96</x:v>
      </x:c>
      <x:c r="P368" s="50" t="n">
        <x:v>13</x:v>
      </x:c>
    </x:row>
    <x:row r="369" ht="36" customHeight="1">
      <x:c r="A369" s="53" t="n">
        <x:v>350</x:v>
      </x:c>
      <x:c r="B369" s="53" t="n">
        <x:v>1</x:v>
      </x:c>
      <x:c r="C369" s="40" t="str">
        <x:v>High-Value Frequent Shoppers</x:v>
      </x:c>
      <x:c r="D369" s="60" t="n">
        <x:v>3083.25</x:v>
      </x:c>
      <x:c r="E369" s="50" t="n">
        <x:v>103</x:v>
      </x:c>
      <x:c r="F369" s="46" t="n">
        <x:v>4.291666666666666</x:v>
      </x:c>
      <x:c r="G369" s="46" t="n">
        <x:v>1</x:v>
      </x:c>
      <x:c r="H369" s="61" t="n">
        <x:v>29.934466019417474</x:v>
      </x:c>
      <x:c r="I369" s="52" t="n">
        <x:v>0.8446601941747572</x:v>
      </x:c>
      <x:c r="J369" s="52" t="n">
        <x:v>0.5035563123327657</x:v>
      </x:c>
      <x:c r="K369" s="60" t="n">
        <x:v>2819.6</x:v>
      </x:c>
      <x:c r="L369" s="60" t="n">
        <x:v>263.65</x:v>
      </x:c>
      <x:c r="M369" s="50" t="n">
        <x:v>87</x:v>
      </x:c>
      <x:c r="N369" s="50" t="n">
        <x:v>16</x:v>
      </x:c>
      <x:c r="O369" s="50" t="n">
        <x:v>138</x:v>
      </x:c>
      <x:c r="P369" s="50" t="n">
        <x:v>24</x:v>
      </x:c>
    </x:row>
    <x:row r="370" ht="36" customHeight="1">
      <x:c r="A370" s="53" t="n">
        <x:v>351</x:v>
      </x:c>
      <x:c r="B370" s="53" t="n">
        <x:v>1</x:v>
      </x:c>
      <x:c r="C370" s="40" t="str">
        <x:v>High-Value Frequent Shoppers</x:v>
      </x:c>
      <x:c r="D370" s="60" t="n">
        <x:v>7659.67</x:v>
      </x:c>
      <x:c r="E370" s="50" t="n">
        <x:v>296</x:v>
      </x:c>
      <x:c r="F370" s="46" t="n">
        <x:v>14.095238095238097</x:v>
      </x:c>
      <x:c r="G370" s="46" t="n">
        <x:v>2</x:v>
      </x:c>
      <x:c r="H370" s="61" t="n">
        <x:v>25.877263513513515</x:v>
      </x:c>
      <x:c r="I370" s="52" t="n">
        <x:v>0.9358108108108107</x:v>
      </x:c>
      <x:c r="J370" s="52" t="n">
        <x:v>0.5100311110008655</x:v>
      </x:c>
      <x:c r="K370" s="60" t="n">
        <x:v>7481.23</x:v>
      </x:c>
      <x:c r="L370" s="60" t="n">
        <x:v>178.44</x:v>
      </x:c>
      <x:c r="M370" s="50" t="n">
        <x:v>277</x:v>
      </x:c>
      <x:c r="N370" s="50" t="n">
        <x:v>19</x:v>
      </x:c>
      <x:c r="O370" s="50" t="n">
        <x:v>161</x:v>
      </x:c>
      <x:c r="P370" s="50" t="n">
        <x:v>21</x:v>
      </x:c>
    </x:row>
    <x:row r="371" ht="36" customHeight="1">
      <x:c r="A371" s="53" t="n">
        <x:v>352</x:v>
      </x:c>
      <x:c r="B371" s="53" t="n">
        <x:v>2</x:v>
      </x:c>
      <x:c r="C371" s="40" t="str">
        <x:v>Large-Basket Occasional Shoppers</x:v>
      </x:c>
      <x:c r="D371" s="60" t="n">
        <x:v>178.7</x:v>
      </x:c>
      <x:c r="E371" s="50" t="n">
        <x:v>6</x:v>
      </x:c>
      <x:c r="F371" s="46" t="n">
        <x:v>1.2</x:v>
      </x:c>
      <x:c r="G371" s="46" t="n">
        <x:v>17</x:v>
      </x:c>
      <x:c r="H371" s="61" t="n">
        <x:v>29.78333333333333</x:v>
      </x:c>
      <x:c r="I371" s="52" t="n">
        <x:v>1</x:v>
      </x:c>
      <x:c r="J371" s="52" t="n">
        <x:v>0.5204812534974818</x:v>
      </x:c>
      <x:c r="K371" s="60" t="n">
        <x:v>178.7</x:v>
      </x:c>
      <x:c r="L371" s="60" t="n">
        <x:v>0</x:v>
      </x:c>
      <x:c r="M371" s="50" t="n">
        <x:v>6</x:v>
      </x:c>
      <x:c r="N371" s="50" t="n">
        <x:v>0</x:v>
      </x:c>
      <x:c r="O371" s="50" t="n">
        <x:v>35</x:v>
      </x:c>
      <x:c r="P371" s="50" t="n">
        <x:v>5</x:v>
      </x:c>
    </x:row>
    <x:row r="372" ht="36" customHeight="1">
      <x:c r="A372" s="53" t="n">
        <x:v>353</x:v>
      </x:c>
      <x:c r="B372" s="53" t="n">
        <x:v>1</x:v>
      </x:c>
      <x:c r="C372" s="40" t="str">
        <x:v>High-Value Frequent Shoppers</x:v>
      </x:c>
      <x:c r="D372" s="60" t="n">
        <x:v>3799.2</x:v>
      </x:c>
      <x:c r="E372" s="50" t="n">
        <x:v>125</x:v>
      </x:c>
      <x:c r="F372" s="46" t="n">
        <x:v>6.25</x:v>
      </x:c>
      <x:c r="G372" s="46" t="n">
        <x:v>11</x:v>
      </x:c>
      <x:c r="H372" s="61" t="n">
        <x:v>30.3936</x:v>
      </x:c>
      <x:c r="I372" s="52" t="n">
        <x:v>0.808</x:v>
      </x:c>
      <x:c r="J372" s="52" t="n">
        <x:v>0.3947041482417351</x:v>
      </x:c>
      <x:c r="K372" s="60" t="n">
        <x:v>3452.97</x:v>
      </x:c>
      <x:c r="L372" s="60" t="n">
        <x:v>346.23</x:v>
      </x:c>
      <x:c r="M372" s="50" t="n">
        <x:v>101</x:v>
      </x:c>
      <x:c r="N372" s="50" t="n">
        <x:v>24</x:v>
      </x:c>
      <x:c r="O372" s="50" t="n">
        <x:v>185</x:v>
      </x:c>
      <x:c r="P372" s="50" t="n">
        <x:v>20</x:v>
      </x:c>
    </x:row>
    <x:row r="373" ht="36" customHeight="1">
      <x:c r="A373" s="53" t="n">
        <x:v>354</x:v>
      </x:c>
      <x:c r="B373" s="53" t="n">
        <x:v>1</x:v>
      </x:c>
      <x:c r="C373" s="40" t="str">
        <x:v>High-Value Frequent Shoppers</x:v>
      </x:c>
      <x:c r="D373" s="60" t="n">
        <x:v>8729.87</x:v>
      </x:c>
      <x:c r="E373" s="50" t="n">
        <x:v>157</x:v>
      </x:c>
      <x:c r="F373" s="46" t="n">
        <x:v>7.136363636363637</x:v>
      </x:c>
      <x:c r="G373" s="46" t="n">
        <x:v>2</x:v>
      </x:c>
      <x:c r="H373" s="61" t="n">
        <x:v>55.60426751592357</x:v>
      </x:c>
      <x:c r="I373" s="52" t="n">
        <x:v>0.8980891719745222</x:v>
      </x:c>
      <x:c r="J373" s="52" t="n">
        <x:v>0.4215125769341353</x:v>
      </x:c>
      <x:c r="K373" s="60" t="n">
        <x:v>8451.57</x:v>
      </x:c>
      <x:c r="L373" s="60" t="n">
        <x:v>278.3</x:v>
      </x:c>
      <x:c r="M373" s="50" t="n">
        <x:v>141</x:v>
      </x:c>
      <x:c r="N373" s="50" t="n">
        <x:v>16</x:v>
      </x:c>
      <x:c r="O373" s="50" t="n">
        <x:v>180</x:v>
      </x:c>
      <x:c r="P373" s="50" t="n">
        <x:v>22</x:v>
      </x:c>
    </x:row>
    <x:row r="374" ht="36" customHeight="1">
      <x:c r="A374" s="53" t="n">
        <x:v>355</x:v>
      </x:c>
      <x:c r="B374" s="53" t="n">
        <x:v>2</x:v>
      </x:c>
      <x:c r="C374" s="40" t="str">
        <x:v>Large-Basket Occasional Shoppers</x:v>
      </x:c>
      <x:c r="D374" s="60" t="n">
        <x:v>340.34</x:v>
      </x:c>
      <x:c r="E374" s="50" t="n">
        <x:v>7</x:v>
      </x:c>
      <x:c r="F374" s="46" t="n">
        <x:v>1.4</x:v>
      </x:c>
      <x:c r="G374" s="46" t="n">
        <x:v>340</x:v>
      </x:c>
      <x:c r="H374" s="61" t="n">
        <x:v>48.62</x:v>
      </x:c>
      <x:c r="I374" s="52" t="n">
        <x:v>1</x:v>
      </x:c>
      <x:c r="J374" s="52" t="n">
        <x:v>0.5587941470294411</x:v>
      </x:c>
      <x:c r="K374" s="60" t="n">
        <x:v>340.34</x:v>
      </x:c>
      <x:c r="L374" s="60" t="n">
        <x:v>0</x:v>
      </x:c>
      <x:c r="M374" s="50" t="n">
        <x:v>7</x:v>
      </x:c>
      <x:c r="N374" s="50" t="n">
        <x:v>0</x:v>
      </x:c>
      <x:c r="O374" s="50" t="n">
        <x:v>36</x:v>
      </x:c>
      <x:c r="P374" s="50" t="n">
        <x:v>5</x:v>
      </x:c>
    </x:row>
    <x:row r="375" ht="36" customHeight="1">
      <x:c r="A375" s="53" t="n">
        <x:v>356</x:v>
      </x:c>
      <x:c r="B375" s="53" t="n">
        <x:v>1</x:v>
      </x:c>
      <x:c r="C375" s="40" t="str">
        <x:v>High-Value Frequent Shoppers</x:v>
      </x:c>
      <x:c r="D375" s="60" t="n">
        <x:v>2837.33</x:v>
      </x:c>
      <x:c r="E375" s="50" t="n">
        <x:v>234</x:v>
      </x:c>
      <x:c r="F375" s="46" t="n">
        <x:v>10.636363636363637</x:v>
      </x:c>
      <x:c r="G375" s="46" t="n">
        <x:v>4</x:v>
      </x:c>
      <x:c r="H375" s="61" t="n">
        <x:v>12.12534188034188</x:v>
      </x:c>
      <x:c r="I375" s="52" t="n">
        <x:v>0.7863247863247863</x:v>
      </x:c>
      <x:c r="J375" s="52" t="n">
        <x:v>0.3914349053511576</x:v>
      </x:c>
      <x:c r="K375" s="60" t="n">
        <x:v>2192.25</x:v>
      </x:c>
      <x:c r="L375" s="60" t="n">
        <x:v>645.08</x:v>
      </x:c>
      <x:c r="M375" s="50" t="n">
        <x:v>184</x:v>
      </x:c>
      <x:c r="N375" s="50" t="n">
        <x:v>50</x:v>
      </x:c>
      <x:c r="O375" s="50" t="n">
        <x:v>101</x:v>
      </x:c>
      <x:c r="P375" s="50" t="n">
        <x:v>22</x:v>
      </x:c>
    </x:row>
    <x:row r="376" ht="36" customHeight="1">
      <x:c r="A376" s="53" t="n">
        <x:v>357</x:v>
      </x:c>
      <x:c r="B376" s="53" t="n">
        <x:v>2</x:v>
      </x:c>
      <x:c r="C376" s="40" t="str">
        <x:v>Large-Basket Occasional Shoppers</x:v>
      </x:c>
      <x:c r="D376" s="60" t="n">
        <x:v>1704.27</x:v>
      </x:c>
      <x:c r="E376" s="50" t="n">
        <x:v>22</x:v>
      </x:c>
      <x:c r="F376" s="46" t="n">
        <x:v>1.6923076923076923</x:v>
      </x:c>
      <x:c r="G376" s="46" t="n">
        <x:v>15</x:v>
      </x:c>
      <x:c r="H376" s="61" t="n">
        <x:v>77.46681818181817</x:v>
      </x:c>
      <x:c r="I376" s="52" t="n">
        <x:v>1</x:v>
      </x:c>
      <x:c r="J376" s="52" t="n">
        <x:v>0.7581545177700716</x:v>
      </x:c>
      <x:c r="K376" s="60" t="n">
        <x:v>1704.27</x:v>
      </x:c>
      <x:c r="L376" s="60" t="n">
        <x:v>0</x:v>
      </x:c>
      <x:c r="M376" s="50" t="n">
        <x:v>22</x:v>
      </x:c>
      <x:c r="N376" s="50" t="n">
        <x:v>0</x:v>
      </x:c>
      <x:c r="O376" s="50" t="n">
        <x:v>115</x:v>
      </x:c>
      <x:c r="P376" s="50" t="n">
        <x:v>13</x:v>
      </x:c>
    </x:row>
    <x:row r="377" ht="36" customHeight="1">
      <x:c r="A377" s="53" t="n">
        <x:v>358</x:v>
      </x:c>
      <x:c r="B377" s="53" t="n">
        <x:v>1</x:v>
      </x:c>
      <x:c r="C377" s="40" t="str">
        <x:v>High-Value Frequent Shoppers</x:v>
      </x:c>
      <x:c r="D377" s="60" t="n">
        <x:v>12729.34</x:v>
      </x:c>
      <x:c r="E377" s="50" t="n">
        <x:v>370</x:v>
      </x:c>
      <x:c r="F377" s="46" t="n">
        <x:v>17.61904761904762</x:v>
      </x:c>
      <x:c r="G377" s="46" t="n">
        <x:v>0</x:v>
      </x:c>
      <x:c r="H377" s="61" t="n">
        <x:v>34.40362162162162</x:v>
      </x:c>
      <x:c r="I377" s="52" t="n">
        <x:v>0.8621621621621621</x:v>
      </x:c>
      <x:c r="J377" s="52" t="n">
        <x:v>0.3685807748084346</x:v>
      </x:c>
      <x:c r="K377" s="60" t="n">
        <x:v>12009.47</x:v>
      </x:c>
      <x:c r="L377" s="60" t="n">
        <x:v>719.87</x:v>
      </x:c>
      <x:c r="M377" s="50" t="n">
        <x:v>319</x:v>
      </x:c>
      <x:c r="N377" s="50" t="n">
        <x:v>51</x:v>
      </x:c>
      <x:c r="O377" s="50" t="n">
        <x:v>202</x:v>
      </x:c>
      <x:c r="P377" s="50" t="n">
        <x:v>21</x:v>
      </x:c>
    </x:row>
    <x:row r="378" ht="36" customHeight="1">
      <x:c r="A378" s="53" t="n">
        <x:v>359</x:v>
      </x:c>
      <x:c r="B378" s="53" t="n">
        <x:v>2</x:v>
      </x:c>
      <x:c r="C378" s="40" t="str">
        <x:v>Large-Basket Occasional Shoppers</x:v>
      </x:c>
      <x:c r="D378" s="60" t="n">
        <x:v>172.85</x:v>
      </x:c>
      <x:c r="E378" s="50" t="n">
        <x:v>2</x:v>
      </x:c>
      <x:c r="F378" s="46" t="n">
        <x:v>2</x:v>
      </x:c>
      <x:c r="G378" s="46" t="n">
        <x:v>657</x:v>
      </x:c>
      <x:c r="H378" s="61" t="n">
        <x:v>86.425</x:v>
      </x:c>
      <x:c r="I378" s="52" t="n">
        <x:v>1</x:v>
      </x:c>
      <x:c r="J378" s="52" t="n">
        <x:v>0.3864622505062192</x:v>
      </x:c>
      <x:c r="K378" s="60" t="n">
        <x:v>172.85</x:v>
      </x:c>
      <x:c r="L378" s="60" t="n">
        <x:v>0</x:v>
      </x:c>
      <x:c r="M378" s="50" t="n">
        <x:v>2</x:v>
      </x:c>
      <x:c r="N378" s="50" t="n">
        <x:v>0</x:v>
      </x:c>
      <x:c r="O378" s="50" t="n">
        <x:v>45</x:v>
      </x:c>
      <x:c r="P378" s="50" t="n">
        <x:v>1</x:v>
      </x:c>
    </x:row>
    <x:row r="379" ht="36" customHeight="1">
      <x:c r="A379" s="53" t="n">
        <x:v>360</x:v>
      </x:c>
      <x:c r="B379" s="53" t="n">
        <x:v>3</x:v>
      </x:c>
      <x:c r="C379" s="40" t="str">
        <x:v>Low-Value Low-Engagement Shoppers</x:v>
      </x:c>
      <x:c r="D379" s="60" t="n">
        <x:v>447.6</x:v>
      </x:c>
      <x:c r="E379" s="50" t="n">
        <x:v>37</x:v>
      </x:c>
      <x:c r="F379" s="46" t="n">
        <x:v>2.642857142857143</x:v>
      </x:c>
      <x:c r="G379" s="46" t="n">
        <x:v>1</x:v>
      </x:c>
      <x:c r="H379" s="61" t="n">
        <x:v>12.097297297297295</x:v>
      </x:c>
      <x:c r="I379" s="52" t="n">
        <x:v>0.7837837837837837</x:v>
      </x:c>
      <x:c r="J379" s="52" t="n">
        <x:v>0.4253798033958891</x:v>
      </x:c>
      <x:c r="K379" s="60" t="n">
        <x:v>390.73</x:v>
      </x:c>
      <x:c r="L379" s="60" t="n">
        <x:v>56.87</x:v>
      </x:c>
      <x:c r="M379" s="50" t="n">
        <x:v>29</x:v>
      </x:c>
      <x:c r="N379" s="50" t="n">
        <x:v>8</x:v>
      </x:c>
      <x:c r="O379" s="50" t="n">
        <x:v>71</x:v>
      </x:c>
      <x:c r="P379" s="50" t="n">
        <x:v>14</x:v>
      </x:c>
    </x:row>
    <x:row r="380" ht="36" customHeight="1">
      <x:c r="A380" s="53" t="n">
        <x:v>361</x:v>
      </x:c>
      <x:c r="B380" s="53" t="n">
        <x:v>1</x:v>
      </x:c>
      <x:c r="C380" s="40" t="str">
        <x:v>High-Value Frequent Shoppers</x:v>
      </x:c>
      <x:c r="D380" s="60" t="n">
        <x:v>8747.1</x:v>
      </x:c>
      <x:c r="E380" s="50" t="n">
        <x:v>217</x:v>
      </x:c>
      <x:c r="F380" s="46" t="n">
        <x:v>9.041666666666666</x:v>
      </x:c>
      <x:c r="G380" s="46" t="n">
        <x:v>0</x:v>
      </x:c>
      <x:c r="H380" s="61" t="n">
        <x:v>40.30921658986176</x:v>
      </x:c>
      <x:c r="I380" s="52" t="n">
        <x:v>0.912442396313364</x:v>
      </x:c>
      <x:c r="J380" s="52" t="n">
        <x:v>0.600315533148129</x:v>
      </x:c>
      <x:c r="K380" s="60" t="n">
        <x:v>8570.94</x:v>
      </x:c>
      <x:c r="L380" s="60" t="n">
        <x:v>176.16</x:v>
      </x:c>
      <x:c r="M380" s="50" t="n">
        <x:v>198</x:v>
      </x:c>
      <x:c r="N380" s="50" t="n">
        <x:v>19</x:v>
      </x:c>
      <x:c r="O380" s="50" t="n">
        <x:v>205</x:v>
      </x:c>
      <x:c r="P380" s="50" t="n">
        <x:v>24</x:v>
      </x:c>
    </x:row>
    <x:row r="381" ht="36" customHeight="1">
      <x:c r="A381" s="53" t="n">
        <x:v>362</x:v>
      </x:c>
      <x:c r="B381" s="53" t="n">
        <x:v>2</x:v>
      </x:c>
      <x:c r="C381" s="40" t="str">
        <x:v>Large-Basket Occasional Shoppers</x:v>
      </x:c>
      <x:c r="D381" s="60" t="n">
        <x:v>2987.49</x:v>
      </x:c>
      <x:c r="E381" s="50" t="n">
        <x:v>91</x:v>
      </x:c>
      <x:c r="F381" s="46" t="n">
        <x:v>3.7916666666666665</x:v>
      </x:c>
      <x:c r="G381" s="46" t="n">
        <x:v>5</x:v>
      </x:c>
      <x:c r="H381" s="61" t="n">
        <x:v>32.82956043956044</x:v>
      </x:c>
      <x:c r="I381" s="52" t="n">
        <x:v>0.978021978021978</x:v>
      </x:c>
      <x:c r="J381" s="52" t="n">
        <x:v>0.4035963300295565</x:v>
      </x:c>
      <x:c r="K381" s="60" t="n">
        <x:v>2975.51</x:v>
      </x:c>
      <x:c r="L381" s="60" t="n">
        <x:v>11.98</x:v>
      </x:c>
      <x:c r="M381" s="50" t="n">
        <x:v>89</x:v>
      </x:c>
      <x:c r="N381" s="50" t="n">
        <x:v>2</x:v>
      </x:c>
      <x:c r="O381" s="50" t="n">
        <x:v>119</x:v>
      </x:c>
      <x:c r="P381" s="50" t="n">
        <x:v>24</x:v>
      </x:c>
    </x:row>
    <x:row r="382" ht="36" customHeight="1">
      <x:c r="A382" s="53" t="n">
        <x:v>363</x:v>
      </x:c>
      <x:c r="B382" s="53" t="n">
        <x:v>3</x:v>
      </x:c>
      <x:c r="C382" s="40" t="str">
        <x:v>Low-Value Low-Engagement Shoppers</x:v>
      </x:c>
      <x:c r="D382" s="60" t="n">
        <x:v>52.4</x:v>
      </x:c>
      <x:c r="E382" s="50" t="n">
        <x:v>4</x:v>
      </x:c>
      <x:c r="F382" s="46" t="n">
        <x:v>1</x:v>
      </x:c>
      <x:c r="G382" s="46" t="n">
        <x:v>130</x:v>
      </x:c>
      <x:c r="H382" s="61" t="n">
        <x:v>13.1</x:v>
      </x:c>
      <x:c r="I382" s="52" t="n">
        <x:v>0.75</x:v>
      </x:c>
      <x:c r="J382" s="52" t="n">
        <x:v>0.7576335877862596</x:v>
      </x:c>
      <x:c r="K382" s="60" t="n">
        <x:v>49.77</x:v>
      </x:c>
      <x:c r="L382" s="60" t="n">
        <x:v>2.63</x:v>
      </x:c>
      <x:c r="M382" s="50" t="n">
        <x:v>3</x:v>
      </x:c>
      <x:c r="N382" s="50" t="n">
        <x:v>1</x:v>
      </x:c>
      <x:c r="O382" s="50" t="n">
        <x:v>14</x:v>
      </x:c>
      <x:c r="P382" s="50" t="n">
        <x:v>4</x:v>
      </x:c>
    </x:row>
    <x:row r="383" ht="36" customHeight="1">
      <x:c r="A383" s="53" t="n">
        <x:v>364</x:v>
      </x:c>
      <x:c r="B383" s="53" t="n">
        <x:v>2</x:v>
      </x:c>
      <x:c r="C383" s="40" t="str">
        <x:v>Large-Basket Occasional Shoppers</x:v>
      </x:c>
      <x:c r="D383" s="60" t="n">
        <x:v>2566.92</x:v>
      </x:c>
      <x:c r="E383" s="50" t="n">
        <x:v>86</x:v>
      </x:c>
      <x:c r="F383" s="46" t="n">
        <x:v>4.095238095238095</x:v>
      </x:c>
      <x:c r="G383" s="46" t="n">
        <x:v>6</x:v>
      </x:c>
      <x:c r="H383" s="61" t="n">
        <x:v>29.847906976744184</x:v>
      </x:c>
      <x:c r="I383" s="52" t="n">
        <x:v>0.813953488372093</x:v>
      </x:c>
      <x:c r="J383" s="52" t="n">
        <x:v>0.5167321147523101</x:v>
      </x:c>
      <x:c r="K383" s="60" t="n">
        <x:v>2462.79</x:v>
      </x:c>
      <x:c r="L383" s="60" t="n">
        <x:v>104.13</x:v>
      </x:c>
      <x:c r="M383" s="50" t="n">
        <x:v>70</x:v>
      </x:c>
      <x:c r="N383" s="50" t="n">
        <x:v>16</x:v>
      </x:c>
      <x:c r="O383" s="50" t="n">
        <x:v>119</x:v>
      </x:c>
      <x:c r="P383" s="50" t="n">
        <x:v>21</x:v>
      </x:c>
    </x:row>
    <x:row r="384" ht="36" customHeight="1">
      <x:c r="A384" s="53" t="n">
        <x:v>365</x:v>
      </x:c>
      <x:c r="B384" s="53" t="n">
        <x:v>1</x:v>
      </x:c>
      <x:c r="C384" s="40" t="str">
        <x:v>High-Value Frequent Shoppers</x:v>
      </x:c>
      <x:c r="D384" s="60" t="n">
        <x:v>7048.43</x:v>
      </x:c>
      <x:c r="E384" s="50" t="n">
        <x:v>169</x:v>
      </x:c>
      <x:c r="F384" s="46" t="n">
        <x:v>7.3478260869565215</x:v>
      </x:c>
      <x:c r="G384" s="46" t="n">
        <x:v>14</x:v>
      </x:c>
      <x:c r="H384" s="61" t="n">
        <x:v>41.70668639053255</x:v>
      </x:c>
      <x:c r="I384" s="52" t="n">
        <x:v>0.8343195266272189</x:v>
      </x:c>
      <x:c r="J384" s="52" t="n">
        <x:v>0.3692198120716244</x:v>
      </x:c>
      <x:c r="K384" s="60" t="n">
        <x:v>6629.22</x:v>
      </x:c>
      <x:c r="L384" s="60" t="n">
        <x:v>419.21</x:v>
      </x:c>
      <x:c r="M384" s="50" t="n">
        <x:v>141</x:v>
      </x:c>
      <x:c r="N384" s="50" t="n">
        <x:v>28</x:v>
      </x:c>
      <x:c r="O384" s="50" t="n">
        <x:v>155</x:v>
      </x:c>
      <x:c r="P384" s="50" t="n">
        <x:v>23</x:v>
      </x:c>
    </x:row>
    <x:row r="385" ht="36" customHeight="1">
      <x:c r="A385" s="53" t="n">
        <x:v>366</x:v>
      </x:c>
      <x:c r="B385" s="53" t="n">
        <x:v>3</x:v>
      </x:c>
      <x:c r="C385" s="40" t="str">
        <x:v>Low-Value Low-Engagement Shoppers</x:v>
      </x:c>
      <x:c r="D385" s="60" t="n">
        <x:v>614.69</x:v>
      </x:c>
      <x:c r="E385" s="50" t="n">
        <x:v>48</x:v>
      </x:c>
      <x:c r="F385" s="46" t="n">
        <x:v>2.666666666666667</x:v>
      </x:c>
      <x:c r="G385" s="46" t="n">
        <x:v>36</x:v>
      </x:c>
      <x:c r="H385" s="61" t="n">
        <x:v>12.806041666666664</x:v>
      </x:c>
      <x:c r="I385" s="52" t="n">
        <x:v>0.9583333333333331</x:v>
      </x:c>
      <x:c r="J385" s="52" t="n">
        <x:v>0.5708405863117993</x:v>
      </x:c>
      <x:c r="K385" s="60" t="n">
        <x:v>608.53</x:v>
      </x:c>
      <x:c r="L385" s="60" t="n">
        <x:v>6.16</x:v>
      </x:c>
      <x:c r="M385" s="50" t="n">
        <x:v>46</x:v>
      </x:c>
      <x:c r="N385" s="50" t="n">
        <x:v>2</x:v>
      </x:c>
      <x:c r="O385" s="50" t="n">
        <x:v>78</x:v>
      </x:c>
      <x:c r="P385" s="50" t="n">
        <x:v>18</x:v>
      </x:c>
    </x:row>
    <x:row r="386" ht="36" customHeight="1">
      <x:c r="A386" s="53" t="n">
        <x:v>367</x:v>
      </x:c>
      <x:c r="B386" s="53" t="n">
        <x:v>1</x:v>
      </x:c>
      <x:c r="C386" s="40" t="str">
        <x:v>High-Value Frequent Shoppers</x:v>
      </x:c>
      <x:c r="D386" s="60" t="n">
        <x:v>7186.37</x:v>
      </x:c>
      <x:c r="E386" s="50" t="n">
        <x:v>109</x:v>
      </x:c>
      <x:c r="F386" s="46" t="n">
        <x:v>4.541666666666666</x:v>
      </x:c>
      <x:c r="G386" s="46" t="n">
        <x:v>3</x:v>
      </x:c>
      <x:c r="H386" s="61" t="n">
        <x:v>65.93</x:v>
      </x:c>
      <x:c r="I386" s="52" t="n">
        <x:v>0.9174311926605504</x:v>
      </x:c>
      <x:c r="J386" s="52" t="n">
        <x:v>0.6962374606372898</x:v>
      </x:c>
      <x:c r="K386" s="60" t="n">
        <x:v>7119.36</x:v>
      </x:c>
      <x:c r="L386" s="60" t="n">
        <x:v>67.01</x:v>
      </x:c>
      <x:c r="M386" s="50" t="n">
        <x:v>100</x:v>
      </x:c>
      <x:c r="N386" s="50" t="n">
        <x:v>9</x:v>
      </x:c>
      <x:c r="O386" s="50" t="n">
        <x:v>172</x:v>
      </x:c>
      <x:c r="P386" s="50" t="n">
        <x:v>24</x:v>
      </x:c>
    </x:row>
    <x:row r="387" ht="36" customHeight="1">
      <x:c r="A387" s="53" t="n">
        <x:v>368</x:v>
      </x:c>
      <x:c r="B387" s="53" t="n">
        <x:v>3</x:v>
      </x:c>
      <x:c r="C387" s="40" t="str">
        <x:v>Low-Value Low-Engagement Shoppers</x:v>
      </x:c>
      <x:c r="D387" s="60" t="n">
        <x:v>1346.46</x:v>
      </x:c>
      <x:c r="E387" s="50" t="n">
        <x:v>53</x:v>
      </x:c>
      <x:c r="F387" s="46" t="n">
        <x:v>3.3125</x:v>
      </x:c>
      <x:c r="G387" s="46" t="n">
        <x:v>18</x:v>
      </x:c>
      <x:c r="H387" s="61" t="n">
        <x:v>25.40490566037736</x:v>
      </x:c>
      <x:c r="I387" s="52" t="n">
        <x:v>0.660377358490566</x:v>
      </x:c>
      <x:c r="J387" s="52" t="n">
        <x:v>0.5494778901712639</x:v>
      </x:c>
      <x:c r="K387" s="60" t="n">
        <x:v>1241.47</x:v>
      </x:c>
      <x:c r="L387" s="60" t="n">
        <x:v>104.99</x:v>
      </x:c>
      <x:c r="M387" s="50" t="n">
        <x:v>35</x:v>
      </x:c>
      <x:c r="N387" s="50" t="n">
        <x:v>18</x:v>
      </x:c>
      <x:c r="O387" s="50" t="n">
        <x:v>89</x:v>
      </x:c>
      <x:c r="P387" s="50" t="n">
        <x:v>16</x:v>
      </x:c>
    </x:row>
    <x:row r="388" ht="36" customHeight="1">
      <x:c r="A388" s="53" t="n">
        <x:v>369</x:v>
      </x:c>
      <x:c r="B388" s="53" t="n">
        <x:v>3</x:v>
      </x:c>
      <x:c r="C388" s="40" t="str">
        <x:v>Low-Value Low-Engagement Shoppers</x:v>
      </x:c>
      <x:c r="D388" s="60" t="n">
        <x:v>1034.94</x:v>
      </x:c>
      <x:c r="E388" s="50" t="n">
        <x:v>34</x:v>
      </x:c>
      <x:c r="F388" s="46" t="n">
        <x:v>1.7894736842105263</x:v>
      </x:c>
      <x:c r="G388" s="46" t="n">
        <x:v>2</x:v>
      </x:c>
      <x:c r="H388" s="61" t="n">
        <x:v>30.43941176470588</x:v>
      </x:c>
      <x:c r="I388" s="52" t="n">
        <x:v>0.7058823529411764</x:v>
      </x:c>
      <x:c r="J388" s="52" t="n">
        <x:v>0.3843894332038572</x:v>
      </x:c>
      <x:c r="K388" s="60" t="n">
        <x:v>959.02</x:v>
      </x:c>
      <x:c r="L388" s="60" t="n">
        <x:v>75.92</x:v>
      </x:c>
      <x:c r="M388" s="50" t="n">
        <x:v>24</x:v>
      </x:c>
      <x:c r="N388" s="50" t="n">
        <x:v>10</x:v>
      </x:c>
      <x:c r="O388" s="50" t="n">
        <x:v>95</x:v>
      </x:c>
      <x:c r="P388" s="50" t="n">
        <x:v>19</x:v>
      </x:c>
    </x:row>
    <x:row r="389" ht="36" customHeight="1">
      <x:c r="A389" s="53" t="n">
        <x:v>370</x:v>
      </x:c>
      <x:c r="B389" s="53" t="n">
        <x:v>1</x:v>
      </x:c>
      <x:c r="C389" s="40" t="str">
        <x:v>High-Value Frequent Shoppers</x:v>
      </x:c>
      <x:c r="D389" s="60" t="n">
        <x:v>3386.78</x:v>
      </x:c>
      <x:c r="E389" s="50" t="n">
        <x:v>132</x:v>
      </x:c>
      <x:c r="F389" s="46" t="n">
        <x:v>11</x:v>
      </x:c>
      <x:c r="G389" s="46" t="n">
        <x:v>155</x:v>
      </x:c>
      <x:c r="H389" s="61" t="n">
        <x:v>25.65742424242424</x:v>
      </x:c>
      <x:c r="I389" s="52" t="n">
        <x:v>0.9545454545454544</x:v>
      </x:c>
      <x:c r="J389" s="52" t="n">
        <x:v>0.5654220232787485</x:v>
      </x:c>
      <x:c r="K389" s="60" t="n">
        <x:v>3317.42</x:v>
      </x:c>
      <x:c r="L389" s="60" t="n">
        <x:v>69.36</x:v>
      </x:c>
      <x:c r="M389" s="50" t="n">
        <x:v>126</x:v>
      </x:c>
      <x:c r="N389" s="50" t="n">
        <x:v>6</x:v>
      </x:c>
      <x:c r="O389" s="50" t="n">
        <x:v>147</x:v>
      </x:c>
      <x:c r="P389" s="50" t="n">
        <x:v>12</x:v>
      </x:c>
    </x:row>
    <x:row r="390" ht="36" customHeight="1">
      <x:c r="A390" s="53" t="n">
        <x:v>371</x:v>
      </x:c>
      <x:c r="B390" s="53" t="n">
        <x:v>1</x:v>
      </x:c>
      <x:c r="C390" s="40" t="str">
        <x:v>High-Value Frequent Shoppers</x:v>
      </x:c>
      <x:c r="D390" s="60" t="n">
        <x:v>15716.54</x:v>
      </x:c>
      <x:c r="E390" s="50" t="n">
        <x:v>159</x:v>
      </x:c>
      <x:c r="F390" s="46" t="n">
        <x:v>7.227272727272727</x:v>
      </x:c>
      <x:c r="G390" s="46" t="n">
        <x:v>0</x:v>
      </x:c>
      <x:c r="H390" s="61" t="n">
        <x:v>98.84616352201256</x:v>
      </x:c>
      <x:c r="I390" s="52" t="n">
        <x:v>0.9622641509433962</x:v>
      </x:c>
      <x:c r="J390" s="52" t="n">
        <x:v>0.4676665474716445</x:v>
      </x:c>
      <x:c r="K390" s="60" t="n">
        <x:v>15624.4</x:v>
      </x:c>
      <x:c r="L390" s="60" t="n">
        <x:v>92.14</x:v>
      </x:c>
      <x:c r="M390" s="50" t="n">
        <x:v>153</x:v>
      </x:c>
      <x:c r="N390" s="50" t="n">
        <x:v>6</x:v>
      </x:c>
      <x:c r="O390" s="50" t="n">
        <x:v>205</x:v>
      </x:c>
      <x:c r="P390" s="50" t="n">
        <x:v>22</x:v>
      </x:c>
    </x:row>
    <x:row r="391" ht="36" customHeight="1">
      <x:c r="A391" s="53" t="n">
        <x:v>372</x:v>
      </x:c>
      <x:c r="B391" s="53" t="n">
        <x:v>2</x:v>
      </x:c>
      <x:c r="C391" s="40" t="str">
        <x:v>Large-Basket Occasional Shoppers</x:v>
      </x:c>
      <x:c r="D391" s="60" t="n">
        <x:v>440.42</x:v>
      </x:c>
      <x:c r="E391" s="50" t="n">
        <x:v>10</x:v>
      </x:c>
      <x:c r="F391" s="46" t="n">
        <x:v>1.4285714285714286</x:v>
      </x:c>
      <x:c r="G391" s="46" t="n">
        <x:v>215</x:v>
      </x:c>
      <x:c r="H391" s="61" t="n">
        <x:v>44.042</x:v>
      </x:c>
      <x:c r="I391" s="52" t="n">
        <x:v>1</x:v>
      </x:c>
      <x:c r="J391" s="52" t="n">
        <x:v>0.6187729894191907</x:v>
      </x:c>
      <x:c r="K391" s="60" t="n">
        <x:v>440.42</x:v>
      </x:c>
      <x:c r="L391" s="60" t="n">
        <x:v>0</x:v>
      </x:c>
      <x:c r="M391" s="50" t="n">
        <x:v>10</x:v>
      </x:c>
      <x:c r="N391" s="50" t="n">
        <x:v>0</x:v>
      </x:c>
      <x:c r="O391" s="50" t="n">
        <x:v>56</x:v>
      </x:c>
      <x:c r="P391" s="50" t="n">
        <x:v>7</x:v>
      </x:c>
    </x:row>
    <x:row r="392" ht="36" customHeight="1">
      <x:c r="A392" s="53" t="n">
        <x:v>373</x:v>
      </x:c>
      <x:c r="B392" s="53" t="n">
        <x:v>3</x:v>
      </x:c>
      <x:c r="C392" s="40" t="str">
        <x:v>Low-Value Low-Engagement Shoppers</x:v>
      </x:c>
      <x:c r="D392" s="60" t="n">
        <x:v>96.91</x:v>
      </x:c>
      <x:c r="E392" s="50" t="n">
        <x:v>13</x:v>
      </x:c>
      <x:c r="F392" s="46" t="n">
        <x:v>1.625</x:v>
      </x:c>
      <x:c r="G392" s="46" t="n">
        <x:v>3</x:v>
      </x:c>
      <x:c r="H392" s="61" t="n">
        <x:v>7.454615384615384</x:v>
      </x:c>
      <x:c r="I392" s="52" t="n">
        <x:v>0.7692307692307692</x:v>
      </x:c>
      <x:c r="J392" s="52" t="n">
        <x:v>0.3271076256320297</x:v>
      </x:c>
      <x:c r="K392" s="60" t="n">
        <x:v>81.27</x:v>
      </x:c>
      <x:c r="L392" s="60" t="n">
        <x:v>15.64</x:v>
      </x:c>
      <x:c r="M392" s="50" t="n">
        <x:v>10</x:v>
      </x:c>
      <x:c r="N392" s="50" t="n">
        <x:v>3</x:v>
      </x:c>
      <x:c r="O392" s="50" t="n">
        <x:v>26</x:v>
      </x:c>
      <x:c r="P392" s="50" t="n">
        <x:v>8</x:v>
      </x:c>
    </x:row>
    <x:row r="393" ht="36" customHeight="1">
      <x:c r="A393" s="53" t="n">
        <x:v>374</x:v>
      </x:c>
      <x:c r="B393" s="53" t="n">
        <x:v>1</x:v>
      </x:c>
      <x:c r="C393" s="40" t="str">
        <x:v>High-Value Frequent Shoppers</x:v>
      </x:c>
      <x:c r="D393" s="60" t="n">
        <x:v>7099.56</x:v>
      </x:c>
      <x:c r="E393" s="50" t="n">
        <x:v>162</x:v>
      </x:c>
      <x:c r="F393" s="46" t="n">
        <x:v>7.0434782608695645</x:v>
      </x:c>
      <x:c r="G393" s="46" t="n">
        <x:v>6</x:v>
      </x:c>
      <x:c r="H393" s="61" t="n">
        <x:v>43.824444444444445</x:v>
      </x:c>
      <x:c r="I393" s="52" t="n">
        <x:v>0.8518518518518517</x:v>
      </x:c>
      <x:c r="J393" s="52" t="n">
        <x:v>0.3782882319467685</x:v>
      </x:c>
      <x:c r="K393" s="60" t="n">
        <x:v>6625.57</x:v>
      </x:c>
      <x:c r="L393" s="60" t="n">
        <x:v>473.99</x:v>
      </x:c>
      <x:c r="M393" s="50" t="n">
        <x:v>138</x:v>
      </x:c>
      <x:c r="N393" s="50" t="n">
        <x:v>24</x:v>
      </x:c>
      <x:c r="O393" s="50" t="n">
        <x:v>166</x:v>
      </x:c>
      <x:c r="P393" s="50" t="n">
        <x:v>23</x:v>
      </x:c>
    </x:row>
    <x:row r="394" ht="36" customHeight="1">
      <x:c r="A394" s="53" t="n">
        <x:v>375</x:v>
      </x:c>
      <x:c r="B394" s="53" t="n">
        <x:v>3</x:v>
      </x:c>
      <x:c r="C394" s="40" t="str">
        <x:v>Low-Value Low-Engagement Shoppers</x:v>
      </x:c>
      <x:c r="D394" s="60" t="n">
        <x:v>203.94</x:v>
      </x:c>
      <x:c r="E394" s="50" t="n">
        <x:v>24</x:v>
      </x:c>
      <x:c r="F394" s="46" t="n">
        <x:v>1.7142857142857144</x:v>
      </x:c>
      <x:c r="G394" s="46" t="n">
        <x:v>15</x:v>
      </x:c>
      <x:c r="H394" s="61" t="n">
        <x:v>8.4975</x:v>
      </x:c>
      <x:c r="I394" s="52" t="n">
        <x:v>1</x:v>
      </x:c>
      <x:c r="J394" s="52" t="n">
        <x:v>0.6773560851230754</x:v>
      </x:c>
      <x:c r="K394" s="60" t="n">
        <x:v>203.94</x:v>
      </x:c>
      <x:c r="L394" s="60" t="n">
        <x:v>0</x:v>
      </x:c>
      <x:c r="M394" s="50" t="n">
        <x:v>24</x:v>
      </x:c>
      <x:c r="N394" s="50" t="n">
        <x:v>0</x:v>
      </x:c>
      <x:c r="O394" s="50" t="n">
        <x:v>35</x:v>
      </x:c>
      <x:c r="P394" s="50" t="n">
        <x:v>14</x:v>
      </x:c>
    </x:row>
    <x:row r="395" ht="36" customHeight="1">
      <x:c r="A395" s="53" t="n">
        <x:v>376</x:v>
      </x:c>
      <x:c r="B395" s="53" t="n">
        <x:v>1</x:v>
      </x:c>
      <x:c r="C395" s="40" t="str">
        <x:v>High-Value Frequent Shoppers</x:v>
      </x:c>
      <x:c r="D395" s="60" t="n">
        <x:v>4714.62</x:v>
      </x:c>
      <x:c r="E395" s="50" t="n">
        <x:v>493</x:v>
      </x:c>
      <x:c r="F395" s="46" t="n">
        <x:v>22.409090909090907</x:v>
      </x:c>
      <x:c r="G395" s="46" t="n">
        <x:v>1</x:v>
      </x:c>
      <x:c r="H395" s="61" t="n">
        <x:v>9.56312373225152</x:v>
      </x:c>
      <x:c r="I395" s="52" t="n">
        <x:v>0.7241379310344827</x:v>
      </x:c>
      <x:c r="J395" s="52" t="n">
        <x:v>0.3715060810839473</x:v>
      </x:c>
      <x:c r="K395" s="60" t="n">
        <x:v>4198.02</x:v>
      </x:c>
      <x:c r="L395" s="60" t="n">
        <x:v>516.6</x:v>
      </x:c>
      <x:c r="M395" s="50" t="n">
        <x:v>357</x:v>
      </x:c>
      <x:c r="N395" s="50" t="n">
        <x:v>136</x:v>
      </x:c>
      <x:c r="O395" s="50" t="n">
        <x:v>140</x:v>
      </x:c>
      <x:c r="P395" s="50" t="n">
        <x:v>22</x:v>
      </x:c>
    </x:row>
    <x:row r="396" ht="36" customHeight="1">
      <x:c r="A396" s="53" t="n">
        <x:v>377</x:v>
      </x:c>
      <x:c r="B396" s="53" t="n">
        <x:v>1</x:v>
      </x:c>
      <x:c r="C396" s="40" t="str">
        <x:v>High-Value Frequent Shoppers</x:v>
      </x:c>
      <x:c r="D396" s="60" t="n">
        <x:v>3166.45</x:v>
      </x:c>
      <x:c r="E396" s="50" t="n">
        <x:v>133</x:v>
      </x:c>
      <x:c r="F396" s="46" t="n">
        <x:v>6.333333333333333</x:v>
      </x:c>
      <x:c r="G396" s="46" t="n">
        <x:v>0</x:v>
      </x:c>
      <x:c r="H396" s="61" t="n">
        <x:v>23.807894736842105</x:v>
      </x:c>
      <x:c r="I396" s="52" t="n">
        <x:v>0.8195488721804511</x:v>
      </x:c>
      <x:c r="J396" s="52" t="n">
        <x:v>0.4640685941669693</x:v>
      </x:c>
      <x:c r="K396" s="60" t="n">
        <x:v>3021.53</x:v>
      </x:c>
      <x:c r="L396" s="60" t="n">
        <x:v>144.92</x:v>
      </x:c>
      <x:c r="M396" s="50" t="n">
        <x:v>109</x:v>
      </x:c>
      <x:c r="N396" s="50" t="n">
        <x:v>24</x:v>
      </x:c>
      <x:c r="O396" s="50" t="n">
        <x:v>128</x:v>
      </x:c>
      <x:c r="P396" s="50" t="n">
        <x:v>21</x:v>
      </x:c>
    </x:row>
    <x:row r="397" ht="36" customHeight="1">
      <x:c r="A397" s="53" t="n">
        <x:v>378</x:v>
      </x:c>
      <x:c r="B397" s="53" t="n">
        <x:v>1</x:v>
      </x:c>
      <x:c r="C397" s="40" t="str">
        <x:v>High-Value Frequent Shoppers</x:v>
      </x:c>
      <x:c r="D397" s="60" t="n">
        <x:v>4715.42</x:v>
      </x:c>
      <x:c r="E397" s="50" t="n">
        <x:v>323</x:v>
      </x:c>
      <x:c r="F397" s="46" t="n">
        <x:v>14.68181818181818</x:v>
      </x:c>
      <x:c r="G397" s="46" t="n">
        <x:v>3</x:v>
      </x:c>
      <x:c r="H397" s="61" t="n">
        <x:v>14.598823529411764</x:v>
      </x:c>
      <x:c r="I397" s="52" t="n">
        <x:v>0.8204334365325077</x:v>
      </x:c>
      <x:c r="J397" s="52" t="n">
        <x:v>0.3587824626438366</x:v>
      </x:c>
      <x:c r="K397" s="60" t="n">
        <x:v>3957.25</x:v>
      </x:c>
      <x:c r="L397" s="60" t="n">
        <x:v>758.17</x:v>
      </x:c>
      <x:c r="M397" s="50" t="n">
        <x:v>265</x:v>
      </x:c>
      <x:c r="N397" s="50" t="n">
        <x:v>58</x:v>
      </x:c>
      <x:c r="O397" s="50" t="n">
        <x:v>154</x:v>
      </x:c>
      <x:c r="P397" s="50" t="n">
        <x:v>22</x:v>
      </x:c>
    </x:row>
    <x:row r="398" ht="36" customHeight="1">
      <x:c r="A398" s="53" t="n">
        <x:v>379</x:v>
      </x:c>
      <x:c r="B398" s="53" t="n">
        <x:v>3</x:v>
      </x:c>
      <x:c r="C398" s="40" t="str">
        <x:v>Low-Value Low-Engagement Shoppers</x:v>
      </x:c>
      <x:c r="D398" s="60" t="n">
        <x:v>55.64</x:v>
      </x:c>
      <x:c r="E398" s="50" t="n">
        <x:v>2</x:v>
      </x:c>
      <x:c r="F398" s="46" t="n">
        <x:v>1</x:v>
      </x:c>
      <x:c r="G398" s="46" t="n">
        <x:v>4</x:v>
      </x:c>
      <x:c r="H398" s="61" t="n">
        <x:v>27.82</x:v>
      </x:c>
      <x:c r="I398" s="52" t="n">
        <x:v>0.5</x:v>
      </x:c>
      <x:c r="J398" s="52" t="n">
        <x:v>0.1376707404744787</x:v>
      </x:c>
      <x:c r="K398" s="60" t="n">
        <x:v>51.15</x:v>
      </x:c>
      <x:c r="L398" s="60" t="n">
        <x:v>4.49</x:v>
      </x:c>
      <x:c r="M398" s="50" t="n">
        <x:v>1</x:v>
      </x:c>
      <x:c r="N398" s="50" t="n">
        <x:v>1</x:v>
      </x:c>
      <x:c r="O398" s="50" t="n">
        <x:v>10</x:v>
      </x:c>
      <x:c r="P398" s="50" t="n">
        <x:v>2</x:v>
      </x:c>
    </x:row>
    <x:row r="399" ht="36" customHeight="1">
      <x:c r="A399" s="53" t="n">
        <x:v>380</x:v>
      </x:c>
      <x:c r="B399" s="53" t="n">
        <x:v>1</x:v>
      </x:c>
      <x:c r="C399" s="40" t="str">
        <x:v>High-Value Frequent Shoppers</x:v>
      </x:c>
      <x:c r="D399" s="60" t="n">
        <x:v>7726.44</x:v>
      </x:c>
      <x:c r="E399" s="50" t="n">
        <x:v>129</x:v>
      </x:c>
      <x:c r="F399" s="46" t="n">
        <x:v>6.142857142857143</x:v>
      </x:c>
      <x:c r="G399" s="46" t="n">
        <x:v>0</x:v>
      </x:c>
      <x:c r="H399" s="61" t="n">
        <x:v>59.89488372093023</x:v>
      </x:c>
      <x:c r="I399" s="52" t="n">
        <x:v>0.9689922480620156</x:v>
      </x:c>
      <x:c r="J399" s="52" t="n">
        <x:v>0.516728273305688</x:v>
      </x:c>
      <x:c r="K399" s="60" t="n">
        <x:v>7666.47</x:v>
      </x:c>
      <x:c r="L399" s="60" t="n">
        <x:v>59.97</x:v>
      </x:c>
      <x:c r="M399" s="50" t="n">
        <x:v>125</x:v>
      </x:c>
      <x:c r="N399" s="50" t="n">
        <x:v>4</x:v>
      </x:c>
      <x:c r="O399" s="50" t="n">
        <x:v>129</x:v>
      </x:c>
      <x:c r="P399" s="50" t="n">
        <x:v>21</x:v>
      </x:c>
    </x:row>
    <x:row r="400" ht="36" customHeight="1">
      <x:c r="A400" s="53" t="n">
        <x:v>381</x:v>
      </x:c>
      <x:c r="B400" s="53" t="n">
        <x:v>1</x:v>
      </x:c>
      <x:c r="C400" s="40" t="str">
        <x:v>High-Value Frequent Shoppers</x:v>
      </x:c>
      <x:c r="D400" s="60" t="n">
        <x:v>3120.79</x:v>
      </x:c>
      <x:c r="E400" s="50" t="n">
        <x:v>93</x:v>
      </x:c>
      <x:c r="F400" s="46" t="n">
        <x:v>4.227272727272728</x:v>
      </x:c>
      <x:c r="G400" s="46" t="n">
        <x:v>12</x:v>
      </x:c>
      <x:c r="H400" s="61" t="n">
        <x:v>33.556881720430106</x:v>
      </x:c>
      <x:c r="I400" s="52" t="n">
        <x:v>0.7634408602150538</x:v>
      </x:c>
      <x:c r="J400" s="52" t="n">
        <x:v>0.4503987772326878</x:v>
      </x:c>
      <x:c r="K400" s="60" t="n">
        <x:v>2907.2</x:v>
      </x:c>
      <x:c r="L400" s="60" t="n">
        <x:v>213.59</x:v>
      </x:c>
      <x:c r="M400" s="50" t="n">
        <x:v>71</x:v>
      </x:c>
      <x:c r="N400" s="50" t="n">
        <x:v>22</x:v>
      </x:c>
      <x:c r="O400" s="50" t="n">
        <x:v>159</x:v>
      </x:c>
      <x:c r="P400" s="50" t="n">
        <x:v>22</x:v>
      </x:c>
    </x:row>
    <x:row r="401" ht="36" customHeight="1">
      <x:c r="A401" s="53" t="n">
        <x:v>382</x:v>
      </x:c>
      <x:c r="B401" s="53" t="n">
        <x:v>3</x:v>
      </x:c>
      <x:c r="C401" s="40" t="str">
        <x:v>Low-Value Low-Engagement Shoppers</x:v>
      </x:c>
      <x:c r="D401" s="60" t="n">
        <x:v>694.7</x:v>
      </x:c>
      <x:c r="E401" s="50" t="n">
        <x:v>34</x:v>
      </x:c>
      <x:c r="F401" s="46" t="n">
        <x:v>2.125</x:v>
      </x:c>
      <x:c r="G401" s="46" t="n">
        <x:v>36</x:v>
      </x:c>
      <x:c r="H401" s="61" t="n">
        <x:v>20.43235294117647</x:v>
      </x:c>
      <x:c r="I401" s="52" t="n">
        <x:v>0.7352941176470588</x:v>
      </x:c>
      <x:c r="J401" s="52" t="n">
        <x:v>0.4171296962717719</x:v>
      </x:c>
      <x:c r="K401" s="60" t="n">
        <x:v>571.7</x:v>
      </x:c>
      <x:c r="L401" s="60" t="n">
        <x:v>123</x:v>
      </x:c>
      <x:c r="M401" s="50" t="n">
        <x:v>25</x:v>
      </x:c>
      <x:c r="N401" s="50" t="n">
        <x:v>9</x:v>
      </x:c>
      <x:c r="O401" s="50" t="n">
        <x:v>76</x:v>
      </x:c>
      <x:c r="P401" s="50" t="n">
        <x:v>16</x:v>
      </x:c>
    </x:row>
    <x:row r="402" ht="36" customHeight="1">
      <x:c r="A402" s="53" t="n">
        <x:v>383</x:v>
      </x:c>
      <x:c r="B402" s="53" t="n">
        <x:v>1</x:v>
      </x:c>
      <x:c r="C402" s="40" t="str">
        <x:v>High-Value Frequent Shoppers</x:v>
      </x:c>
      <x:c r="D402" s="60" t="n">
        <x:v>5763.44</x:v>
      </x:c>
      <x:c r="E402" s="50" t="n">
        <x:v>150</x:v>
      </x:c>
      <x:c r="F402" s="46" t="n">
        <x:v>7.5</x:v>
      </x:c>
      <x:c r="G402" s="46" t="n">
        <x:v>18</x:v>
      </x:c>
      <x:c r="H402" s="61" t="n">
        <x:v>38.422933333333326</x:v>
      </x:c>
      <x:c r="I402" s="52" t="n">
        <x:v>0.8733333333333333</x:v>
      </x:c>
      <x:c r="J402" s="52" t="n">
        <x:v>0.5107748150410171</x:v>
      </x:c>
      <x:c r="K402" s="60" t="n">
        <x:v>5651.99</x:v>
      </x:c>
      <x:c r="L402" s="60" t="n">
        <x:v>111.45</x:v>
      </x:c>
      <x:c r="M402" s="50" t="n">
        <x:v>131</x:v>
      </x:c>
      <x:c r="N402" s="50" t="n">
        <x:v>19</x:v>
      </x:c>
      <x:c r="O402" s="50" t="n">
        <x:v>143</x:v>
      </x:c>
      <x:c r="P402" s="50" t="n">
        <x:v>20</x:v>
      </x:c>
    </x:row>
    <x:row r="403" ht="36" customHeight="1">
      <x:c r="A403" s="53" t="n">
        <x:v>384</x:v>
      </x:c>
      <x:c r="B403" s="53" t="n">
        <x:v>1</x:v>
      </x:c>
      <x:c r="C403" s="40" t="str">
        <x:v>High-Value Frequent Shoppers</x:v>
      </x:c>
      <x:c r="D403" s="60" t="n">
        <x:v>3914.84</x:v>
      </x:c>
      <x:c r="E403" s="50" t="n">
        <x:v>80</x:v>
      </x:c>
      <x:c r="F403" s="46" t="n">
        <x:v>4</x:v>
      </x:c>
      <x:c r="G403" s="46" t="n">
        <x:v>5</x:v>
      </x:c>
      <x:c r="H403" s="61" t="n">
        <x:v>48.9355</x:v>
      </x:c>
      <x:c r="I403" s="52" t="n">
        <x:v>0.8</x:v>
      </x:c>
      <x:c r="J403" s="52" t="n">
        <x:v>0.4639244515740106</x:v>
      </x:c>
      <x:c r="K403" s="60" t="n">
        <x:v>3700.99</x:v>
      </x:c>
      <x:c r="L403" s="60" t="n">
        <x:v>213.85</x:v>
      </x:c>
      <x:c r="M403" s="50" t="n">
        <x:v>64</x:v>
      </x:c>
      <x:c r="N403" s="50" t="n">
        <x:v>16</x:v>
      </x:c>
      <x:c r="O403" s="50" t="n">
        <x:v>155</x:v>
      </x:c>
      <x:c r="P403" s="50" t="n">
        <x:v>20</x:v>
      </x:c>
    </x:row>
    <x:row r="404" ht="36" customHeight="1">
      <x:c r="A404" s="53" t="n">
        <x:v>385</x:v>
      </x:c>
      <x:c r="B404" s="53" t="n">
        <x:v>2</x:v>
      </x:c>
      <x:c r="C404" s="40" t="str">
        <x:v>Large-Basket Occasional Shoppers</x:v>
      </x:c>
      <x:c r="D404" s="60" t="n">
        <x:v>2929.72</x:v>
      </x:c>
      <x:c r="E404" s="50" t="n">
        <x:v>41</x:v>
      </x:c>
      <x:c r="F404" s="46" t="n">
        <x:v>2.2777777777777777</x:v>
      </x:c>
      <x:c r="G404" s="46" t="n">
        <x:v>10</x:v>
      </x:c>
      <x:c r="H404" s="61" t="n">
        <x:v>71.45658536585366</x:v>
      </x:c>
      <x:c r="I404" s="52" t="n">
        <x:v>0.902439024390244</x:v>
      </x:c>
      <x:c r="J404" s="52" t="n">
        <x:v>0.5095674671982305</x:v>
      </x:c>
      <x:c r="K404" s="60" t="n">
        <x:v>2901.46</x:v>
      </x:c>
      <x:c r="L404" s="60" t="n">
        <x:v>28.26</x:v>
      </x:c>
      <x:c r="M404" s="50" t="n">
        <x:v>37</x:v>
      </x:c>
      <x:c r="N404" s="50" t="n">
        <x:v>4</x:v>
      </x:c>
      <x:c r="O404" s="50" t="n">
        <x:v>128</x:v>
      </x:c>
      <x:c r="P404" s="50" t="n">
        <x:v>18</x:v>
      </x:c>
    </x:row>
    <x:row r="405" ht="36" customHeight="1">
      <x:c r="A405" s="53" t="n">
        <x:v>386</x:v>
      </x:c>
      <x:c r="B405" s="53" t="n">
        <x:v>1</x:v>
      </x:c>
      <x:c r="C405" s="40" t="str">
        <x:v>High-Value Frequent Shoppers</x:v>
      </x:c>
      <x:c r="D405" s="60" t="n">
        <x:v>4676.43</x:v>
      </x:c>
      <x:c r="E405" s="50" t="n">
        <x:v>280</x:v>
      </x:c>
      <x:c r="F405" s="46" t="n">
        <x:v>12.17391304347826</x:v>
      </x:c>
      <x:c r="G405" s="46" t="n">
        <x:v>1</x:v>
      </x:c>
      <x:c r="H405" s="61" t="n">
        <x:v>16.701535714285715</x:v>
      </x:c>
      <x:c r="I405" s="52" t="n">
        <x:v>0.8928571428571428</x:v>
      </x:c>
      <x:c r="J405" s="52" t="n">
        <x:v>0.5856818128358598</x:v>
      </x:c>
      <x:c r="K405" s="60" t="n">
        <x:v>4484.5</x:v>
      </x:c>
      <x:c r="L405" s="60" t="n">
        <x:v>191.93</x:v>
      </x:c>
      <x:c r="M405" s="50" t="n">
        <x:v>250</x:v>
      </x:c>
      <x:c r="N405" s="50" t="n">
        <x:v>30</x:v>
      </x:c>
      <x:c r="O405" s="50" t="n">
        <x:v>158</x:v>
      </x:c>
      <x:c r="P405" s="50" t="n">
        <x:v>23</x:v>
      </x:c>
    </x:row>
    <x:row r="406" ht="36" customHeight="1">
      <x:c r="A406" s="53" t="n">
        <x:v>387</x:v>
      </x:c>
      <x:c r="B406" s="53" t="n">
        <x:v>1</x:v>
      </x:c>
      <x:c r="C406" s="40" t="str">
        <x:v>High-Value Frequent Shoppers</x:v>
      </x:c>
      <x:c r="D406" s="60" t="n">
        <x:v>5697.25</x:v>
      </x:c>
      <x:c r="E406" s="50" t="n">
        <x:v>131</x:v>
      </x:c>
      <x:c r="F406" s="46" t="n">
        <x:v>6.238095238095238</x:v>
      </x:c>
      <x:c r="G406" s="46" t="n">
        <x:v>7</x:v>
      </x:c>
      <x:c r="H406" s="61" t="n">
        <x:v>43.49045801526717</x:v>
      </x:c>
      <x:c r="I406" s="52" t="n">
        <x:v>0.6870229007633587</x:v>
      </x:c>
      <x:c r="J406" s="52" t="n">
        <x:v>0.3196103383211198</x:v>
      </x:c>
      <x:c r="K406" s="60" t="n">
        <x:v>4878.16</x:v>
      </x:c>
      <x:c r="L406" s="60" t="n">
        <x:v>819.09</x:v>
      </x:c>
      <x:c r="M406" s="50" t="n">
        <x:v>90</x:v>
      </x:c>
      <x:c r="N406" s="50" t="n">
        <x:v>41</x:v>
      </x:c>
      <x:c r="O406" s="50" t="n">
        <x:v>171</x:v>
      </x:c>
      <x:c r="P406" s="50" t="n">
        <x:v>21</x:v>
      </x:c>
    </x:row>
    <x:row r="407" ht="36" customHeight="1">
      <x:c r="A407" s="53" t="n">
        <x:v>388</x:v>
      </x:c>
      <x:c r="B407" s="53" t="n">
        <x:v>2</x:v>
      </x:c>
      <x:c r="C407" s="40" t="str">
        <x:v>Large-Basket Occasional Shoppers</x:v>
      </x:c>
      <x:c r="D407" s="60" t="n">
        <x:v>1286.54</x:v>
      </x:c>
      <x:c r="E407" s="50" t="n">
        <x:v>58</x:v>
      </x:c>
      <x:c r="F407" s="46" t="n">
        <x:v>2.7619047619047614</x:v>
      </x:c>
      <x:c r="G407" s="46" t="n">
        <x:v>3</x:v>
      </x:c>
      <x:c r="H407" s="61" t="n">
        <x:v>22.181724137931035</x:v>
      </x:c>
      <x:c r="I407" s="52" t="n">
        <x:v>0.9137931034482758</x:v>
      </x:c>
      <x:c r="J407" s="52" t="n">
        <x:v>0.7156326270461858</x:v>
      </x:c>
      <x:c r="K407" s="60" t="n">
        <x:v>1277.83</x:v>
      </x:c>
      <x:c r="L407" s="60" t="n">
        <x:v>8.71</x:v>
      </x:c>
      <x:c r="M407" s="50" t="n">
        <x:v>53</x:v>
      </x:c>
      <x:c r="N407" s="50" t="n">
        <x:v>5</x:v>
      </x:c>
      <x:c r="O407" s="50" t="n">
        <x:v>80</x:v>
      </x:c>
      <x:c r="P407" s="50" t="n">
        <x:v>21</x:v>
      </x:c>
    </x:row>
    <x:row r="408" ht="36" customHeight="1">
      <x:c r="A408" s="53" t="n">
        <x:v>389</x:v>
      </x:c>
      <x:c r="B408" s="53" t="n">
        <x:v>1</x:v>
      </x:c>
      <x:c r="C408" s="40" t="str">
        <x:v>High-Value Frequent Shoppers</x:v>
      </x:c>
      <x:c r="D408" s="60" t="n">
        <x:v>14880.92</x:v>
      </x:c>
      <x:c r="E408" s="50" t="n">
        <x:v>268</x:v>
      </x:c>
      <x:c r="F408" s="46" t="n">
        <x:v>12.76190476190476</x:v>
      </x:c>
      <x:c r="G408" s="46" t="n">
        <x:v>1</x:v>
      </x:c>
      <x:c r="H408" s="61" t="n">
        <x:v>55.52582089552239</x:v>
      </x:c>
      <x:c r="I408" s="52" t="n">
        <x:v>0.92910447761194</x:v>
      </x:c>
      <x:c r="J408" s="52" t="n">
        <x:v>0.6089206850114105</x:v>
      </x:c>
      <x:c r="K408" s="60" t="n">
        <x:v>14718.48</x:v>
      </x:c>
      <x:c r="L408" s="60" t="n">
        <x:v>162.44</x:v>
      </x:c>
      <x:c r="M408" s="50" t="n">
        <x:v>249</x:v>
      </x:c>
      <x:c r="N408" s="50" t="n">
        <x:v>19</x:v>
      </x:c>
      <x:c r="O408" s="50" t="n">
        <x:v>181</x:v>
      </x:c>
      <x:c r="P408" s="50" t="n">
        <x:v>21</x:v>
      </x:c>
    </x:row>
    <x:row r="409" ht="36" customHeight="1">
      <x:c r="A409" s="53" t="n">
        <x:v>390</x:v>
      </x:c>
      <x:c r="B409" s="53" t="n">
        <x:v>1</x:v>
      </x:c>
      <x:c r="C409" s="40" t="str">
        <x:v>High-Value Frequent Shoppers</x:v>
      </x:c>
      <x:c r="D409" s="60" t="n">
        <x:v>1806.02</x:v>
      </x:c>
      <x:c r="E409" s="50" t="n">
        <x:v>108</x:v>
      </x:c>
      <x:c r="F409" s="46" t="n">
        <x:v>4.909090909090909</x:v>
      </x:c>
      <x:c r="G409" s="46" t="n">
        <x:v>2</x:v>
      </x:c>
      <x:c r="H409" s="61" t="n">
        <x:v>16.72240740740741</x:v>
      </x:c>
      <x:c r="I409" s="52" t="n">
        <x:v>0.7222222222222222</x:v>
      </x:c>
      <x:c r="J409" s="52" t="n">
        <x:v>0.3786059955039257</x:v>
      </x:c>
      <x:c r="K409" s="60" t="n">
        <x:v>1410.76</x:v>
      </x:c>
      <x:c r="L409" s="60" t="n">
        <x:v>395.26</x:v>
      </x:c>
      <x:c r="M409" s="50" t="n">
        <x:v>78</x:v>
      </x:c>
      <x:c r="N409" s="50" t="n">
        <x:v>30</x:v>
      </x:c>
      <x:c r="O409" s="50" t="n">
        <x:v>119</x:v>
      </x:c>
      <x:c r="P409" s="50" t="n">
        <x:v>22</x:v>
      </x:c>
    </x:row>
    <x:row r="410" ht="36" customHeight="1">
      <x:c r="A410" s="53" t="n">
        <x:v>391</x:v>
      </x:c>
      <x:c r="B410" s="53" t="n">
        <x:v>3</x:v>
      </x:c>
      <x:c r="C410" s="40" t="str">
        <x:v>Low-Value Low-Engagement Shoppers</x:v>
      </x:c>
      <x:c r="D410" s="60" t="n">
        <x:v>1412.64</x:v>
      </x:c>
      <x:c r="E410" s="50" t="n">
        <x:v>49</x:v>
      </x:c>
      <x:c r="F410" s="46" t="n">
        <x:v>4.9</x:v>
      </x:c>
      <x:c r="G410" s="46" t="n">
        <x:v>98</x:v>
      </x:c>
      <x:c r="H410" s="61" t="n">
        <x:v>28.82938775510204</x:v>
      </x:c>
      <x:c r="I410" s="52" t="n">
        <x:v>0.7142857142857142</x:v>
      </x:c>
      <x:c r="J410" s="52" t="n">
        <x:v>0.3909913353720693</x:v>
      </x:c>
      <x:c r="K410" s="60" t="n">
        <x:v>1214.71</x:v>
      </x:c>
      <x:c r="L410" s="60" t="n">
        <x:v>197.93</x:v>
      </x:c>
      <x:c r="M410" s="50" t="n">
        <x:v>35</x:v>
      </x:c>
      <x:c r="N410" s="50" t="n">
        <x:v>14</x:v>
      </x:c>
      <x:c r="O410" s="50" t="n">
        <x:v>95</x:v>
      </x:c>
      <x:c r="P410" s="50" t="n">
        <x:v>10</x:v>
      </x:c>
    </x:row>
    <x:row r="411" ht="36" customHeight="1">
      <x:c r="A411" s="53" t="n">
        <x:v>392</x:v>
      </x:c>
      <x:c r="B411" s="53" t="n">
        <x:v>1</x:v>
      </x:c>
      <x:c r="C411" s="40" t="str">
        <x:v>High-Value Frequent Shoppers</x:v>
      </x:c>
      <x:c r="D411" s="60" t="n">
        <x:v>11443.97</x:v>
      </x:c>
      <x:c r="E411" s="50" t="n">
        <x:v>104</x:v>
      </x:c>
      <x:c r="F411" s="46" t="n">
        <x:v>4.727272727272728</x:v>
      </x:c>
      <x:c r="G411" s="46" t="n">
        <x:v>2</x:v>
      </x:c>
      <x:c r="H411" s="61" t="n">
        <x:v>110.03817307692309</x:v>
      </x:c>
      <x:c r="I411" s="52" t="n">
        <x:v>0.9903846153846152</x:v>
      </x:c>
      <x:c r="J411" s="52" t="n">
        <x:v>0.2822674299216093</x:v>
      </x:c>
      <x:c r="K411" s="60" t="n">
        <x:v>11427.32</x:v>
      </x:c>
      <x:c r="L411" s="60" t="n">
        <x:v>16.65</x:v>
      </x:c>
      <x:c r="M411" s="50" t="n">
        <x:v>103</x:v>
      </x:c>
      <x:c r="N411" s="50" t="n">
        <x:v>1</x:v>
      </x:c>
      <x:c r="O411" s="50" t="n">
        <x:v>175</x:v>
      </x:c>
      <x:c r="P411" s="50" t="n">
        <x:v>22</x:v>
      </x:c>
    </x:row>
    <x:row r="412" ht="36" customHeight="1">
      <x:c r="A412" s="53" t="n">
        <x:v>393</x:v>
      </x:c>
      <x:c r="B412" s="53" t="n">
        <x:v>1</x:v>
      </x:c>
      <x:c r="C412" s="40" t="str">
        <x:v>High-Value Frequent Shoppers</x:v>
      </x:c>
      <x:c r="D412" s="60" t="n">
        <x:v>3895.24</x:v>
      </x:c>
      <x:c r="E412" s="50" t="n">
        <x:v>180</x:v>
      </x:c>
      <x:c r="F412" s="46" t="n">
        <x:v>7.826086956521739</x:v>
      </x:c>
      <x:c r="G412" s="46" t="n">
        <x:v>0</x:v>
      </x:c>
      <x:c r="H412" s="61" t="n">
        <x:v>21.640222222222224</x:v>
      </x:c>
      <x:c r="I412" s="52" t="n">
        <x:v>0.8</x:v>
      </x:c>
      <x:c r="J412" s="52" t="n">
        <x:v>0.5121789671496493</x:v>
      </x:c>
      <x:c r="K412" s="60" t="n">
        <x:v>3680.71</x:v>
      </x:c>
      <x:c r="L412" s="60" t="n">
        <x:v>214.53</x:v>
      </x:c>
      <x:c r="M412" s="50" t="n">
        <x:v>144</x:v>
      </x:c>
      <x:c r="N412" s="50" t="n">
        <x:v>36</x:v>
      </x:c>
      <x:c r="O412" s="50" t="n">
        <x:v>151</x:v>
      </x:c>
      <x:c r="P412" s="50" t="n">
        <x:v>23</x:v>
      </x:c>
    </x:row>
    <x:row r="413" ht="36" customHeight="1">
      <x:c r="A413" s="53" t="n">
        <x:v>394</x:v>
      </x:c>
      <x:c r="B413" s="53" t="n">
        <x:v>1</x:v>
      </x:c>
      <x:c r="C413" s="40" t="str">
        <x:v>High-Value Frequent Shoppers</x:v>
      </x:c>
      <x:c r="D413" s="60" t="n">
        <x:v>1565.89</x:v>
      </x:c>
      <x:c r="E413" s="50" t="n">
        <x:v>65</x:v>
      </x:c>
      <x:c r="F413" s="46" t="n">
        <x:v>3.25</x:v>
      </x:c>
      <x:c r="G413" s="46" t="n">
        <x:v>1</x:v>
      </x:c>
      <x:c r="H413" s="61" t="n">
        <x:v>24.090615384615383</x:v>
      </x:c>
      <x:c r="I413" s="52" t="n">
        <x:v>0.7846153846153846</x:v>
      </x:c>
      <x:c r="J413" s="52" t="n">
        <x:v>0.3201629744107185</x:v>
      </x:c>
      <x:c r="K413" s="60" t="n">
        <x:v>1434.72</x:v>
      </x:c>
      <x:c r="L413" s="60" t="n">
        <x:v>131.17</x:v>
      </x:c>
      <x:c r="M413" s="50" t="n">
        <x:v>51</x:v>
      </x:c>
      <x:c r="N413" s="50" t="n">
        <x:v>14</x:v>
      </x:c>
      <x:c r="O413" s="50" t="n">
        <x:v>133</x:v>
      </x:c>
      <x:c r="P413" s="50" t="n">
        <x:v>20</x:v>
      </x:c>
    </x:row>
    <x:row r="414" ht="36" customHeight="1">
      <x:c r="A414" s="53" t="n">
        <x:v>395</x:v>
      </x:c>
      <x:c r="B414" s="53" t="n">
        <x:v>3</x:v>
      </x:c>
      <x:c r="C414" s="40" t="str">
        <x:v>Low-Value Low-Engagement Shoppers</x:v>
      </x:c>
      <x:c r="D414" s="60" t="n">
        <x:v>872.91</x:v>
      </x:c>
      <x:c r="E414" s="50" t="n">
        <x:v>68</x:v>
      </x:c>
      <x:c r="F414" s="46" t="n">
        <x:v>3.238095238095238</x:v>
      </x:c>
      <x:c r="G414" s="46" t="n">
        <x:v>1</x:v>
      </x:c>
      <x:c r="H414" s="61" t="n">
        <x:v>12.83691176470588</x:v>
      </x:c>
      <x:c r="I414" s="52" t="n">
        <x:v>0.8088235294117647</x:v>
      </x:c>
      <x:c r="J414" s="52" t="n">
        <x:v>0.490566037735849</x:v>
      </x:c>
      <x:c r="K414" s="60" t="n">
        <x:v>757.56</x:v>
      </x:c>
      <x:c r="L414" s="60" t="n">
        <x:v>115.35</x:v>
      </x:c>
      <x:c r="M414" s="50" t="n">
        <x:v>55</x:v>
      </x:c>
      <x:c r="N414" s="50" t="n">
        <x:v>13</x:v>
      </x:c>
      <x:c r="O414" s="50" t="n">
        <x:v>78</x:v>
      </x:c>
      <x:c r="P414" s="50" t="n">
        <x:v>21</x:v>
      </x:c>
    </x:row>
    <x:row r="415" ht="36" customHeight="1">
      <x:c r="A415" s="53" t="n">
        <x:v>396</x:v>
      </x:c>
      <x:c r="B415" s="53" t="n">
        <x:v>3</x:v>
      </x:c>
      <x:c r="C415" s="40" t="str">
        <x:v>Low-Value Low-Engagement Shoppers</x:v>
      </x:c>
      <x:c r="D415" s="60" t="n">
        <x:v>1790.73</x:v>
      </x:c>
      <x:c r="E415" s="50" t="n">
        <x:v>107</x:v>
      </x:c>
      <x:c r="F415" s="46" t="n">
        <x:v>5.095238095238095</x:v>
      </x:c>
      <x:c r="G415" s="46" t="n">
        <x:v>6</x:v>
      </x:c>
      <x:c r="H415" s="61" t="n">
        <x:v>16.735794392523363</x:v>
      </x:c>
      <x:c r="I415" s="52" t="n">
        <x:v>0.6822429906542056</x:v>
      </x:c>
      <x:c r="J415" s="52" t="n">
        <x:v>0.4546302345970637</x:v>
      </x:c>
      <x:c r="K415" s="60" t="n">
        <x:v>1549.63</x:v>
      </x:c>
      <x:c r="L415" s="60" t="n">
        <x:v>241.1</x:v>
      </x:c>
      <x:c r="M415" s="50" t="n">
        <x:v>73</x:v>
      </x:c>
      <x:c r="N415" s="50" t="n">
        <x:v>34</x:v>
      </x:c>
      <x:c r="O415" s="50" t="n">
        <x:v>112</x:v>
      </x:c>
      <x:c r="P415" s="50" t="n">
        <x:v>21</x:v>
      </x:c>
    </x:row>
    <x:row r="416" ht="36" customHeight="1">
      <x:c r="A416" s="53" t="n">
        <x:v>397</x:v>
      </x:c>
      <x:c r="B416" s="53" t="n">
        <x:v>1</x:v>
      </x:c>
      <x:c r="C416" s="40" t="str">
        <x:v>High-Value Frequent Shoppers</x:v>
      </x:c>
      <x:c r="D416" s="60" t="n">
        <x:v>6161.99</x:v>
      </x:c>
      <x:c r="E416" s="50" t="n">
        <x:v>248</x:v>
      </x:c>
      <x:c r="F416" s="46" t="n">
        <x:v>11.809523809523808</x:v>
      </x:c>
      <x:c r="G416" s="46" t="n">
        <x:v>5</x:v>
      </x:c>
      <x:c r="H416" s="61" t="n">
        <x:v>24.84673387096774</x:v>
      </x:c>
      <x:c r="I416" s="52" t="n">
        <x:v>0.8387096774193548</x:v>
      </x:c>
      <x:c r="J416" s="52" t="n">
        <x:v>0.493894018003924</x:v>
      </x:c>
      <x:c r="K416" s="60" t="n">
        <x:v>5722.83</x:v>
      </x:c>
      <x:c r="L416" s="60" t="n">
        <x:v>439.16</x:v>
      </x:c>
      <x:c r="M416" s="50" t="n">
        <x:v>208</x:v>
      </x:c>
      <x:c r="N416" s="50" t="n">
        <x:v>40</x:v>
      </x:c>
      <x:c r="O416" s="50" t="n">
        <x:v>153</x:v>
      </x:c>
      <x:c r="P416" s="50" t="n">
        <x:v>21</x:v>
      </x:c>
    </x:row>
    <x:row r="417" ht="36" customHeight="1">
      <x:c r="A417" s="53" t="n">
        <x:v>398</x:v>
      </x:c>
      <x:c r="B417" s="53" t="n">
        <x:v>3</x:v>
      </x:c>
      <x:c r="C417" s="40" t="str">
        <x:v>Low-Value Low-Engagement Shoppers</x:v>
      </x:c>
      <x:c r="D417" s="60" t="n">
        <x:v>2092.6</x:v>
      </x:c>
      <x:c r="E417" s="50" t="n">
        <x:v>125</x:v>
      </x:c>
      <x:c r="F417" s="46" t="n">
        <x:v>5.952380952380952</x:v>
      </x:c>
      <x:c r="G417" s="46" t="n">
        <x:v>10</x:v>
      </x:c>
      <x:c r="H417" s="61" t="n">
        <x:v>16.7408</x:v>
      </x:c>
      <x:c r="I417" s="52" t="n">
        <x:v>0.696</x:v>
      </x:c>
      <x:c r="J417" s="52" t="n">
        <x:v>0.5894485329255471</x:v>
      </x:c>
      <x:c r="K417" s="60" t="n">
        <x:v>1851.24</x:v>
      </x:c>
      <x:c r="L417" s="60" t="n">
        <x:v>241.36</x:v>
      </x:c>
      <x:c r="M417" s="50" t="n">
        <x:v>87</x:v>
      </x:c>
      <x:c r="N417" s="50" t="n">
        <x:v>38</x:v>
      </x:c>
      <x:c r="O417" s="50" t="n">
        <x:v>119</x:v>
      </x:c>
      <x:c r="P417" s="50" t="n">
        <x:v>21</x:v>
      </x:c>
    </x:row>
    <x:row r="418" ht="36" customHeight="1">
      <x:c r="A418" s="53" t="n">
        <x:v>399</x:v>
      </x:c>
      <x:c r="B418" s="53" t="n">
        <x:v>2</x:v>
      </x:c>
      <x:c r="C418" s="40" t="str">
        <x:v>Large-Basket Occasional Shoppers</x:v>
      </x:c>
      <x:c r="D418" s="60" t="n">
        <x:v>978.48</x:v>
      </x:c>
      <x:c r="E418" s="50" t="n">
        <x:v>17</x:v>
      </x:c>
      <x:c r="F418" s="46" t="n">
        <x:v>1.3076923076923077</x:v>
      </x:c>
      <x:c r="G418" s="46" t="n">
        <x:v>48</x:v>
      </x:c>
      <x:c r="H418" s="61" t="n">
        <x:v>57.55764705882353</x:v>
      </x:c>
      <x:c r="I418" s="52" t="n">
        <x:v>0.8823529411764705</x:v>
      </x:c>
      <x:c r="J418" s="52" t="n">
        <x:v>0.4327528411413621</x:v>
      </x:c>
      <x:c r="K418" s="60" t="n">
        <x:v>970.49</x:v>
      </x:c>
      <x:c r="L418" s="60" t="n">
        <x:v>7.99</x:v>
      </x:c>
      <x:c r="M418" s="50" t="n">
        <x:v>15</x:v>
      </x:c>
      <x:c r="N418" s="50" t="n">
        <x:v>2</x:v>
      </x:c>
      <x:c r="O418" s="50" t="n">
        <x:v>98</x:v>
      </x:c>
      <x:c r="P418" s="50" t="n">
        <x:v>13</x:v>
      </x:c>
    </x:row>
    <x:row r="419" ht="36" customHeight="1">
      <x:c r="A419" s="53" t="n">
        <x:v>400</x:v>
      </x:c>
      <x:c r="B419" s="53" t="n">
        <x:v>1</x:v>
      </x:c>
      <x:c r="C419" s="40" t="str">
        <x:v>High-Value Frequent Shoppers</x:v>
      </x:c>
      <x:c r="D419" s="60" t="n">
        <x:v>18494.14</x:v>
      </x:c>
      <x:c r="E419" s="50" t="n">
        <x:v>310</x:v>
      </x:c>
      <x:c r="F419" s="46" t="n">
        <x:v>14.76190476190476</x:v>
      </x:c>
      <x:c r="G419" s="46" t="n">
        <x:v>0</x:v>
      </x:c>
      <x:c r="H419" s="61" t="n">
        <x:v>59.65851612903226</x:v>
      </x:c>
      <x:c r="I419" s="52" t="n">
        <x:v>0.929032258064516</x:v>
      </x:c>
      <x:c r="J419" s="52" t="n">
        <x:v>0.4556827189585457</x:v>
      </x:c>
      <x:c r="K419" s="60" t="n">
        <x:v>18237.03</x:v>
      </x:c>
      <x:c r="L419" s="60" t="n">
        <x:v>257.11</x:v>
      </x:c>
      <x:c r="M419" s="50" t="n">
        <x:v>288</x:v>
      </x:c>
      <x:c r="N419" s="50" t="n">
        <x:v>22</x:v>
      </x:c>
      <x:c r="O419" s="50" t="n">
        <x:v>211</x:v>
      </x:c>
      <x:c r="P419" s="50" t="n">
        <x:v>21</x:v>
      </x:c>
    </x:row>
    <x:row r="420" ht="36" customHeight="1">
      <x:c r="A420" s="53" t="n">
        <x:v>401</x:v>
      </x:c>
      <x:c r="B420" s="53" t="n">
        <x:v>1</x:v>
      </x:c>
      <x:c r="C420" s="40" t="str">
        <x:v>High-Value Frequent Shoppers</x:v>
      </x:c>
      <x:c r="D420" s="60" t="n">
        <x:v>2538.88</x:v>
      </x:c>
      <x:c r="E420" s="50" t="n">
        <x:v>96</x:v>
      </x:c>
      <x:c r="F420" s="46" t="n">
        <x:v>4.173913043478261</x:v>
      </x:c>
      <x:c r="G420" s="46" t="n">
        <x:v>5</x:v>
      </x:c>
      <x:c r="H420" s="61" t="n">
        <x:v>26.446666666666665</x:v>
      </x:c>
      <x:c r="I420" s="52" t="n">
        <x:v>0.8854166666666666</x:v>
      </x:c>
      <x:c r="J420" s="52" t="n">
        <x:v>0.4897395702041845</x:v>
      </x:c>
      <x:c r="K420" s="60" t="n">
        <x:v>2424.92</x:v>
      </x:c>
      <x:c r="L420" s="60" t="n">
        <x:v>113.96</x:v>
      </x:c>
      <x:c r="M420" s="50" t="n">
        <x:v>85</x:v>
      </x:c>
      <x:c r="N420" s="50" t="n">
        <x:v>11</x:v>
      </x:c>
      <x:c r="O420" s="50" t="n">
        <x:v>149</x:v>
      </x:c>
      <x:c r="P420" s="50" t="n">
        <x:v>23</x:v>
      </x:c>
    </x:row>
    <x:row r="421" ht="36" customHeight="1">
      <x:c r="A421" s="53" t="n">
        <x:v>402</x:v>
      </x:c>
      <x:c r="B421" s="53" t="n">
        <x:v>2</x:v>
      </x:c>
      <x:c r="C421" s="40" t="str">
        <x:v>Large-Basket Occasional Shoppers</x:v>
      </x:c>
      <x:c r="D421" s="60" t="n">
        <x:v>2233.84</x:v>
      </x:c>
      <x:c r="E421" s="50" t="n">
        <x:v>80</x:v>
      </x:c>
      <x:c r="F421" s="46" t="n">
        <x:v>3.6363636363636367</x:v>
      </x:c>
      <x:c r="G421" s="46" t="n">
        <x:v>6</x:v>
      </x:c>
      <x:c r="H421" s="61" t="n">
        <x:v>27.923</x:v>
      </x:c>
      <x:c r="I421" s="52" t="n">
        <x:v>0.775</x:v>
      </x:c>
      <x:c r="J421" s="52" t="n">
        <x:v>0.4723391111270278</x:v>
      </x:c>
      <x:c r="K421" s="60" t="n">
        <x:v>2050.05</x:v>
      </x:c>
      <x:c r="L421" s="60" t="n">
        <x:v>183.79</x:v>
      </x:c>
      <x:c r="M421" s="50" t="n">
        <x:v>62</x:v>
      </x:c>
      <x:c r="N421" s="50" t="n">
        <x:v>18</x:v>
      </x:c>
      <x:c r="O421" s="50" t="n">
        <x:v>103</x:v>
      </x:c>
      <x:c r="P421" s="50" t="n">
        <x:v>22</x:v>
      </x:c>
    </x:row>
    <x:row r="422" ht="36" customHeight="1">
      <x:c r="A422" s="53" t="n">
        <x:v>403</x:v>
      </x:c>
      <x:c r="B422" s="53" t="n">
        <x:v>3</x:v>
      </x:c>
      <x:c r="C422" s="40" t="str">
        <x:v>Low-Value Low-Engagement Shoppers</x:v>
      </x:c>
      <x:c r="D422" s="60" t="n">
        <x:v>914.56</x:v>
      </x:c>
      <x:c r="E422" s="50" t="n">
        <x:v>46</x:v>
      </x:c>
      <x:c r="F422" s="46" t="n">
        <x:v>2.555555555555556</x:v>
      </x:c>
      <x:c r="G422" s="46" t="n">
        <x:v>69</x:v>
      </x:c>
      <x:c r="H422" s="61" t="n">
        <x:v>19.881739130434784</x:v>
      </x:c>
      <x:c r="I422" s="52" t="n">
        <x:v>0.8260869565217391</x:v>
      </x:c>
      <x:c r="J422" s="52" t="n">
        <x:v>0.5576014695591321</x:v>
      </x:c>
      <x:c r="K422" s="60" t="n">
        <x:v>814.67</x:v>
      </x:c>
      <x:c r="L422" s="60" t="n">
        <x:v>99.89</x:v>
      </x:c>
      <x:c r="M422" s="50" t="n">
        <x:v>38</x:v>
      </x:c>
      <x:c r="N422" s="50" t="n">
        <x:v>8</x:v>
      </x:c>
      <x:c r="O422" s="50" t="n">
        <x:v>73</x:v>
      </x:c>
      <x:c r="P422" s="50" t="n">
        <x:v>18</x:v>
      </x:c>
    </x:row>
    <x:row r="423" ht="36" customHeight="1">
      <x:c r="A423" s="53" t="n">
        <x:v>404</x:v>
      </x:c>
      <x:c r="B423" s="53" t="n">
        <x:v>1</x:v>
      </x:c>
      <x:c r="C423" s="40" t="str">
        <x:v>High-Value Frequent Shoppers</x:v>
      </x:c>
      <x:c r="D423" s="60" t="n">
        <x:v>6107.18</x:v>
      </x:c>
      <x:c r="E423" s="50" t="n">
        <x:v>240</x:v>
      </x:c>
      <x:c r="F423" s="46" t="n">
        <x:v>10</x:v>
      </x:c>
      <x:c r="G423" s="46" t="n">
        <x:v>2</x:v>
      </x:c>
      <x:c r="H423" s="61" t="n">
        <x:v>25.446583333333333</x:v>
      </x:c>
      <x:c r="I423" s="52" t="n">
        <x:v>0.825</x:v>
      </x:c>
      <x:c r="J423" s="52" t="n">
        <x:v>0.3681420884925612</x:v>
      </x:c>
      <x:c r="K423" s="60" t="n">
        <x:v>5607.43</x:v>
      </x:c>
      <x:c r="L423" s="60" t="n">
        <x:v>499.75</x:v>
      </x:c>
      <x:c r="M423" s="50" t="n">
        <x:v>198</x:v>
      </x:c>
      <x:c r="N423" s="50" t="n">
        <x:v>42</x:v>
      </x:c>
      <x:c r="O423" s="50" t="n">
        <x:v>154</x:v>
      </x:c>
      <x:c r="P423" s="50" t="n">
        <x:v>24</x:v>
      </x:c>
    </x:row>
    <x:row r="424" ht="36" customHeight="1">
      <x:c r="A424" s="53" t="n">
        <x:v>405</x:v>
      </x:c>
      <x:c r="B424" s="53" t="n">
        <x:v>2</x:v>
      </x:c>
      <x:c r="C424" s="40" t="str">
        <x:v>Large-Basket Occasional Shoppers</x:v>
      </x:c>
      <x:c r="D424" s="60" t="n">
        <x:v>3652.97</x:v>
      </x:c>
      <x:c r="E424" s="50" t="n">
        <x:v>98</x:v>
      </x:c>
      <x:c r="F424" s="46" t="n">
        <x:v>4.260869565217392</x:v>
      </x:c>
      <x:c r="G424" s="46" t="n">
        <x:v>5</x:v>
      </x:c>
      <x:c r="H424" s="61" t="n">
        <x:v>37.27520408163265</x:v>
      </x:c>
      <x:c r="I424" s="52" t="n">
        <x:v>0.9285714285714284</x:v>
      </x:c>
      <x:c r="J424" s="52" t="n">
        <x:v>0.6832522577519115</x:v>
      </x:c>
      <x:c r="K424" s="60" t="n">
        <x:v>3533.1</x:v>
      </x:c>
      <x:c r="L424" s="60" t="n">
        <x:v>119.87</x:v>
      </x:c>
      <x:c r="M424" s="50" t="n">
        <x:v>91</x:v>
      </x:c>
      <x:c r="N424" s="50" t="n">
        <x:v>7</x:v>
      </x:c>
      <x:c r="O424" s="50" t="n">
        <x:v>120</x:v>
      </x:c>
      <x:c r="P424" s="50" t="n">
        <x:v>23</x:v>
      </x:c>
    </x:row>
    <x:row r="425" ht="36" customHeight="1">
      <x:c r="A425" s="53" t="n">
        <x:v>406</x:v>
      </x:c>
      <x:c r="B425" s="53" t="n">
        <x:v>1</x:v>
      </x:c>
      <x:c r="C425" s="40" t="str">
        <x:v>High-Value Frequent Shoppers</x:v>
      </x:c>
      <x:c r="D425" s="60" t="n">
        <x:v>1776.65</x:v>
      </x:c>
      <x:c r="E425" s="50" t="n">
        <x:v>45</x:v>
      </x:c>
      <x:c r="F425" s="46" t="n">
        <x:v>3.461538461538461</x:v>
      </x:c>
      <x:c r="G425" s="46" t="n">
        <x:v>0</x:v>
      </x:c>
      <x:c r="H425" s="61" t="n">
        <x:v>39.48111111111111</x:v>
      </x:c>
      <x:c r="I425" s="52" t="n">
        <x:v>0.7555555555555555</x:v>
      </x:c>
      <x:c r="J425" s="52" t="n">
        <x:v>0.26024821996454</x:v>
      </x:c>
      <x:c r="K425" s="60" t="n">
        <x:v>1629.4</x:v>
      </x:c>
      <x:c r="L425" s="60" t="n">
        <x:v>147.25</x:v>
      </x:c>
      <x:c r="M425" s="50" t="n">
        <x:v>34</x:v>
      </x:c>
      <x:c r="N425" s="50" t="n">
        <x:v>11</x:v>
      </x:c>
      <x:c r="O425" s="50" t="n">
        <x:v>113</x:v>
      </x:c>
      <x:c r="P425" s="50" t="n">
        <x:v>13</x:v>
      </x:c>
    </x:row>
    <x:row r="426" ht="36" customHeight="1">
      <x:c r="A426" s="53" t="n">
        <x:v>407</x:v>
      </x:c>
      <x:c r="B426" s="53" t="n">
        <x:v>3</x:v>
      </x:c>
      <x:c r="C426" s="40" t="str">
        <x:v>Low-Value Low-Engagement Shoppers</x:v>
      </x:c>
      <x:c r="D426" s="60" t="n">
        <x:v>696.38</x:v>
      </x:c>
      <x:c r="E426" s="50" t="n">
        <x:v>51</x:v>
      </x:c>
      <x:c r="F426" s="46" t="n">
        <x:v>5.666666666666666</x:v>
      </x:c>
      <x:c r="G426" s="46" t="n">
        <x:v>1</x:v>
      </x:c>
      <x:c r="H426" s="61" t="n">
        <x:v>13.654509803921568</x:v>
      </x:c>
      <x:c r="I426" s="52" t="n">
        <x:v>0.8823529411764705</x:v>
      </x:c>
      <x:c r="J426" s="52" t="n">
        <x:v>0.842155145179356</x:v>
      </x:c>
      <x:c r="K426" s="60" t="n">
        <x:v>655.52</x:v>
      </x:c>
      <x:c r="L426" s="60" t="n">
        <x:v>40.86</x:v>
      </x:c>
      <x:c r="M426" s="50" t="n">
        <x:v>45</x:v>
      </x:c>
      <x:c r="N426" s="50" t="n">
        <x:v>6</x:v>
      </x:c>
      <x:c r="O426" s="50" t="n">
        <x:v>50</x:v>
      </x:c>
      <x:c r="P426" s="50" t="n">
        <x:v>9</x:v>
      </x:c>
    </x:row>
    <x:row r="427" ht="36" customHeight="1">
      <x:c r="A427" s="53" t="n">
        <x:v>408</x:v>
      </x:c>
      <x:c r="B427" s="53" t="n">
        <x:v>2</x:v>
      </x:c>
      <x:c r="C427" s="40" t="str">
        <x:v>Large-Basket Occasional Shoppers</x:v>
      </x:c>
      <x:c r="D427" s="60" t="n">
        <x:v>2470.99</x:v>
      </x:c>
      <x:c r="E427" s="50" t="n">
        <x:v>56</x:v>
      </x:c>
      <x:c r="F427" s="46" t="n">
        <x:v>2.666666666666667</x:v>
      </x:c>
      <x:c r="G427" s="46" t="n">
        <x:v>13</x:v>
      </x:c>
      <x:c r="H427" s="61" t="n">
        <x:v>44.12482142857143</x:v>
      </x:c>
      <x:c r="I427" s="52" t="n">
        <x:v>0.8928571428571428</x:v>
      </x:c>
      <x:c r="J427" s="52" t="n">
        <x:v>0.366929854026119</x:v>
      </x:c>
      <x:c r="K427" s="60" t="n">
        <x:v>2299.29</x:v>
      </x:c>
      <x:c r="L427" s="60" t="n">
        <x:v>171.7</x:v>
      </x:c>
      <x:c r="M427" s="50" t="n">
        <x:v>50</x:v>
      </x:c>
      <x:c r="N427" s="50" t="n">
        <x:v>6</x:v>
      </x:c>
      <x:c r="O427" s="50" t="n">
        <x:v>124</x:v>
      </x:c>
      <x:c r="P427" s="50" t="n">
        <x:v>21</x:v>
      </x:c>
    </x:row>
    <x:row r="428" ht="36" customHeight="1">
      <x:c r="A428" s="53" t="n">
        <x:v>409</x:v>
      </x:c>
      <x:c r="B428" s="53" t="n">
        <x:v>1</x:v>
      </x:c>
      <x:c r="C428" s="40" t="str">
        <x:v>High-Value Frequent Shoppers</x:v>
      </x:c>
      <x:c r="D428" s="60" t="n">
        <x:v>4499.85</x:v>
      </x:c>
      <x:c r="E428" s="50" t="n">
        <x:v>134</x:v>
      </x:c>
      <x:c r="F428" s="46" t="n">
        <x:v>5.583333333333333</x:v>
      </x:c>
      <x:c r="G428" s="46" t="n">
        <x:v>2</x:v>
      </x:c>
      <x:c r="H428" s="61" t="n">
        <x:v>33.58097014925373</x:v>
      </x:c>
      <x:c r="I428" s="52" t="n">
        <x:v>0.9402985074626864</x:v>
      </x:c>
      <x:c r="J428" s="52" t="n">
        <x:v>0.7161772059068635</x:v>
      </x:c>
      <x:c r="K428" s="60" t="n">
        <x:v>4450.14</x:v>
      </x:c>
      <x:c r="L428" s="60" t="n">
        <x:v>49.71</x:v>
      </x:c>
      <x:c r="M428" s="50" t="n">
        <x:v>126</x:v>
      </x:c>
      <x:c r="N428" s="50" t="n">
        <x:v>8</x:v>
      </x:c>
      <x:c r="O428" s="50" t="n">
        <x:v>156</x:v>
      </x:c>
      <x:c r="P428" s="50" t="n">
        <x:v>24</x:v>
      </x:c>
    </x:row>
    <x:row r="429" ht="36" customHeight="1">
      <x:c r="A429" s="53" t="n">
        <x:v>410</x:v>
      </x:c>
      <x:c r="B429" s="53" t="n">
        <x:v>3</x:v>
      </x:c>
      <x:c r="C429" s="40" t="str">
        <x:v>Low-Value Low-Engagement Shoppers</x:v>
      </x:c>
      <x:c r="D429" s="60" t="n">
        <x:v>1148.42</x:v>
      </x:c>
      <x:c r="E429" s="50" t="n">
        <x:v>129</x:v>
      </x:c>
      <x:c r="F429" s="46" t="n">
        <x:v>6.789473684210527</x:v>
      </x:c>
      <x:c r="G429" s="46" t="n">
        <x:v>0</x:v>
      </x:c>
      <x:c r="H429" s="61" t="n">
        <x:v>8.90248062015504</x:v>
      </x:c>
      <x:c r="I429" s="52" t="n">
        <x:v>0.7829457364341085</x:v>
      </x:c>
      <x:c r="J429" s="52" t="n">
        <x:v>0.6472544887758833</x:v>
      </x:c>
      <x:c r="K429" s="60" t="n">
        <x:v>1044.02</x:v>
      </x:c>
      <x:c r="L429" s="60" t="n">
        <x:v>104.4</x:v>
      </x:c>
      <x:c r="M429" s="50" t="n">
        <x:v>101</x:v>
      </x:c>
      <x:c r="N429" s="50" t="n">
        <x:v>28</x:v>
      </x:c>
      <x:c r="O429" s="50" t="n">
        <x:v>93</x:v>
      </x:c>
      <x:c r="P429" s="50" t="n">
        <x:v>19</x:v>
      </x:c>
    </x:row>
    <x:row r="430" ht="36" customHeight="1">
      <x:c r="A430" s="53" t="n">
        <x:v>411</x:v>
      </x:c>
      <x:c r="B430" s="53" t="n">
        <x:v>1</x:v>
      </x:c>
      <x:c r="C430" s="40" t="str">
        <x:v>High-Value Frequent Shoppers</x:v>
      </x:c>
      <x:c r="D430" s="60" t="n">
        <x:v>6697.21</x:v>
      </x:c>
      <x:c r="E430" s="50" t="n">
        <x:v>158</x:v>
      </x:c>
      <x:c r="F430" s="46" t="n">
        <x:v>7.181818181818182</x:v>
      </x:c>
      <x:c r="G430" s="46" t="n">
        <x:v>6</x:v>
      </x:c>
      <x:c r="H430" s="61" t="n">
        <x:v>42.38740506329113</x:v>
      </x:c>
      <x:c r="I430" s="52" t="n">
        <x:v>0.8544303797468354</x:v>
      </x:c>
      <x:c r="J430" s="52" t="n">
        <x:v>0.4480059606910937</x:v>
      </x:c>
      <x:c r="K430" s="60" t="n">
        <x:v>6409.74</x:v>
      </x:c>
      <x:c r="L430" s="60" t="n">
        <x:v>287.47</x:v>
      </x:c>
      <x:c r="M430" s="50" t="n">
        <x:v>135</x:v>
      </x:c>
      <x:c r="N430" s="50" t="n">
        <x:v>23</x:v>
      </x:c>
      <x:c r="O430" s="50" t="n">
        <x:v>154</x:v>
      </x:c>
      <x:c r="P430" s="50" t="n">
        <x:v>22</x:v>
      </x:c>
    </x:row>
    <x:row r="431" ht="36" customHeight="1">
      <x:c r="A431" s="53" t="n">
        <x:v>412</x:v>
      </x:c>
      <x:c r="B431" s="53" t="n">
        <x:v>1</x:v>
      </x:c>
      <x:c r="C431" s="40" t="str">
        <x:v>High-Value Frequent Shoppers</x:v>
      </x:c>
      <x:c r="D431" s="60" t="n">
        <x:v>2426.3</x:v>
      </x:c>
      <x:c r="E431" s="50" t="n">
        <x:v>110</x:v>
      </x:c>
      <x:c r="F431" s="46" t="n">
        <x:v>5</x:v>
      </x:c>
      <x:c r="G431" s="46" t="n">
        <x:v>0</x:v>
      </x:c>
      <x:c r="H431" s="61" t="n">
        <x:v>22.05727272727273</x:v>
      </x:c>
      <x:c r="I431" s="52" t="n">
        <x:v>0.918181818181818</x:v>
      </x:c>
      <x:c r="J431" s="52" t="n">
        <x:v>0.586720520957837</x:v>
      </x:c>
      <x:c r="K431" s="60" t="n">
        <x:v>2381.82</x:v>
      </x:c>
      <x:c r="L431" s="60" t="n">
        <x:v>44.48</x:v>
      </x:c>
      <x:c r="M431" s="50" t="n">
        <x:v>101</x:v>
      </x:c>
      <x:c r="N431" s="50" t="n">
        <x:v>9</x:v>
      </x:c>
      <x:c r="O431" s="50" t="n">
        <x:v>135</x:v>
      </x:c>
      <x:c r="P431" s="50" t="n">
        <x:v>22</x:v>
      </x:c>
    </x:row>
    <x:row r="432" ht="36" customHeight="1">
      <x:c r="A432" s="53" t="n">
        <x:v>413</x:v>
      </x:c>
      <x:c r="B432" s="53" t="n">
        <x:v>1</x:v>
      </x:c>
      <x:c r="C432" s="40" t="str">
        <x:v>High-Value Frequent Shoppers</x:v>
      </x:c>
      <x:c r="D432" s="60" t="n">
        <x:v>5963.78</x:v>
      </x:c>
      <x:c r="E432" s="50" t="n">
        <x:v>284</x:v>
      </x:c>
      <x:c r="F432" s="46" t="n">
        <x:v>12.34782608695652</x:v>
      </x:c>
      <x:c r="G432" s="46" t="n">
        <x:v>9</x:v>
      </x:c>
      <x:c r="H432" s="61" t="n">
        <x:v>20.99922535211268</x:v>
      </x:c>
      <x:c r="I432" s="52" t="n">
        <x:v>0.7429577464788732</x:v>
      </x:c>
      <x:c r="J432" s="52" t="n">
        <x:v>0.4778546492325337</x:v>
      </x:c>
      <x:c r="K432" s="60" t="n">
        <x:v>5395.64</x:v>
      </x:c>
      <x:c r="L432" s="60" t="n">
        <x:v>568.14</x:v>
      </x:c>
      <x:c r="M432" s="50" t="n">
        <x:v>211</x:v>
      </x:c>
      <x:c r="N432" s="50" t="n">
        <x:v>73</x:v>
      </x:c>
      <x:c r="O432" s="50" t="n">
        <x:v>144</x:v>
      </x:c>
      <x:c r="P432" s="50" t="n">
        <x:v>23</x:v>
      </x:c>
    </x:row>
    <x:row r="433" ht="36" customHeight="1">
      <x:c r="A433" s="53" t="n">
        <x:v>414</x:v>
      </x:c>
      <x:c r="B433" s="53" t="n">
        <x:v>1</x:v>
      </x:c>
      <x:c r="C433" s="40" t="str">
        <x:v>High-Value Frequent Shoppers</x:v>
      </x:c>
      <x:c r="D433" s="60" t="n">
        <x:v>2488.65</x:v>
      </x:c>
      <x:c r="E433" s="50" t="n">
        <x:v>153</x:v>
      </x:c>
      <x:c r="F433" s="46" t="n">
        <x:v>6.375</x:v>
      </x:c>
      <x:c r="G433" s="46" t="n">
        <x:v>7</x:v>
      </x:c>
      <x:c r="H433" s="61" t="n">
        <x:v>16.265686274509804</x:v>
      </x:c>
      <x:c r="I433" s="52" t="n">
        <x:v>0.7647058823529411</x:v>
      </x:c>
      <x:c r="J433" s="52" t="n">
        <x:v>0.4728788700701183</x:v>
      </x:c>
      <x:c r="K433" s="60" t="n">
        <x:v>2264.3</x:v>
      </x:c>
      <x:c r="L433" s="60" t="n">
        <x:v>224.35</x:v>
      </x:c>
      <x:c r="M433" s="50" t="n">
        <x:v>117</x:v>
      </x:c>
      <x:c r="N433" s="50" t="n">
        <x:v>36</x:v>
      </x:c>
      <x:c r="O433" s="50" t="n">
        <x:v>139</x:v>
      </x:c>
      <x:c r="P433" s="50" t="n">
        <x:v>24</x:v>
      </x:c>
    </x:row>
    <x:row r="434" ht="36" customHeight="1">
      <x:c r="A434" s="53" t="n">
        <x:v>415</x:v>
      </x:c>
      <x:c r="B434" s="53" t="n">
        <x:v>2</x:v>
      </x:c>
      <x:c r="C434" s="40" t="str">
        <x:v>Large-Basket Occasional Shoppers</x:v>
      </x:c>
      <x:c r="D434" s="60" t="n">
        <x:v>514.63</x:v>
      </x:c>
      <x:c r="E434" s="50" t="n">
        <x:v>15</x:v>
      </x:c>
      <x:c r="F434" s="46" t="n">
        <x:v>1.6666666666666667</x:v>
      </x:c>
      <x:c r="G434" s="46" t="n">
        <x:v>17</x:v>
      </x:c>
      <x:c r="H434" s="61" t="n">
        <x:v>34.30866666666667</x:v>
      </x:c>
      <x:c r="I434" s="52" t="n">
        <x:v>0.8666666666666666</x:v>
      </x:c>
      <x:c r="J434" s="52" t="n">
        <x:v>0.304529467772963</x:v>
      </x:c>
      <x:c r="K434" s="60" t="n">
        <x:v>376.42</x:v>
      </x:c>
      <x:c r="L434" s="60" t="n">
        <x:v>138.21</x:v>
      </x:c>
      <x:c r="M434" s="50" t="n">
        <x:v>13</x:v>
      </x:c>
      <x:c r="N434" s="50" t="n">
        <x:v>2</x:v>
      </x:c>
      <x:c r="O434" s="50" t="n">
        <x:v>41</x:v>
      </x:c>
      <x:c r="P434" s="50" t="n">
        <x:v>9</x:v>
      </x:c>
    </x:row>
    <x:row r="435" ht="36" customHeight="1">
      <x:c r="A435" s="53" t="n">
        <x:v>416</x:v>
      </x:c>
      <x:c r="B435" s="53" t="n">
        <x:v>2</x:v>
      </x:c>
      <x:c r="C435" s="40" t="str">
        <x:v>Large-Basket Occasional Shoppers</x:v>
      </x:c>
      <x:c r="D435" s="60" t="n">
        <x:v>2177.04</x:v>
      </x:c>
      <x:c r="E435" s="50" t="n">
        <x:v>29</x:v>
      </x:c>
      <x:c r="F435" s="46" t="n">
        <x:v>2.230769230769231</x:v>
      </x:c>
      <x:c r="G435" s="46" t="n">
        <x:v>136</x:v>
      </x:c>
      <x:c r="H435" s="61" t="n">
        <x:v>75.07034482758621</x:v>
      </x:c>
      <x:c r="I435" s="52" t="n">
        <x:v>0.9310344827586206</x:v>
      </x:c>
      <x:c r="J435" s="52" t="n">
        <x:v>0.5090352037629075</x:v>
      </x:c>
      <x:c r="K435" s="60" t="n">
        <x:v>2158.65</x:v>
      </x:c>
      <x:c r="L435" s="60" t="n">
        <x:v>18.39</x:v>
      </x:c>
      <x:c r="M435" s="50" t="n">
        <x:v>27</x:v>
      </x:c>
      <x:c r="N435" s="50" t="n">
        <x:v>2</x:v>
      </x:c>
      <x:c r="O435" s="50" t="n">
        <x:v>138</x:v>
      </x:c>
      <x:c r="P435" s="50" t="n">
        <x:v>13</x:v>
      </x:c>
    </x:row>
    <x:row r="436" ht="36" customHeight="1">
      <x:c r="A436" s="53" t="n">
        <x:v>417</x:v>
      </x:c>
      <x:c r="B436" s="53" t="n">
        <x:v>1</x:v>
      </x:c>
      <x:c r="C436" s="40" t="str">
        <x:v>High-Value Frequent Shoppers</x:v>
      </x:c>
      <x:c r="D436" s="60" t="n">
        <x:v>3012.96</x:v>
      </x:c>
      <x:c r="E436" s="50" t="n">
        <x:v>83</x:v>
      </x:c>
      <x:c r="F436" s="46" t="n">
        <x:v>3.952380952380952</x:v>
      </x:c>
      <x:c r="G436" s="46" t="n">
        <x:v>8</x:v>
      </x:c>
      <x:c r="H436" s="61" t="n">
        <x:v>36.30072289156627</x:v>
      </x:c>
      <x:c r="I436" s="52" t="n">
        <x:v>0.9036144578313252</x:v>
      </x:c>
      <x:c r="J436" s="52" t="n">
        <x:v>0.4668166852530401</x:v>
      </x:c>
      <x:c r="K436" s="60" t="n">
        <x:v>2941.78</x:v>
      </x:c>
      <x:c r="L436" s="60" t="n">
        <x:v>71.18</x:v>
      </x:c>
      <x:c r="M436" s="50" t="n">
        <x:v>75</x:v>
      </x:c>
      <x:c r="N436" s="50" t="n">
        <x:v>8</x:v>
      </x:c>
      <x:c r="O436" s="50" t="n">
        <x:v>171</x:v>
      </x:c>
      <x:c r="P436" s="50" t="n">
        <x:v>21</x:v>
      </x:c>
    </x:row>
    <x:row r="437" ht="36" customHeight="1">
      <x:c r="A437" s="53" t="n">
        <x:v>418</x:v>
      </x:c>
      <x:c r="B437" s="53" t="n">
        <x:v>1</x:v>
      </x:c>
      <x:c r="C437" s="40" t="str">
        <x:v>High-Value Frequent Shoppers</x:v>
      </x:c>
      <x:c r="D437" s="60" t="n">
        <x:v>6960.96</x:v>
      </x:c>
      <x:c r="E437" s="50" t="n">
        <x:v>256</x:v>
      </x:c>
      <x:c r="F437" s="46" t="n">
        <x:v>11.636363636363637</x:v>
      </x:c>
      <x:c r="G437" s="46" t="n">
        <x:v>0</x:v>
      </x:c>
      <x:c r="H437" s="61" t="n">
        <x:v>27.19125</x:v>
      </x:c>
      <x:c r="I437" s="52" t="n">
        <x:v>0.73046875</x:v>
      </x:c>
      <x:c r="J437" s="52" t="n">
        <x:v>0.5096279823472624</x:v>
      </x:c>
      <x:c r="K437" s="60" t="n">
        <x:v>6469.55</x:v>
      </x:c>
      <x:c r="L437" s="60" t="n">
        <x:v>491.41</x:v>
      </x:c>
      <x:c r="M437" s="50" t="n">
        <x:v>187</x:v>
      </x:c>
      <x:c r="N437" s="50" t="n">
        <x:v>69</x:v>
      </x:c>
      <x:c r="O437" s="50" t="n">
        <x:v>178</x:v>
      </x:c>
      <x:c r="P437" s="50" t="n">
        <x:v>22</x:v>
      </x:c>
    </x:row>
    <x:row r="438" ht="36" customHeight="1">
      <x:c r="A438" s="53" t="n">
        <x:v>419</x:v>
      </x:c>
      <x:c r="B438" s="53" t="n">
        <x:v>2</x:v>
      </x:c>
      <x:c r="C438" s="40" t="str">
        <x:v>Large-Basket Occasional Shoppers</x:v>
      </x:c>
      <x:c r="D438" s="60" t="n">
        <x:v>1696.61</x:v>
      </x:c>
      <x:c r="E438" s="50" t="n">
        <x:v>46</x:v>
      </x:c>
      <x:c r="F438" s="46" t="n">
        <x:v>2.705882352941176</x:v>
      </x:c>
      <x:c r="G438" s="46" t="n">
        <x:v>70</x:v>
      </x:c>
      <x:c r="H438" s="61" t="n">
        <x:v>36.88282608695652</x:v>
      </x:c>
      <x:c r="I438" s="52" t="n">
        <x:v>0.8695652173913043</x:v>
      </x:c>
      <x:c r="J438" s="52" t="n">
        <x:v>0.6374358279156671</x:v>
      </x:c>
      <x:c r="K438" s="60" t="n">
        <x:v>1627.1</x:v>
      </x:c>
      <x:c r="L438" s="60" t="n">
        <x:v>69.51</x:v>
      </x:c>
      <x:c r="M438" s="50" t="n">
        <x:v>40</x:v>
      </x:c>
      <x:c r="N438" s="50" t="n">
        <x:v>6</x:v>
      </x:c>
      <x:c r="O438" s="50" t="n">
        <x:v>105</x:v>
      </x:c>
      <x:c r="P438" s="50" t="n">
        <x:v>17</x:v>
      </x:c>
    </x:row>
    <x:row r="439" ht="36" customHeight="1">
      <x:c r="A439" s="53" t="n">
        <x:v>420</x:v>
      </x:c>
      <x:c r="B439" s="53" t="n">
        <x:v>1</x:v>
      </x:c>
      <x:c r="C439" s="40" t="str">
        <x:v>High-Value Frequent Shoppers</x:v>
      </x:c>
      <x:c r="D439" s="60" t="n">
        <x:v>2130.58</x:v>
      </x:c>
      <x:c r="E439" s="50" t="n">
        <x:v>99</x:v>
      </x:c>
      <x:c r="F439" s="46" t="n">
        <x:v>4.7142857142857135</x:v>
      </x:c>
      <x:c r="G439" s="46" t="n">
        <x:v>0</x:v>
      </x:c>
      <x:c r="H439" s="61" t="n">
        <x:v>21.5210101010101</x:v>
      </x:c>
      <x:c r="I439" s="52" t="n">
        <x:v>0.7373737373737373</x:v>
      </x:c>
      <x:c r="J439" s="52" t="n">
        <x:v>0.4472866543382553</x:v>
      </x:c>
      <x:c r="K439" s="60" t="n">
        <x:v>1909.77</x:v>
      </x:c>
      <x:c r="L439" s="60" t="n">
        <x:v>220.81</x:v>
      </x:c>
      <x:c r="M439" s="50" t="n">
        <x:v>73</x:v>
      </x:c>
      <x:c r="N439" s="50" t="n">
        <x:v>26</x:v>
      </x:c>
      <x:c r="O439" s="50" t="n">
        <x:v>139</x:v>
      </x:c>
      <x:c r="P439" s="50" t="n">
        <x:v>21</x:v>
      </x:c>
    </x:row>
    <x:row r="440" ht="36" customHeight="1">
      <x:c r="A440" s="53" t="n">
        <x:v>421</x:v>
      </x:c>
      <x:c r="B440" s="53" t="n">
        <x:v>1</x:v>
      </x:c>
      <x:c r="C440" s="40" t="str">
        <x:v>High-Value Frequent Shoppers</x:v>
      </x:c>
      <x:c r="D440" s="60" t="n">
        <x:v>6013.04</x:v>
      </x:c>
      <x:c r="E440" s="50" t="n">
        <x:v>194</x:v>
      </x:c>
      <x:c r="F440" s="46" t="n">
        <x:v>8.818181818181818</x:v>
      </x:c>
      <x:c r="G440" s="46" t="n">
        <x:v>6</x:v>
      </x:c>
      <x:c r="H440" s="61" t="n">
        <x:v>30.995051546391757</x:v>
      </x:c>
      <x:c r="I440" s="52" t="n">
        <x:v>0.8917525773195876</x:v>
      </x:c>
      <x:c r="J440" s="52" t="n">
        <x:v>0.726319798305017</x:v>
      </x:c>
      <x:c r="K440" s="60" t="n">
        <x:v>5800.18</x:v>
      </x:c>
      <x:c r="L440" s="60" t="n">
        <x:v>212.86</x:v>
      </x:c>
      <x:c r="M440" s="50" t="n">
        <x:v>173</x:v>
      </x:c>
      <x:c r="N440" s="50" t="n">
        <x:v>21</x:v>
      </x:c>
      <x:c r="O440" s="50" t="n">
        <x:v>177</x:v>
      </x:c>
      <x:c r="P440" s="50" t="n">
        <x:v>22</x:v>
      </x:c>
    </x:row>
    <x:row r="441" ht="36" customHeight="1">
      <x:c r="A441" s="53" t="n">
        <x:v>422</x:v>
      </x:c>
      <x:c r="B441" s="53" t="n">
        <x:v>2</x:v>
      </x:c>
      <x:c r="C441" s="40" t="str">
        <x:v>Large-Basket Occasional Shoppers</x:v>
      </x:c>
      <x:c r="D441" s="60" t="n">
        <x:v>983.32</x:v>
      </x:c>
      <x:c r="E441" s="50" t="n">
        <x:v>20</x:v>
      </x:c>
      <x:c r="F441" s="46" t="n">
        <x:v>2</x:v>
      </x:c>
      <x:c r="G441" s="46" t="n">
        <x:v>0</x:v>
      </x:c>
      <x:c r="H441" s="61" t="n">
        <x:v>49.166</x:v>
      </x:c>
      <x:c r="I441" s="52" t="n">
        <x:v>1</x:v>
      </x:c>
      <x:c r="J441" s="52" t="n">
        <x:v>0.6586767278200382</x:v>
      </x:c>
      <x:c r="K441" s="60" t="n">
        <x:v>983.32</x:v>
      </x:c>
      <x:c r="L441" s="60" t="n">
        <x:v>0</x:v>
      </x:c>
      <x:c r="M441" s="50" t="n">
        <x:v>20</x:v>
      </x:c>
      <x:c r="N441" s="50" t="n">
        <x:v>0</x:v>
      </x:c>
      <x:c r="O441" s="50" t="n">
        <x:v>92</x:v>
      </x:c>
      <x:c r="P441" s="50" t="n">
        <x:v>10</x:v>
      </x:c>
    </x:row>
    <x:row r="442" ht="36" customHeight="1">
      <x:c r="A442" s="53" t="n">
        <x:v>423</x:v>
      </x:c>
      <x:c r="B442" s="53" t="n">
        <x:v>3</x:v>
      </x:c>
      <x:c r="C442" s="40" t="str">
        <x:v>Low-Value Low-Engagement Shoppers</x:v>
      </x:c>
      <x:c r="D442" s="60" t="n">
        <x:v>230.85</x:v>
      </x:c>
      <x:c r="E442" s="50" t="n">
        <x:v>14</x:v>
      </x:c>
      <x:c r="F442" s="46" t="n">
        <x:v>2.333333333333333</x:v>
      </x:c>
      <x:c r="G442" s="46" t="n">
        <x:v>122</x:v>
      </x:c>
      <x:c r="H442" s="61" t="n">
        <x:v>16.489285714285714</x:v>
      </x:c>
      <x:c r="I442" s="52" t="n">
        <x:v>0.9285714285714284</x:v>
      </x:c>
      <x:c r="J442" s="52" t="n">
        <x:v>0.6696556205328135</x:v>
      </x:c>
      <x:c r="K442" s="60" t="n">
        <x:v>228.78</x:v>
      </x:c>
      <x:c r="L442" s="60" t="n">
        <x:v>2.07</x:v>
      </x:c>
      <x:c r="M442" s="50" t="n">
        <x:v>13</x:v>
      </x:c>
      <x:c r="N442" s="50" t="n">
        <x:v>1</x:v>
      </x:c>
      <x:c r="O442" s="50" t="n">
        <x:v>46</x:v>
      </x:c>
      <x:c r="P442" s="50" t="n">
        <x:v>6</x:v>
      </x:c>
    </x:row>
    <x:row r="443" ht="36" customHeight="1">
      <x:c r="A443" s="53" t="n">
        <x:v>424</x:v>
      </x:c>
      <x:c r="B443" s="53" t="n">
        <x:v>2</x:v>
      </x:c>
      <x:c r="C443" s="40" t="str">
        <x:v>Large-Basket Occasional Shoppers</x:v>
      </x:c>
      <x:c r="D443" s="60" t="n">
        <x:v>2441.79</x:v>
      </x:c>
      <x:c r="E443" s="50" t="n">
        <x:v>24</x:v>
      </x:c>
      <x:c r="F443" s="46" t="n">
        <x:v>2.1818181818181817</x:v>
      </x:c>
      <x:c r="G443" s="46" t="n">
        <x:v>24</x:v>
      </x:c>
      <x:c r="H443" s="61" t="n">
        <x:v>101.74125</x:v>
      </x:c>
      <x:c r="I443" s="52" t="n">
        <x:v>0.9583333333333331</x:v>
      </x:c>
      <x:c r="J443" s="52" t="n">
        <x:v>0.4130535385925898</x:v>
      </x:c>
      <x:c r="K443" s="60" t="n">
        <x:v>2419.42</x:v>
      </x:c>
      <x:c r="L443" s="60" t="n">
        <x:v>22.37</x:v>
      </x:c>
      <x:c r="M443" s="50" t="n">
        <x:v>23</x:v>
      </x:c>
      <x:c r="N443" s="50" t="n">
        <x:v>1</x:v>
      </x:c>
      <x:c r="O443" s="50" t="n">
        <x:v>127</x:v>
      </x:c>
      <x:c r="P443" s="50" t="n">
        <x:v>11</x:v>
      </x:c>
    </x:row>
    <x:row r="444" ht="36" customHeight="1">
      <x:c r="A444" s="53" t="n">
        <x:v>425</x:v>
      </x:c>
      <x:c r="B444" s="53" t="n">
        <x:v>1</x:v>
      </x:c>
      <x:c r="C444" s="40" t="str">
        <x:v>High-Value Frequent Shoppers</x:v>
      </x:c>
      <x:c r="D444" s="60" t="n">
        <x:v>5543.91</x:v>
      </x:c>
      <x:c r="E444" s="50" t="n">
        <x:v>151</x:v>
      </x:c>
      <x:c r="F444" s="46" t="n">
        <x:v>6.291666666666666</x:v>
      </x:c>
      <x:c r="G444" s="46" t="n">
        <x:v>1</x:v>
      </x:c>
      <x:c r="H444" s="61" t="n">
        <x:v>36.714635761589406</x:v>
      </x:c>
      <x:c r="I444" s="52" t="n">
        <x:v>0.9006622516556291</x:v>
      </x:c>
      <x:c r="J444" s="52" t="n">
        <x:v>0.5788080975340508</x:v>
      </x:c>
      <x:c r="K444" s="60" t="n">
        <x:v>5403.14</x:v>
      </x:c>
      <x:c r="L444" s="60" t="n">
        <x:v>140.77</x:v>
      </x:c>
      <x:c r="M444" s="50" t="n">
        <x:v>136</x:v>
      </x:c>
      <x:c r="N444" s="50" t="n">
        <x:v>15</x:v>
      </x:c>
      <x:c r="O444" s="50" t="n">
        <x:v>128</x:v>
      </x:c>
      <x:c r="P444" s="50" t="n">
        <x:v>24</x:v>
      </x:c>
    </x:row>
    <x:row r="445" ht="36" customHeight="1">
      <x:c r="A445" s="53" t="n">
        <x:v>426</x:v>
      </x:c>
      <x:c r="B445" s="53" t="n">
        <x:v>1</x:v>
      </x:c>
      <x:c r="C445" s="40" t="str">
        <x:v>High-Value Frequent Shoppers</x:v>
      </x:c>
      <x:c r="D445" s="60" t="n">
        <x:v>7860.85</x:v>
      </x:c>
      <x:c r="E445" s="50" t="n">
        <x:v>227</x:v>
      </x:c>
      <x:c r="F445" s="46" t="n">
        <x:v>10.809523809523808</x:v>
      </x:c>
      <x:c r="G445" s="46" t="n">
        <x:v>1</x:v>
      </x:c>
      <x:c r="H445" s="61" t="n">
        <x:v>34.62929515418502</x:v>
      </x:c>
      <x:c r="I445" s="52" t="n">
        <x:v>0.9647577092511012</x:v>
      </x:c>
      <x:c r="J445" s="52" t="n">
        <x:v>0.6636050808754778</x:v>
      </x:c>
      <x:c r="K445" s="60" t="n">
        <x:v>7797.81</x:v>
      </x:c>
      <x:c r="L445" s="60" t="n">
        <x:v>63.04</x:v>
      </x:c>
      <x:c r="M445" s="50" t="n">
        <x:v>219</x:v>
      </x:c>
      <x:c r="N445" s="50" t="n">
        <x:v>8</x:v>
      </x:c>
      <x:c r="O445" s="50" t="n">
        <x:v>151</x:v>
      </x:c>
      <x:c r="P445" s="50" t="n">
        <x:v>21</x:v>
      </x:c>
    </x:row>
    <x:row r="446" ht="36" customHeight="1">
      <x:c r="A446" s="53" t="n">
        <x:v>427</x:v>
      </x:c>
      <x:c r="B446" s="53" t="n">
        <x:v>3</x:v>
      </x:c>
      <x:c r="C446" s="40" t="str">
        <x:v>Low-Value Low-Engagement Shoppers</x:v>
      </x:c>
      <x:c r="D446" s="60" t="n">
        <x:v>1073.01</x:v>
      </x:c>
      <x:c r="E446" s="50" t="n">
        <x:v>53</x:v>
      </x:c>
      <x:c r="F446" s="46" t="n">
        <x:v>4.076923076923077</x:v>
      </x:c>
      <x:c r="G446" s="46" t="n">
        <x:v>1</x:v>
      </x:c>
      <x:c r="H446" s="61" t="n">
        <x:v>20.245471698113207</x:v>
      </x:c>
      <x:c r="I446" s="52" t="n">
        <x:v>0.7547169811320754</x:v>
      </x:c>
      <x:c r="J446" s="52" t="n">
        <x:v>0.3227742518709052</x:v>
      </x:c>
      <x:c r="K446" s="60" t="n">
        <x:v>889.78</x:v>
      </x:c>
      <x:c r="L446" s="60" t="n">
        <x:v>183.23</x:v>
      </x:c>
      <x:c r="M446" s="50" t="n">
        <x:v>40</x:v>
      </x:c>
      <x:c r="N446" s="50" t="n">
        <x:v>13</x:v>
      </x:c>
      <x:c r="O446" s="50" t="n">
        <x:v>88</x:v>
      </x:c>
      <x:c r="P446" s="50" t="n">
        <x:v>13</x:v>
      </x:c>
    </x:row>
    <x:row r="447" ht="36" customHeight="1">
      <x:c r="A447" s="53" t="n">
        <x:v>428</x:v>
      </x:c>
      <x:c r="B447" s="53" t="n">
        <x:v>2</x:v>
      </x:c>
      <x:c r="C447" s="40" t="str">
        <x:v>Large-Basket Occasional Shoppers</x:v>
      </x:c>
      <x:c r="D447" s="60" t="n">
        <x:v>3361.43</x:v>
      </x:c>
      <x:c r="E447" s="50" t="n">
        <x:v>95</x:v>
      </x:c>
      <x:c r="F447" s="46" t="n">
        <x:v>4.75</x:v>
      </x:c>
      <x:c r="G447" s="46" t="n">
        <x:v>18</x:v>
      </x:c>
      <x:c r="H447" s="61" t="n">
        <x:v>35.38347368421053</x:v>
      </x:c>
      <x:c r="I447" s="52" t="n">
        <x:v>0.894736842105263</x:v>
      </x:c>
      <x:c r="J447" s="52" t="n">
        <x:v>0.5146916639644437</x:v>
      </x:c>
      <x:c r="K447" s="60" t="n">
        <x:v>3310.98</x:v>
      </x:c>
      <x:c r="L447" s="60" t="n">
        <x:v>50.45</x:v>
      </x:c>
      <x:c r="M447" s="50" t="n">
        <x:v>85</x:v>
      </x:c>
      <x:c r="N447" s="50" t="n">
        <x:v>10</x:v>
      </x:c>
      <x:c r="O447" s="50" t="n">
        <x:v>121</x:v>
      </x:c>
      <x:c r="P447" s="50" t="n">
        <x:v>20</x:v>
      </x:c>
    </x:row>
    <x:row r="448" ht="36" customHeight="1">
      <x:c r="A448" s="53" t="n">
        <x:v>429</x:v>
      </x:c>
      <x:c r="B448" s="53" t="n">
        <x:v>3</x:v>
      </x:c>
      <x:c r="C448" s="40" t="str">
        <x:v>Low-Value Low-Engagement Shoppers</x:v>
      </x:c>
      <x:c r="D448" s="60" t="n">
        <x:v>542.89</x:v>
      </x:c>
      <x:c r="E448" s="50" t="n">
        <x:v>43</x:v>
      </x:c>
      <x:c r="F448" s="46" t="n">
        <x:v>2.6875</x:v>
      </x:c>
      <x:c r="G448" s="46" t="n">
        <x:v>2</x:v>
      </x:c>
      <x:c r="H448" s="61" t="n">
        <x:v>12.625348837209302</x:v>
      </x:c>
      <x:c r="I448" s="52" t="n">
        <x:v>0.8372093023255813</x:v>
      </x:c>
      <x:c r="J448" s="52" t="n">
        <x:v>0.7070124702978503</x:v>
      </x:c>
      <x:c r="K448" s="60" t="n">
        <x:v>514.23</x:v>
      </x:c>
      <x:c r="L448" s="60" t="n">
        <x:v>28.66</x:v>
      </x:c>
      <x:c r="M448" s="50" t="n">
        <x:v>36</x:v>
      </x:c>
      <x:c r="N448" s="50" t="n">
        <x:v>7</x:v>
      </x:c>
      <x:c r="O448" s="50" t="n">
        <x:v>60</x:v>
      </x:c>
      <x:c r="P448" s="50" t="n">
        <x:v>16</x:v>
      </x:c>
    </x:row>
    <x:row r="449" ht="36" customHeight="1">
      <x:c r="A449" s="53" t="n">
        <x:v>430</x:v>
      </x:c>
      <x:c r="B449" s="53" t="n">
        <x:v>1</x:v>
      </x:c>
      <x:c r="C449" s="40" t="str">
        <x:v>High-Value Frequent Shoppers</x:v>
      </x:c>
      <x:c r="D449" s="60" t="n">
        <x:v>2377.09</x:v>
      </x:c>
      <x:c r="E449" s="50" t="n">
        <x:v>107</x:v>
      </x:c>
      <x:c r="F449" s="46" t="n">
        <x:v>5.631578947368421</x:v>
      </x:c>
      <x:c r="G449" s="46" t="n">
        <x:v>5</x:v>
      </x:c>
      <x:c r="H449" s="61" t="n">
        <x:v>22.215794392523364</x:v>
      </x:c>
      <x:c r="I449" s="52" t="n">
        <x:v>0.8504672897196262</x:v>
      </x:c>
      <x:c r="J449" s="52" t="n">
        <x:v>0.4483296804075571</x:v>
      </x:c>
      <x:c r="K449" s="60" t="n">
        <x:v>2310.19</x:v>
      </x:c>
      <x:c r="L449" s="60" t="n">
        <x:v>66.9</x:v>
      </x:c>
      <x:c r="M449" s="50" t="n">
        <x:v>91</x:v>
      </x:c>
      <x:c r="N449" s="50" t="n">
        <x:v>16</x:v>
      </x:c>
      <x:c r="O449" s="50" t="n">
        <x:v>139</x:v>
      </x:c>
      <x:c r="P449" s="50" t="n">
        <x:v>19</x:v>
      </x:c>
    </x:row>
    <x:row r="450" ht="36" customHeight="1">
      <x:c r="A450" s="53" t="n">
        <x:v>431</x:v>
      </x:c>
      <x:c r="B450" s="53" t="n">
        <x:v>3</x:v>
      </x:c>
      <x:c r="C450" s="40" t="str">
        <x:v>Low-Value Low-Engagement Shoppers</x:v>
      </x:c>
      <x:c r="D450" s="60" t="n">
        <x:v>531.67</x:v>
      </x:c>
      <x:c r="E450" s="50" t="n">
        <x:v>36</x:v>
      </x:c>
      <x:c r="F450" s="46" t="n">
        <x:v>2.117647058823529</x:v>
      </x:c>
      <x:c r="G450" s="46" t="n">
        <x:v>1</x:v>
      </x:c>
      <x:c r="H450" s="61" t="n">
        <x:v>14.768611111111111</x:v>
      </x:c>
      <x:c r="I450" s="52" t="n">
        <x:v>0.7777777777777777</x:v>
      </x:c>
      <x:c r="J450" s="52" t="n">
        <x:v>0.4624108939755863</x:v>
      </x:c>
      <x:c r="K450" s="60" t="n">
        <x:v>406.71</x:v>
      </x:c>
      <x:c r="L450" s="60" t="n">
        <x:v>124.96</x:v>
      </x:c>
      <x:c r="M450" s="50" t="n">
        <x:v>28</x:v>
      </x:c>
      <x:c r="N450" s="50" t="n">
        <x:v>8</x:v>
      </x:c>
      <x:c r="O450" s="50" t="n">
        <x:v>54</x:v>
      </x:c>
      <x:c r="P450" s="50" t="n">
        <x:v>17</x:v>
      </x:c>
    </x:row>
    <x:row r="451" ht="36" customHeight="1">
      <x:c r="A451" s="53" t="n">
        <x:v>432</x:v>
      </x:c>
      <x:c r="B451" s="53" t="n">
        <x:v>1</x:v>
      </x:c>
      <x:c r="C451" s="40" t="str">
        <x:v>High-Value Frequent Shoppers</x:v>
      </x:c>
      <x:c r="D451" s="60" t="n">
        <x:v>3486.55</x:v>
      </x:c>
      <x:c r="E451" s="50" t="n">
        <x:v>257</x:v>
      </x:c>
      <x:c r="F451" s="46" t="n">
        <x:v>11.17391304347826</x:v>
      </x:c>
      <x:c r="G451" s="46" t="n">
        <x:v>0</x:v>
      </x:c>
      <x:c r="H451" s="61" t="n">
        <x:v>13.56634241245136</x:v>
      </x:c>
      <x:c r="I451" s="52" t="n">
        <x:v>0.7898832684824902</x:v>
      </x:c>
      <x:c r="J451" s="52" t="n">
        <x:v>0.4236107326726993</x:v>
      </x:c>
      <x:c r="K451" s="60" t="n">
        <x:v>3001.89</x:v>
      </x:c>
      <x:c r="L451" s="60" t="n">
        <x:v>484.66</x:v>
      </x:c>
      <x:c r="M451" s="50" t="n">
        <x:v>203</x:v>
      </x:c>
      <x:c r="N451" s="50" t="n">
        <x:v>54</x:v>
      </x:c>
      <x:c r="O451" s="50" t="n">
        <x:v>148</x:v>
      </x:c>
      <x:c r="P451" s="50" t="n">
        <x:v>23</x:v>
      </x:c>
    </x:row>
    <x:row r="452" ht="36" customHeight="1">
      <x:c r="A452" s="53" t="n">
        <x:v>433</x:v>
      </x:c>
      <x:c r="B452" s="53" t="n">
        <x:v>3</x:v>
      </x:c>
      <x:c r="C452" s="40" t="str">
        <x:v>Low-Value Low-Engagement Shoppers</x:v>
      </x:c>
      <x:c r="D452" s="60" t="n">
        <x:v>949.82</x:v>
      </x:c>
      <x:c r="E452" s="50" t="n">
        <x:v>76</x:v>
      </x:c>
      <x:c r="F452" s="46" t="n">
        <x:v>3.3043478260869565</x:v>
      </x:c>
      <x:c r="G452" s="46" t="n">
        <x:v>15</x:v>
      </x:c>
      <x:c r="H452" s="61" t="n">
        <x:v>12.497631578947368</x:v>
      </x:c>
      <x:c r="I452" s="52" t="n">
        <x:v>0.7894736842105263</x:v>
      </x:c>
      <x:c r="J452" s="52" t="n">
        <x:v>0.3002463624686782</x:v>
      </x:c>
      <x:c r="K452" s="60" t="n">
        <x:v>817.63</x:v>
      </x:c>
      <x:c r="L452" s="60" t="n">
        <x:v>132.19</x:v>
      </x:c>
      <x:c r="M452" s="50" t="n">
        <x:v>60</x:v>
      </x:c>
      <x:c r="N452" s="50" t="n">
        <x:v>16</x:v>
      </x:c>
      <x:c r="O452" s="50" t="n">
        <x:v>82</x:v>
      </x:c>
      <x:c r="P452" s="50" t="n">
        <x:v>23</x:v>
      </x:c>
    </x:row>
    <x:row r="453" ht="36" customHeight="1">
      <x:c r="A453" s="53" t="n">
        <x:v>434</x:v>
      </x:c>
      <x:c r="B453" s="53" t="n">
        <x:v>1</x:v>
      </x:c>
      <x:c r="C453" s="40" t="str">
        <x:v>High-Value Frequent Shoppers</x:v>
      </x:c>
      <x:c r="D453" s="60" t="n">
        <x:v>3778.75</x:v>
      </x:c>
      <x:c r="E453" s="50" t="n">
        <x:v>117</x:v>
      </x:c>
      <x:c r="F453" s="46" t="n">
        <x:v>5.3181818181818175</x:v>
      </x:c>
      <x:c r="G453" s="46" t="n">
        <x:v>3</x:v>
      </x:c>
      <x:c r="H453" s="61" t="n">
        <x:v>32.297008547008545</x:v>
      </x:c>
      <x:c r="I453" s="52" t="n">
        <x:v>0.9658119658119658</x:v>
      </x:c>
      <x:c r="J453" s="52" t="n">
        <x:v>0.4798279854449222</x:v>
      </x:c>
      <x:c r="K453" s="60" t="n">
        <x:v>3746.26</x:v>
      </x:c>
      <x:c r="L453" s="60" t="n">
        <x:v>32.49</x:v>
      </x:c>
      <x:c r="M453" s="50" t="n">
        <x:v>113</x:v>
      </x:c>
      <x:c r="N453" s="50" t="n">
        <x:v>4</x:v>
      </x:c>
      <x:c r="O453" s="50" t="n">
        <x:v>142</x:v>
      </x:c>
      <x:c r="P453" s="50" t="n">
        <x:v>22</x:v>
      </x:c>
    </x:row>
    <x:row r="454" ht="36" customHeight="1">
      <x:c r="A454" s="53" t="n">
        <x:v>435</x:v>
      </x:c>
      <x:c r="B454" s="53" t="n">
        <x:v>2</x:v>
      </x:c>
      <x:c r="C454" s="40" t="str">
        <x:v>Large-Basket Occasional Shoppers</x:v>
      </x:c>
      <x:c r="D454" s="60" t="n">
        <x:v>1817.18</x:v>
      </x:c>
      <x:c r="E454" s="50" t="n">
        <x:v>93</x:v>
      </x:c>
      <x:c r="F454" s="46" t="n">
        <x:v>4.65</x:v>
      </x:c>
      <x:c r="G454" s="46" t="n">
        <x:v>0</x:v>
      </x:c>
      <x:c r="H454" s="61" t="n">
        <x:v>19.53956989247312</x:v>
      </x:c>
      <x:c r="I454" s="52" t="n">
        <x:v>0.8387096774193548</x:v>
      </x:c>
      <x:c r="J454" s="52" t="n">
        <x:v>0.8553142781672701</x:v>
      </x:c>
      <x:c r="K454" s="60" t="n">
        <x:v>1714.02</x:v>
      </x:c>
      <x:c r="L454" s="60" t="n">
        <x:v>103.16</x:v>
      </x:c>
      <x:c r="M454" s="50" t="n">
        <x:v>78</x:v>
      </x:c>
      <x:c r="N454" s="50" t="n">
        <x:v>15</x:v>
      </x:c>
      <x:c r="O454" s="50" t="n">
        <x:v>54</x:v>
      </x:c>
      <x:c r="P454" s="50" t="n">
        <x:v>20</x:v>
      </x:c>
    </x:row>
    <x:row r="455" ht="36" customHeight="1">
      <x:c r="A455" s="53" t="n">
        <x:v>436</x:v>
      </x:c>
      <x:c r="B455" s="53" t="n">
        <x:v>2</x:v>
      </x:c>
      <x:c r="C455" s="40" t="str">
        <x:v>Large-Basket Occasional Shoppers</x:v>
      </x:c>
      <x:c r="D455" s="60" t="n">
        <x:v>2318.74</x:v>
      </x:c>
      <x:c r="E455" s="50" t="n">
        <x:v>30</x:v>
      </x:c>
      <x:c r="F455" s="46" t="n">
        <x:v>1.7647058823529411</x:v>
      </x:c>
      <x:c r="G455" s="46" t="n">
        <x:v>14</x:v>
      </x:c>
      <x:c r="H455" s="61" t="n">
        <x:v>77.29133333333333</x:v>
      </x:c>
      <x:c r="I455" s="52" t="n">
        <x:v>0.9333333333333332</x:v>
      </x:c>
      <x:c r="J455" s="52" t="n">
        <x:v>0.3719692591666163</x:v>
      </x:c>
      <x:c r="K455" s="60" t="n">
        <x:v>2288.59</x:v>
      </x:c>
      <x:c r="L455" s="60" t="n">
        <x:v>30.15</x:v>
      </x:c>
      <x:c r="M455" s="50" t="n">
        <x:v>28</x:v>
      </x:c>
      <x:c r="N455" s="50" t="n">
        <x:v>2</x:v>
      </x:c>
      <x:c r="O455" s="50" t="n">
        <x:v>128</x:v>
      </x:c>
      <x:c r="P455" s="50" t="n">
        <x:v>17</x:v>
      </x:c>
    </x:row>
    <x:row r="456" ht="36" customHeight="1">
      <x:c r="A456" s="53" t="n">
        <x:v>437</x:v>
      </x:c>
      <x:c r="B456" s="53" t="n">
        <x:v>1</x:v>
      </x:c>
      <x:c r="C456" s="40" t="str">
        <x:v>High-Value Frequent Shoppers</x:v>
      </x:c>
      <x:c r="D456" s="60" t="n">
        <x:v>5915.73</x:v>
      </x:c>
      <x:c r="E456" s="50" t="n">
        <x:v>90</x:v>
      </x:c>
      <x:c r="F456" s="46" t="n">
        <x:v>3.9130434782608696</x:v>
      </x:c>
      <x:c r="G456" s="46" t="n">
        <x:v>3</x:v>
      </x:c>
      <x:c r="H456" s="61" t="n">
        <x:v>65.73033333333333</x:v>
      </x:c>
      <x:c r="I456" s="52" t="n">
        <x:v>0.9444444444444444</x:v>
      </x:c>
      <x:c r="J456" s="52" t="n">
        <x:v>0.5424199549337106</x:v>
      </x:c>
      <x:c r="K456" s="60" t="n">
        <x:v>5862.58</x:v>
      </x:c>
      <x:c r="L456" s="60" t="n">
        <x:v>53.15</x:v>
      </x:c>
      <x:c r="M456" s="50" t="n">
        <x:v>85</x:v>
      </x:c>
      <x:c r="N456" s="50" t="n">
        <x:v>5</x:v>
      </x:c>
      <x:c r="O456" s="50" t="n">
        <x:v>167</x:v>
      </x:c>
      <x:c r="P456" s="50" t="n">
        <x:v>23</x:v>
      </x:c>
    </x:row>
    <x:row r="457" ht="36" customHeight="1">
      <x:c r="A457" s="53" t="n">
        <x:v>438</x:v>
      </x:c>
      <x:c r="B457" s="53" t="n">
        <x:v>2</x:v>
      </x:c>
      <x:c r="C457" s="40" t="str">
        <x:v>Large-Basket Occasional Shoppers</x:v>
      </x:c>
      <x:c r="D457" s="60" t="n">
        <x:v>4456.52</x:v>
      </x:c>
      <x:c r="E457" s="50" t="n">
        <x:v>66</x:v>
      </x:c>
      <x:c r="F457" s="46" t="n">
        <x:v>3.6666666666666665</x:v>
      </x:c>
      <x:c r="G457" s="46" t="n">
        <x:v>7</x:v>
      </x:c>
      <x:c r="H457" s="61" t="n">
        <x:v>67.52303030303031</x:v>
      </x:c>
      <x:c r="I457" s="52" t="n">
        <x:v>0.909090909090909</x:v>
      </x:c>
      <x:c r="J457" s="52" t="n">
        <x:v>0.490196386418102</x:v>
      </x:c>
      <x:c r="K457" s="60" t="n">
        <x:v>4377.5</x:v>
      </x:c>
      <x:c r="L457" s="60" t="n">
        <x:v>79.02</x:v>
      </x:c>
      <x:c r="M457" s="50" t="n">
        <x:v>60</x:v>
      </x:c>
      <x:c r="N457" s="50" t="n">
        <x:v>6</x:v>
      </x:c>
      <x:c r="O457" s="50" t="n">
        <x:v>154</x:v>
      </x:c>
      <x:c r="P457" s="50" t="n">
        <x:v>18</x:v>
      </x:c>
    </x:row>
    <x:row r="458" ht="36" customHeight="1">
      <x:c r="A458" s="53" t="n">
        <x:v>439</x:v>
      </x:c>
      <x:c r="B458" s="53" t="n">
        <x:v>3</x:v>
      </x:c>
      <x:c r="C458" s="40" t="str">
        <x:v>Low-Value Low-Engagement Shoppers</x:v>
      </x:c>
      <x:c r="D458" s="60" t="n">
        <x:v>568.21</x:v>
      </x:c>
      <x:c r="E458" s="50" t="n">
        <x:v>38</x:v>
      </x:c>
      <x:c r="F458" s="46" t="n">
        <x:v>3.166666666666667</x:v>
      </x:c>
      <x:c r="G458" s="46" t="n">
        <x:v>0</x:v>
      </x:c>
      <x:c r="H458" s="61" t="n">
        <x:v>14.952894736842104</x:v>
      </x:c>
      <x:c r="I458" s="52" t="n">
        <x:v>0.6842105263157894</x:v>
      </x:c>
      <x:c r="J458" s="52" t="n">
        <x:v>0.2417240104890797</x:v>
      </x:c>
      <x:c r="K458" s="60" t="n">
        <x:v>432.32</x:v>
      </x:c>
      <x:c r="L458" s="60" t="n">
        <x:v>135.89</x:v>
      </x:c>
      <x:c r="M458" s="50" t="n">
        <x:v>26</x:v>
      </x:c>
      <x:c r="N458" s="50" t="n">
        <x:v>12</x:v>
      </x:c>
      <x:c r="O458" s="50" t="n">
        <x:v>55</x:v>
      </x:c>
      <x:c r="P458" s="50" t="n">
        <x:v>12</x:v>
      </x:c>
    </x:row>
    <x:row r="459" ht="36" customHeight="1">
      <x:c r="A459" s="53" t="n">
        <x:v>440</x:v>
      </x:c>
      <x:c r="B459" s="53" t="n">
        <x:v>3</x:v>
      </x:c>
      <x:c r="C459" s="40" t="str">
        <x:v>Low-Value Low-Engagement Shoppers</x:v>
      </x:c>
      <x:c r="D459" s="60" t="n">
        <x:v>83.88</x:v>
      </x:c>
      <x:c r="E459" s="50" t="n">
        <x:v>6</x:v>
      </x:c>
      <x:c r="F459" s="46" t="n">
        <x:v>2</x:v>
      </x:c>
      <x:c r="G459" s="46" t="n">
        <x:v>222</x:v>
      </x:c>
      <x:c r="H459" s="61" t="n">
        <x:v>13.98</x:v>
      </x:c>
      <x:c r="I459" s="52" t="n">
        <x:v>0.8333333333333333</x:v>
      </x:c>
      <x:c r="J459" s="52" t="n">
        <x:v>0.3231998092513113</x:v>
      </x:c>
      <x:c r="K459" s="60" t="n">
        <x:v>82.8</x:v>
      </x:c>
      <x:c r="L459" s="60" t="n">
        <x:v>1.08</x:v>
      </x:c>
      <x:c r="M459" s="50" t="n">
        <x:v>5</x:v>
      </x:c>
      <x:c r="N459" s="50" t="n">
        <x:v>1</x:v>
      </x:c>
      <x:c r="O459" s="50" t="n">
        <x:v>20</x:v>
      </x:c>
      <x:c r="P459" s="50" t="n">
        <x:v>3</x:v>
      </x:c>
    </x:row>
    <x:row r="460" ht="36" customHeight="1">
      <x:c r="A460" s="53" t="n">
        <x:v>441</x:v>
      </x:c>
      <x:c r="B460" s="53" t="n">
        <x:v>2</x:v>
      </x:c>
      <x:c r="C460" s="40" t="str">
        <x:v>Large-Basket Occasional Shoppers</x:v>
      </x:c>
      <x:c r="D460" s="60" t="n">
        <x:v>2369.9</x:v>
      </x:c>
      <x:c r="E460" s="50" t="n">
        <x:v>76</x:v>
      </x:c>
      <x:c r="F460" s="46" t="n">
        <x:v>3.619047619047619</x:v>
      </x:c>
      <x:c r="G460" s="46" t="n">
        <x:v>2</x:v>
      </x:c>
      <x:c r="H460" s="61" t="n">
        <x:v>31.182894736842105</x:v>
      </x:c>
      <x:c r="I460" s="52" t="n">
        <x:v>0.9078947368421052</x:v>
      </x:c>
      <x:c r="J460" s="52" t="n">
        <x:v>0.3520739271699227</x:v>
      </x:c>
      <x:c r="K460" s="60" t="n">
        <x:v>2301.38</x:v>
      </x:c>
      <x:c r="L460" s="60" t="n">
        <x:v>68.52</x:v>
      </x:c>
      <x:c r="M460" s="50" t="n">
        <x:v>69</x:v>
      </x:c>
      <x:c r="N460" s="50" t="n">
        <x:v>7</x:v>
      </x:c>
      <x:c r="O460" s="50" t="n">
        <x:v>89</x:v>
      </x:c>
      <x:c r="P460" s="50" t="n">
        <x:v>21</x:v>
      </x:c>
    </x:row>
    <x:row r="461" ht="36" customHeight="1">
      <x:c r="A461" s="53" t="n">
        <x:v>442</x:v>
      </x:c>
      <x:c r="B461" s="53" t="n">
        <x:v>1</x:v>
      </x:c>
      <x:c r="C461" s="40" t="str">
        <x:v>High-Value Frequent Shoppers</x:v>
      </x:c>
      <x:c r="D461" s="60" t="n">
        <x:v>3094.71</x:v>
      </x:c>
      <x:c r="E461" s="50" t="n">
        <x:v>214</x:v>
      </x:c>
      <x:c r="F461" s="46" t="n">
        <x:v>10.7</x:v>
      </x:c>
      <x:c r="G461" s="46" t="n">
        <x:v>0</x:v>
      </x:c>
      <x:c r="H461" s="61" t="n">
        <x:v>14.46126168224299</x:v>
      </x:c>
      <x:c r="I461" s="52" t="n">
        <x:v>0.8598130841121495</x:v>
      </x:c>
      <x:c r="J461" s="52" t="n">
        <x:v>0.7430356963980469</x:v>
      </x:c>
      <x:c r="K461" s="60" t="n">
        <x:v>2974.3</x:v>
      </x:c>
      <x:c r="L461" s="60" t="n">
        <x:v>120.41</x:v>
      </x:c>
      <x:c r="M461" s="50" t="n">
        <x:v>184</x:v>
      </x:c>
      <x:c r="N461" s="50" t="n">
        <x:v>30</x:v>
      </x:c>
      <x:c r="O461" s="50" t="n">
        <x:v>156</x:v>
      </x:c>
      <x:c r="P461" s="50" t="n">
        <x:v>20</x:v>
      </x:c>
    </x:row>
    <x:row r="462" ht="36" customHeight="1">
      <x:c r="A462" s="53" t="n">
        <x:v>443</x:v>
      </x:c>
      <x:c r="B462" s="53" t="n">
        <x:v>1</x:v>
      </x:c>
      <x:c r="C462" s="40" t="str">
        <x:v>High-Value Frequent Shoppers</x:v>
      </x:c>
      <x:c r="D462" s="60" t="n">
        <x:v>2644.21</x:v>
      </x:c>
      <x:c r="E462" s="50" t="n">
        <x:v>102</x:v>
      </x:c>
      <x:c r="F462" s="46" t="n">
        <x:v>5.368421052631579</x:v>
      </x:c>
      <x:c r="G462" s="46" t="n">
        <x:v>0</x:v>
      </x:c>
      <x:c r="H462" s="61" t="n">
        <x:v>25.92362745098039</x:v>
      </x:c>
      <x:c r="I462" s="52" t="n">
        <x:v>0.8725490196078431</x:v>
      </x:c>
      <x:c r="J462" s="52" t="n">
        <x:v>0.5329039675366177</x:v>
      </x:c>
      <x:c r="K462" s="60" t="n">
        <x:v>2552.92</x:v>
      </x:c>
      <x:c r="L462" s="60" t="n">
        <x:v>91.29</x:v>
      </x:c>
      <x:c r="M462" s="50" t="n">
        <x:v>89</x:v>
      </x:c>
      <x:c r="N462" s="50" t="n">
        <x:v>13</x:v>
      </x:c>
      <x:c r="O462" s="50" t="n">
        <x:v>114</x:v>
      </x:c>
      <x:c r="P462" s="50" t="n">
        <x:v>19</x:v>
      </x:c>
    </x:row>
    <x:row r="463" ht="36" customHeight="1">
      <x:c r="A463" s="53" t="n">
        <x:v>444</x:v>
      </x:c>
      <x:c r="B463" s="53" t="n">
        <x:v>2</x:v>
      </x:c>
      <x:c r="C463" s="40" t="str">
        <x:v>Large-Basket Occasional Shoppers</x:v>
      </x:c>
      <x:c r="D463" s="60" t="n">
        <x:v>1261.62</x:v>
      </x:c>
      <x:c r="E463" s="50" t="n">
        <x:v>44</x:v>
      </x:c>
      <x:c r="F463" s="46" t="n">
        <x:v>2.933333333333333</x:v>
      </x:c>
      <x:c r="G463" s="46" t="n">
        <x:v>140</x:v>
      </x:c>
      <x:c r="H463" s="61" t="n">
        <x:v>28.673181818181817</x:v>
      </x:c>
      <x:c r="I463" s="52" t="n">
        <x:v>0.8863636363636364</x:v>
      </x:c>
      <x:c r="J463" s="52" t="n">
        <x:v>0.3716967074079358</x:v>
      </x:c>
      <x:c r="K463" s="60" t="n">
        <x:v>1235.58</x:v>
      </x:c>
      <x:c r="L463" s="60" t="n">
        <x:v>26.04</x:v>
      </x:c>
      <x:c r="M463" s="50" t="n">
        <x:v>39</x:v>
      </x:c>
      <x:c r="N463" s="50" t="n">
        <x:v>5</x:v>
      </x:c>
      <x:c r="O463" s="50" t="n">
        <x:v>100</x:v>
      </x:c>
      <x:c r="P463" s="50" t="n">
        <x:v>15</x:v>
      </x:c>
    </x:row>
    <x:row r="464" ht="36" customHeight="1">
      <x:c r="A464" s="53" t="n">
        <x:v>445</x:v>
      </x:c>
      <x:c r="B464" s="53" t="n">
        <x:v>1</x:v>
      </x:c>
      <x:c r="C464" s="40" t="str">
        <x:v>High-Value Frequent Shoppers</x:v>
      </x:c>
      <x:c r="D464" s="60" t="n">
        <x:v>2696.5</x:v>
      </x:c>
      <x:c r="E464" s="50" t="n">
        <x:v>232</x:v>
      </x:c>
      <x:c r="F464" s="46" t="n">
        <x:v>12.210526315789473</x:v>
      </x:c>
      <x:c r="G464" s="46" t="n">
        <x:v>75</x:v>
      </x:c>
      <x:c r="H464" s="61" t="n">
        <x:v>11.622844827586206</x:v>
      </x:c>
      <x:c r="I464" s="52" t="n">
        <x:v>0.7155172413793103</x:v>
      </x:c>
      <x:c r="J464" s="52" t="n">
        <x:v>0.3645466345262377</x:v>
      </x:c>
      <x:c r="K464" s="60" t="n">
        <x:v>2156.1</x:v>
      </x:c>
      <x:c r="L464" s="60" t="n">
        <x:v>540.4</x:v>
      </x:c>
      <x:c r="M464" s="50" t="n">
        <x:v>166</x:v>
      </x:c>
      <x:c r="N464" s="50" t="n">
        <x:v>66</x:v>
      </x:c>
      <x:c r="O464" s="50" t="n">
        <x:v>136</x:v>
      </x:c>
      <x:c r="P464" s="50" t="n">
        <x:v>19</x:v>
      </x:c>
    </x:row>
    <x:row r="465" ht="36" customHeight="1">
      <x:c r="A465" s="53" t="n">
        <x:v>446</x:v>
      </x:c>
      <x:c r="B465" s="53" t="n">
        <x:v>3</x:v>
      </x:c>
      <x:c r="C465" s="40" t="str">
        <x:v>Low-Value Low-Engagement Shoppers</x:v>
      </x:c>
      <x:c r="D465" s="60" t="n">
        <x:v>212.05</x:v>
      </x:c>
      <x:c r="E465" s="50" t="n">
        <x:v>30</x:v>
      </x:c>
      <x:c r="F465" s="46" t="n">
        <x:v>1.7647058823529411</x:v>
      </x:c>
      <x:c r="G465" s="46" t="n">
        <x:v>9</x:v>
      </x:c>
      <x:c r="H465" s="61" t="n">
        <x:v>7.0683333333333325</x:v>
      </x:c>
      <x:c r="I465" s="52" t="n">
        <x:v>0.4</x:v>
      </x:c>
      <x:c r="J465" s="52" t="n">
        <x:v>0.2019335062485262</x:v>
      </x:c>
      <x:c r="K465" s="60" t="n">
        <x:v>91.17</x:v>
      </x:c>
      <x:c r="L465" s="60" t="n">
        <x:v>120.88</x:v>
      </x:c>
      <x:c r="M465" s="50" t="n">
        <x:v>12</x:v>
      </x:c>
      <x:c r="N465" s="50" t="n">
        <x:v>18</x:v>
      </x:c>
      <x:c r="O465" s="50" t="n">
        <x:v>41</x:v>
      </x:c>
      <x:c r="P465" s="50" t="n">
        <x:v>17</x:v>
      </x:c>
    </x:row>
    <x:row r="466" ht="36" customHeight="1">
      <x:c r="A466" s="53" t="n">
        <x:v>447</x:v>
      </x:c>
      <x:c r="B466" s="53" t="n">
        <x:v>1</x:v>
      </x:c>
      <x:c r="C466" s="40" t="str">
        <x:v>High-Value Frequent Shoppers</x:v>
      </x:c>
      <x:c r="D466" s="60" t="n">
        <x:v>1670.44</x:v>
      </x:c>
      <x:c r="E466" s="50" t="n">
        <x:v>136</x:v>
      </x:c>
      <x:c r="F466" s="46" t="n">
        <x:v>7.157894736842104</x:v>
      </x:c>
      <x:c r="G466" s="46" t="n">
        <x:v>2</x:v>
      </x:c>
      <x:c r="H466" s="61" t="n">
        <x:v>12.282647058823528</x:v>
      </x:c>
      <x:c r="I466" s="52" t="n">
        <x:v>0.7647058823529411</x:v>
      </x:c>
      <x:c r="J466" s="52" t="n">
        <x:v>0.4024867699528268</x:v>
      </x:c>
      <x:c r="K466" s="60" t="n">
        <x:v>1352.49</x:v>
      </x:c>
      <x:c r="L466" s="60" t="n">
        <x:v>317.95</x:v>
      </x:c>
      <x:c r="M466" s="50" t="n">
        <x:v>104</x:v>
      </x:c>
      <x:c r="N466" s="50" t="n">
        <x:v>32</x:v>
      </x:c>
      <x:c r="O466" s="50" t="n">
        <x:v>114</x:v>
      </x:c>
      <x:c r="P466" s="50" t="n">
        <x:v>19</x:v>
      </x:c>
    </x:row>
    <x:row r="467" ht="36" customHeight="1">
      <x:c r="A467" s="53" t="n">
        <x:v>448</x:v>
      </x:c>
      <x:c r="B467" s="53" t="n">
        <x:v>3</x:v>
      </x:c>
      <x:c r="C467" s="40" t="str">
        <x:v>Low-Value Low-Engagement Shoppers</x:v>
      </x:c>
      <x:c r="D467" s="60" t="n">
        <x:v>493.37</x:v>
      </x:c>
      <x:c r="E467" s="50" t="n">
        <x:v>45</x:v>
      </x:c>
      <x:c r="F467" s="46" t="n">
        <x:v>2.3684210526315788</x:v>
      </x:c>
      <x:c r="G467" s="46" t="n">
        <x:v>5</x:v>
      </x:c>
      <x:c r="H467" s="61" t="n">
        <x:v>10.963777777777777</x:v>
      </x:c>
      <x:c r="I467" s="52" t="n">
        <x:v>0.6666666666666666</x:v>
      </x:c>
      <x:c r="J467" s="52" t="n">
        <x:v>0.5459594219348561</x:v>
      </x:c>
      <x:c r="K467" s="60" t="n">
        <x:v>425.71</x:v>
      </x:c>
      <x:c r="L467" s="60" t="n">
        <x:v>67.66</x:v>
      </x:c>
      <x:c r="M467" s="50" t="n">
        <x:v>30</x:v>
      </x:c>
      <x:c r="N467" s="50" t="n">
        <x:v>15</x:v>
      </x:c>
      <x:c r="O467" s="50" t="n">
        <x:v>55</x:v>
      </x:c>
      <x:c r="P467" s="50" t="n">
        <x:v>19</x:v>
      </x:c>
    </x:row>
    <x:row r="468" ht="36" customHeight="1">
      <x:c r="A468" s="53" t="n">
        <x:v>449</x:v>
      </x:c>
      <x:c r="B468" s="53" t="n">
        <x:v>2</x:v>
      </x:c>
      <x:c r="C468" s="40" t="str">
        <x:v>Large-Basket Occasional Shoppers</x:v>
      </x:c>
      <x:c r="D468" s="60" t="n">
        <x:v>827.44</x:v>
      </x:c>
      <x:c r="E468" s="50" t="n">
        <x:v>34</x:v>
      </x:c>
      <x:c r="F468" s="46" t="n">
        <x:v>2.125</x:v>
      </x:c>
      <x:c r="G468" s="46" t="n">
        <x:v>6</x:v>
      </x:c>
      <x:c r="H468" s="61" t="n">
        <x:v>24.336470588235294</x:v>
      </x:c>
      <x:c r="I468" s="52" t="n">
        <x:v>0.9411764705882352</x:v>
      </x:c>
      <x:c r="J468" s="52" t="n">
        <x:v>0.6167456250604273</x:v>
      </x:c>
      <x:c r="K468" s="60" t="n">
        <x:v>816.22</x:v>
      </x:c>
      <x:c r="L468" s="60" t="n">
        <x:v>11.22</x:v>
      </x:c>
      <x:c r="M468" s="50" t="n">
        <x:v>32</x:v>
      </x:c>
      <x:c r="N468" s="50" t="n">
        <x:v>2</x:v>
      </x:c>
      <x:c r="O468" s="50" t="n">
        <x:v>78</x:v>
      </x:c>
      <x:c r="P468" s="50" t="n">
        <x:v>16</x:v>
      </x:c>
    </x:row>
    <x:row r="469" ht="36" customHeight="1">
      <x:c r="A469" s="53" t="n">
        <x:v>450</x:v>
      </x:c>
      <x:c r="B469" s="53" t="n">
        <x:v>2</x:v>
      </x:c>
      <x:c r="C469" s="40" t="str">
        <x:v>Large-Basket Occasional Shoppers</x:v>
      </x:c>
      <x:c r="D469" s="60" t="n">
        <x:v>1540.45</x:v>
      </x:c>
      <x:c r="E469" s="50" t="n">
        <x:v>65</x:v>
      </x:c>
      <x:c r="F469" s="46" t="n">
        <x:v>3.25</x:v>
      </x:c>
      <x:c r="G469" s="46" t="n">
        <x:v>16</x:v>
      </x:c>
      <x:c r="H469" s="61" t="n">
        <x:v>23.69923076923077</x:v>
      </x:c>
      <x:c r="I469" s="52" t="n">
        <x:v>0.9538461538461538</x:v>
      </x:c>
      <x:c r="J469" s="52" t="n">
        <x:v>0.4731344736927521</x:v>
      </x:c>
      <x:c r="K469" s="60" t="n">
        <x:v>1528.59</x:v>
      </x:c>
      <x:c r="L469" s="60" t="n">
        <x:v>11.86</x:v>
      </x:c>
      <x:c r="M469" s="50" t="n">
        <x:v>62</x:v>
      </x:c>
      <x:c r="N469" s="50" t="n">
        <x:v>3</x:v>
      </x:c>
      <x:c r="O469" s="50" t="n">
        <x:v>98</x:v>
      </x:c>
      <x:c r="P469" s="50" t="n">
        <x:v>20</x:v>
      </x:c>
    </x:row>
    <x:row r="470" ht="36" customHeight="1">
      <x:c r="A470" s="53" t="n">
        <x:v>451</x:v>
      </x:c>
      <x:c r="B470" s="53" t="n">
        <x:v>1</x:v>
      </x:c>
      <x:c r="C470" s="40" t="str">
        <x:v>High-Value Frequent Shoppers</x:v>
      </x:c>
      <x:c r="D470" s="60" t="n">
        <x:v>2376.28</x:v>
      </x:c>
      <x:c r="E470" s="50" t="n">
        <x:v>158</x:v>
      </x:c>
      <x:c r="F470" s="46" t="n">
        <x:v>6.583333333333333</x:v>
      </x:c>
      <x:c r="G470" s="46" t="n">
        <x:v>0</x:v>
      </x:c>
      <x:c r="H470" s="61" t="n">
        <x:v>15.039746835443038</x:v>
      </x:c>
      <x:c r="I470" s="52" t="n">
        <x:v>0.5632911392405063</x:v>
      </x:c>
      <x:c r="J470" s="52" t="n">
        <x:v>0.3166798525426296</x:v>
      </x:c>
      <x:c r="K470" s="60" t="n">
        <x:v>1784.89</x:v>
      </x:c>
      <x:c r="L470" s="60" t="n">
        <x:v>591.39</x:v>
      </x:c>
      <x:c r="M470" s="50" t="n">
        <x:v>89</x:v>
      </x:c>
      <x:c r="N470" s="50" t="n">
        <x:v>69</x:v>
      </x:c>
      <x:c r="O470" s="50" t="n">
        <x:v>128</x:v>
      </x:c>
      <x:c r="P470" s="50" t="n">
        <x:v>24</x:v>
      </x:c>
    </x:row>
    <x:row r="471" ht="36" customHeight="1">
      <x:c r="A471" s="53" t="n">
        <x:v>452</x:v>
      </x:c>
      <x:c r="B471" s="53" t="n">
        <x:v>2</x:v>
      </x:c>
      <x:c r="C471" s="40" t="str">
        <x:v>Large-Basket Occasional Shoppers</x:v>
      </x:c>
      <x:c r="D471" s="60" t="n">
        <x:v>786.99</x:v>
      </x:c>
      <x:c r="E471" s="50" t="n">
        <x:v>26</x:v>
      </x:c>
      <x:c r="F471" s="46" t="n">
        <x:v>2</x:v>
      </x:c>
      <x:c r="G471" s="46" t="n">
        <x:v>20</x:v>
      </x:c>
      <x:c r="H471" s="61" t="n">
        <x:v>30.268846153846155</x:v>
      </x:c>
      <x:c r="I471" s="52" t="n">
        <x:v>0.923076923076923</x:v>
      </x:c>
      <x:c r="J471" s="52" t="n">
        <x:v>0.6910125922819857</x:v>
      </x:c>
      <x:c r="K471" s="60" t="n">
        <x:v>765.23</x:v>
      </x:c>
      <x:c r="L471" s="60" t="n">
        <x:v>21.76</x:v>
      </x:c>
      <x:c r="M471" s="50" t="n">
        <x:v>24</x:v>
      </x:c>
      <x:c r="N471" s="50" t="n">
        <x:v>2</x:v>
      </x:c>
      <x:c r="O471" s="50" t="n">
        <x:v>88</x:v>
      </x:c>
      <x:c r="P471" s="50" t="n">
        <x:v>13</x:v>
      </x:c>
    </x:row>
    <x:row r="472" ht="36" customHeight="1">
      <x:c r="A472" s="53" t="n">
        <x:v>453</x:v>
      </x:c>
      <x:c r="B472" s="53" t="n">
        <x:v>3</x:v>
      </x:c>
      <x:c r="C472" s="40" t="str">
        <x:v>Low-Value Low-Engagement Shoppers</x:v>
      </x:c>
      <x:c r="D472" s="60" t="n">
        <x:v>742.95</x:v>
      </x:c>
      <x:c r="E472" s="50" t="n">
        <x:v>34</x:v>
      </x:c>
      <x:c r="F472" s="46" t="n">
        <x:v>2.2666666666666666</x:v>
      </x:c>
      <x:c r="G472" s="46" t="n">
        <x:v>2</x:v>
      </x:c>
      <x:c r="H472" s="61" t="n">
        <x:v>21.85147058823529</x:v>
      </x:c>
      <x:c r="I472" s="52" t="n">
        <x:v>0.6176470588235294</x:v>
      </x:c>
      <x:c r="J472" s="52" t="n">
        <x:v>0.2877313412746483</x:v>
      </x:c>
      <x:c r="K472" s="60" t="n">
        <x:v>580.67</x:v>
      </x:c>
      <x:c r="L472" s="60" t="n">
        <x:v>162.28</x:v>
      </x:c>
      <x:c r="M472" s="50" t="n">
        <x:v>21</x:v>
      </x:c>
      <x:c r="N472" s="50" t="n">
        <x:v>13</x:v>
      </x:c>
      <x:c r="O472" s="50" t="n">
        <x:v>85</x:v>
      </x:c>
      <x:c r="P472" s="50" t="n">
        <x:v>15</x:v>
      </x:c>
    </x:row>
    <x:row r="473" ht="36" customHeight="1">
      <x:c r="A473" s="53" t="n">
        <x:v>454</x:v>
      </x:c>
      <x:c r="B473" s="53" t="n">
        <x:v>1</x:v>
      </x:c>
      <x:c r="C473" s="40" t="str">
        <x:v>High-Value Frequent Shoppers</x:v>
      </x:c>
      <x:c r="D473" s="60" t="n">
        <x:v>8215.93</x:v>
      </x:c>
      <x:c r="E473" s="50" t="n">
        <x:v>356</x:v>
      </x:c>
      <x:c r="F473" s="46" t="n">
        <x:v>14.833333333333332</x:v>
      </x:c>
      <x:c r="G473" s="46" t="n">
        <x:v>1</x:v>
      </x:c>
      <x:c r="H473" s="61" t="n">
        <x:v>23.078455056179774</x:v>
      </x:c>
      <x:c r="I473" s="52" t="n">
        <x:v>0.9606741573033708</x:v>
      </x:c>
      <x:c r="J473" s="52" t="n">
        <x:v>0.6438918053099283</x:v>
      </x:c>
      <x:c r="K473" s="60" t="n">
        <x:v>8118.56</x:v>
      </x:c>
      <x:c r="L473" s="60" t="n">
        <x:v>97.37</x:v>
      </x:c>
      <x:c r="M473" s="50" t="n">
        <x:v>342</x:v>
      </x:c>
      <x:c r="N473" s="50" t="n">
        <x:v>14</x:v>
      </x:c>
      <x:c r="O473" s="50" t="n">
        <x:v>159</x:v>
      </x:c>
      <x:c r="P473" s="50" t="n">
        <x:v>24</x:v>
      </x:c>
    </x:row>
    <x:row r="474" ht="36" customHeight="1">
      <x:c r="A474" s="53" t="n">
        <x:v>455</x:v>
      </x:c>
      <x:c r="B474" s="53" t="n">
        <x:v>2</x:v>
      </x:c>
      <x:c r="C474" s="40" t="str">
        <x:v>Large-Basket Occasional Shoppers</x:v>
      </x:c>
      <x:c r="D474" s="60" t="n">
        <x:v>1253.4</x:v>
      </x:c>
      <x:c r="E474" s="50" t="n">
        <x:v>25</x:v>
      </x:c>
      <x:c r="F474" s="46" t="n">
        <x:v>1.9230769230769231</x:v>
      </x:c>
      <x:c r="G474" s="46" t="n">
        <x:v>4</x:v>
      </x:c>
      <x:c r="H474" s="61" t="n">
        <x:v>50.136</x:v>
      </x:c>
      <x:c r="I474" s="52" t="n">
        <x:v>0.84</x:v>
      </x:c>
      <x:c r="J474" s="52" t="n">
        <x:v>0.3742380724429551</x:v>
      </x:c>
      <x:c r="K474" s="60" t="n">
        <x:v>1179</x:v>
      </x:c>
      <x:c r="L474" s="60" t="n">
        <x:v>74.4</x:v>
      </x:c>
      <x:c r="M474" s="50" t="n">
        <x:v>21</x:v>
      </x:c>
      <x:c r="N474" s="50" t="n">
        <x:v>4</x:v>
      </x:c>
      <x:c r="O474" s="50" t="n">
        <x:v>89</x:v>
      </x:c>
      <x:c r="P474" s="50" t="n">
        <x:v>13</x:v>
      </x:c>
    </x:row>
    <x:row r="475" ht="36" customHeight="1">
      <x:c r="A475" s="53" t="n">
        <x:v>456</x:v>
      </x:c>
      <x:c r="B475" s="53" t="n">
        <x:v>1</x:v>
      </x:c>
      <x:c r="C475" s="40" t="str">
        <x:v>High-Value Frequent Shoppers</x:v>
      </x:c>
      <x:c r="D475" s="60" t="n">
        <x:v>6314.03</x:v>
      </x:c>
      <x:c r="E475" s="50" t="n">
        <x:v>94</x:v>
      </x:c>
      <x:c r="F475" s="46" t="n">
        <x:v>3.9166666666666665</x:v>
      </x:c>
      <x:c r="G475" s="46" t="n">
        <x:v>10</x:v>
      </x:c>
      <x:c r="H475" s="61" t="n">
        <x:v>67.17053191489362</x:v>
      </x:c>
      <x:c r="I475" s="52" t="n">
        <x:v>0.904255319148936</x:v>
      </x:c>
      <x:c r="J475" s="52" t="n">
        <x:v>0.4794972466079508</x:v>
      </x:c>
      <x:c r="K475" s="60" t="n">
        <x:v>6185.03</x:v>
      </x:c>
      <x:c r="L475" s="60" t="n">
        <x:v>129</x:v>
      </x:c>
      <x:c r="M475" s="50" t="n">
        <x:v>85</x:v>
      </x:c>
      <x:c r="N475" s="50" t="n">
        <x:v>9</x:v>
      </x:c>
      <x:c r="O475" s="50" t="n">
        <x:v>174</x:v>
      </x:c>
      <x:c r="P475" s="50" t="n">
        <x:v>24</x:v>
      </x:c>
    </x:row>
    <x:row r="476" ht="36" customHeight="1">
      <x:c r="A476" s="53" t="n">
        <x:v>457</x:v>
      </x:c>
      <x:c r="B476" s="53" t="n">
        <x:v>3</x:v>
      </x:c>
      <x:c r="C476" s="40" t="str">
        <x:v>Low-Value Low-Engagement Shoppers</x:v>
      </x:c>
      <x:c r="D476" s="60" t="n">
        <x:v>718</x:v>
      </x:c>
      <x:c r="E476" s="50" t="n">
        <x:v>77</x:v>
      </x:c>
      <x:c r="F476" s="46" t="n">
        <x:v>4.8125</x:v>
      </x:c>
      <x:c r="G476" s="46" t="n">
        <x:v>17</x:v>
      </x:c>
      <x:c r="H476" s="61" t="n">
        <x:v>9.324675324675324</x:v>
      </x:c>
      <x:c r="I476" s="52" t="n">
        <x:v>0.7662337662337662</x:v>
      </x:c>
      <x:c r="J476" s="52" t="n">
        <x:v>0.5237743732590529</x:v>
      </x:c>
      <x:c r="K476" s="60" t="n">
        <x:v>654.42</x:v>
      </x:c>
      <x:c r="L476" s="60" t="n">
        <x:v>63.58</x:v>
      </x:c>
      <x:c r="M476" s="50" t="n">
        <x:v>59</x:v>
      </x:c>
      <x:c r="N476" s="50" t="n">
        <x:v>18</x:v>
      </x:c>
      <x:c r="O476" s="50" t="n">
        <x:v>95</x:v>
      </x:c>
      <x:c r="P476" s="50" t="n">
        <x:v>16</x:v>
      </x:c>
    </x:row>
    <x:row r="477" ht="36" customHeight="1">
      <x:c r="A477" s="53" t="n">
        <x:v>458</x:v>
      </x:c>
      <x:c r="B477" s="53" t="n">
        <x:v>1</x:v>
      </x:c>
      <x:c r="C477" s="40" t="str">
        <x:v>High-Value Frequent Shoppers</x:v>
      </x:c>
      <x:c r="D477" s="60" t="n">
        <x:v>1685.64</x:v>
      </x:c>
      <x:c r="E477" s="50" t="n">
        <x:v>127</x:v>
      </x:c>
      <x:c r="F477" s="46" t="n">
        <x:v>6.047619047619048</x:v>
      </x:c>
      <x:c r="G477" s="46" t="n">
        <x:v>2</x:v>
      </x:c>
      <x:c r="H477" s="61" t="n">
        <x:v>13.272755905511811</x:v>
      </x:c>
      <x:c r="I477" s="52" t="n">
        <x:v>0.889763779527559</x:v>
      </x:c>
      <x:c r="J477" s="52" t="n">
        <x:v>0.7496381196459504</x:v>
      </x:c>
      <x:c r="K477" s="60" t="n">
        <x:v>1622.57</x:v>
      </x:c>
      <x:c r="L477" s="60" t="n">
        <x:v>63.07</x:v>
      </x:c>
      <x:c r="M477" s="50" t="n">
        <x:v>113</x:v>
      </x:c>
      <x:c r="N477" s="50" t="n">
        <x:v>14</x:v>
      </x:c>
      <x:c r="O477" s="50" t="n">
        <x:v>115</x:v>
      </x:c>
      <x:c r="P477" s="50" t="n">
        <x:v>21</x:v>
      </x:c>
    </x:row>
    <x:row r="478" ht="36" customHeight="1">
      <x:c r="A478" s="53" t="n">
        <x:v>459</x:v>
      </x:c>
      <x:c r="B478" s="53" t="n">
        <x:v>2</x:v>
      </x:c>
      <x:c r="C478" s="40" t="str">
        <x:v>Large-Basket Occasional Shoppers</x:v>
      </x:c>
      <x:c r="D478" s="60" t="n">
        <x:v>1194.94</x:v>
      </x:c>
      <x:c r="E478" s="50" t="n">
        <x:v>67</x:v>
      </x:c>
      <x:c r="F478" s="46" t="n">
        <x:v>3.0454545454545454</x:v>
      </x:c>
      <x:c r="G478" s="46" t="n">
        <x:v>7</x:v>
      </x:c>
      <x:c r="H478" s="61" t="n">
        <x:v>17.83492537313433</x:v>
      </x:c>
      <x:c r="I478" s="52" t="n">
        <x:v>0.8955223880597014</x:v>
      </x:c>
      <x:c r="J478" s="52" t="n">
        <x:v>0.2366478651647781</x:v>
      </x:c>
      <x:c r="K478" s="60" t="n">
        <x:v>1110.6</x:v>
      </x:c>
      <x:c r="L478" s="60" t="n">
        <x:v>84.34</x:v>
      </x:c>
      <x:c r="M478" s="50" t="n">
        <x:v>60</x:v>
      </x:c>
      <x:c r="N478" s="50" t="n">
        <x:v>7</x:v>
      </x:c>
      <x:c r="O478" s="50" t="n">
        <x:v>56</x:v>
      </x:c>
      <x:c r="P478" s="50" t="n">
        <x:v>22</x:v>
      </x:c>
    </x:row>
    <x:row r="479" ht="36" customHeight="1">
      <x:c r="A479" s="53" t="n">
        <x:v>460</x:v>
      </x:c>
      <x:c r="B479" s="53" t="n">
        <x:v>3</x:v>
      </x:c>
      <x:c r="C479" s="40" t="str">
        <x:v>Low-Value Low-Engagement Shoppers</x:v>
      </x:c>
      <x:c r="D479" s="60" t="n">
        <x:v>760.45</x:v>
      </x:c>
      <x:c r="E479" s="50" t="n">
        <x:v>113</x:v>
      </x:c>
      <x:c r="F479" s="46" t="n">
        <x:v>5.136363636363637</x:v>
      </x:c>
      <x:c r="G479" s="46" t="n">
        <x:v>4</x:v>
      </x:c>
      <x:c r="H479" s="61" t="n">
        <x:v>6.729646017699115</x:v>
      </x:c>
      <x:c r="I479" s="52" t="n">
        <x:v>0.7610619469026548</x:v>
      </x:c>
      <x:c r="J479" s="52" t="n">
        <x:v>0.5859293839174173</x:v>
      </x:c>
      <x:c r="K479" s="60" t="n">
        <x:v>647.92</x:v>
      </x:c>
      <x:c r="L479" s="60" t="n">
        <x:v>112.53</x:v>
      </x:c>
      <x:c r="M479" s="50" t="n">
        <x:v>86</x:v>
      </x:c>
      <x:c r="N479" s="50" t="n">
        <x:v>27</x:v>
      </x:c>
      <x:c r="O479" s="50" t="n">
        <x:v>86</x:v>
      </x:c>
      <x:c r="P479" s="50" t="n">
        <x:v>22</x:v>
      </x:c>
    </x:row>
    <x:row r="480" ht="36" customHeight="1">
      <x:c r="A480" s="53" t="n">
        <x:v>461</x:v>
      </x:c>
      <x:c r="B480" s="53" t="n">
        <x:v>2</x:v>
      </x:c>
      <x:c r="C480" s="40" t="str">
        <x:v>Large-Basket Occasional Shoppers</x:v>
      </x:c>
      <x:c r="D480" s="60" t="n">
        <x:v>664.8</x:v>
      </x:c>
      <x:c r="E480" s="50" t="n">
        <x:v>39</x:v>
      </x:c>
      <x:c r="F480" s="46" t="n">
        <x:v>2.294117647058824</x:v>
      </x:c>
      <x:c r="G480" s="46" t="n">
        <x:v>27</x:v>
      </x:c>
      <x:c r="H480" s="61" t="n">
        <x:v>17.046153846153846</x:v>
      </x:c>
      <x:c r="I480" s="52" t="n">
        <x:v>0.9743589743589745</x:v>
      </x:c>
      <x:c r="J480" s="52" t="n">
        <x:v>0.6846269554753309</x:v>
      </x:c>
      <x:c r="K480" s="60" t="n">
        <x:v>661.41</x:v>
      </x:c>
      <x:c r="L480" s="60" t="n">
        <x:v>3.39</x:v>
      </x:c>
      <x:c r="M480" s="50" t="n">
        <x:v>38</x:v>
      </x:c>
      <x:c r="N480" s="50" t="n">
        <x:v>1</x:v>
      </x:c>
      <x:c r="O480" s="50" t="n">
        <x:v>79</x:v>
      </x:c>
      <x:c r="P480" s="50" t="n">
        <x:v>17</x:v>
      </x:c>
    </x:row>
    <x:row r="481" ht="36" customHeight="1">
      <x:c r="A481" s="53" t="n">
        <x:v>462</x:v>
      </x:c>
      <x:c r="B481" s="53" t="n">
        <x:v>2</x:v>
      </x:c>
      <x:c r="C481" s="40" t="str">
        <x:v>Large-Basket Occasional Shoppers</x:v>
      </x:c>
      <x:c r="D481" s="60" t="n">
        <x:v>1510.63</x:v>
      </x:c>
      <x:c r="E481" s="50" t="n">
        <x:v>97</x:v>
      </x:c>
      <x:c r="F481" s="46" t="n">
        <x:v>4.217391304347825</x:v>
      </x:c>
      <x:c r="G481" s="46" t="n">
        <x:v>5</x:v>
      </x:c>
      <x:c r="H481" s="61" t="n">
        <x:v>15.573505154639175</x:v>
      </x:c>
      <x:c r="I481" s="52" t="n">
        <x:v>0.8556701030927835</x:v>
      </x:c>
      <x:c r="J481" s="52" t="n">
        <x:v>0.442272429383767</x:v>
      </x:c>
      <x:c r="K481" s="60" t="n">
        <x:v>1367.09</x:v>
      </x:c>
      <x:c r="L481" s="60" t="n">
        <x:v>143.54</x:v>
      </x:c>
      <x:c r="M481" s="50" t="n">
        <x:v>83</x:v>
      </x:c>
      <x:c r="N481" s="50" t="n">
        <x:v>14</x:v>
      </x:c>
      <x:c r="O481" s="50" t="n">
        <x:v>125</x:v>
      </x:c>
      <x:c r="P481" s="50" t="n">
        <x:v>23</x:v>
      </x:c>
    </x:row>
    <x:row r="482" ht="36" customHeight="1">
      <x:c r="A482" s="53" t="n">
        <x:v>463</x:v>
      </x:c>
      <x:c r="B482" s="53" t="n">
        <x:v>1</x:v>
      </x:c>
      <x:c r="C482" s="40" t="str">
        <x:v>High-Value Frequent Shoppers</x:v>
      </x:c>
      <x:c r="D482" s="60" t="n">
        <x:v>5803.3</x:v>
      </x:c>
      <x:c r="E482" s="50" t="n">
        <x:v>586</x:v>
      </x:c>
      <x:c r="F482" s="46" t="n">
        <x:v>27.904761904761905</x:v>
      </x:c>
      <x:c r="G482" s="46" t="n">
        <x:v>0</x:v>
      </x:c>
      <x:c r="H482" s="61" t="n">
        <x:v>9.903242320819112</x:v>
      </x:c>
      <x:c r="I482" s="52" t="n">
        <x:v>0.6911262798634812</x:v>
      </x:c>
      <x:c r="J482" s="52" t="n">
        <x:v>0.6118398152775145</x:v>
      </x:c>
      <x:c r="K482" s="60" t="n">
        <x:v>4704.15</x:v>
      </x:c>
      <x:c r="L482" s="60" t="n">
        <x:v>1099.15</x:v>
      </x:c>
      <x:c r="M482" s="50" t="n">
        <x:v>405</x:v>
      </x:c>
      <x:c r="N482" s="50" t="n">
        <x:v>181</x:v>
      </x:c>
      <x:c r="O482" s="50" t="n">
        <x:v>124</x:v>
      </x:c>
      <x:c r="P482" s="50" t="n">
        <x:v>21</x:v>
      </x:c>
    </x:row>
    <x:row r="483" ht="36" customHeight="1">
      <x:c r="A483" s="53" t="n">
        <x:v>464</x:v>
      </x:c>
      <x:c r="B483" s="53" t="n">
        <x:v>1</x:v>
      </x:c>
      <x:c r="C483" s="40" t="str">
        <x:v>High-Value Frequent Shoppers</x:v>
      </x:c>
      <x:c r="D483" s="60" t="n">
        <x:v>3590.49</x:v>
      </x:c>
      <x:c r="E483" s="50" t="n">
        <x:v>172</x:v>
      </x:c>
      <x:c r="F483" s="46" t="n">
        <x:v>7.8181818181818175</x:v>
      </x:c>
      <x:c r="G483" s="46" t="n">
        <x:v>2</x:v>
      </x:c>
      <x:c r="H483" s="61" t="n">
        <x:v>20.87494186046512</x:v>
      </x:c>
      <x:c r="I483" s="52" t="n">
        <x:v>0.8953488372093023</x:v>
      </x:c>
      <x:c r="J483" s="52" t="n">
        <x:v>0.7438706137602388</x:v>
      </x:c>
      <x:c r="K483" s="60" t="n">
        <x:v>3530.16</x:v>
      </x:c>
      <x:c r="L483" s="60" t="n">
        <x:v>60.33</x:v>
      </x:c>
      <x:c r="M483" s="50" t="n">
        <x:v>154</x:v>
      </x:c>
      <x:c r="N483" s="50" t="n">
        <x:v>18</x:v>
      </x:c>
      <x:c r="O483" s="50" t="n">
        <x:v>132</x:v>
      </x:c>
      <x:c r="P483" s="50" t="n">
        <x:v>22</x:v>
      </x:c>
    </x:row>
    <x:row r="484" ht="36" customHeight="1">
      <x:c r="A484" s="53" t="n">
        <x:v>465</x:v>
      </x:c>
      <x:c r="B484" s="53" t="n">
        <x:v>3</x:v>
      </x:c>
      <x:c r="C484" s="40" t="str">
        <x:v>Low-Value Low-Engagement Shoppers</x:v>
      </x:c>
      <x:c r="D484" s="60" t="n">
        <x:v>382.55</x:v>
      </x:c>
      <x:c r="E484" s="50" t="n">
        <x:v>44</x:v>
      </x:c>
      <x:c r="F484" s="46" t="n">
        <x:v>2.444444444444444</x:v>
      </x:c>
      <x:c r="G484" s="46" t="n">
        <x:v>15</x:v>
      </x:c>
      <x:c r="H484" s="61" t="n">
        <x:v>8.694318181818183</x:v>
      </x:c>
      <x:c r="I484" s="52" t="n">
        <x:v>0.6363636363636364</x:v>
      </x:c>
      <x:c r="J484" s="52" t="n">
        <x:v>0.4214612468958306</x:v>
      </x:c>
      <x:c r="K484" s="60" t="n">
        <x:v>318.68</x:v>
      </x:c>
      <x:c r="L484" s="60" t="n">
        <x:v>63.87</x:v>
      </x:c>
      <x:c r="M484" s="50" t="n">
        <x:v>28</x:v>
      </x:c>
      <x:c r="N484" s="50" t="n">
        <x:v>16</x:v>
      </x:c>
      <x:c r="O484" s="50" t="n">
        <x:v>70</x:v>
      </x:c>
      <x:c r="P484" s="50" t="n">
        <x:v>18</x:v>
      </x:c>
    </x:row>
    <x:row r="485" ht="36" customHeight="1">
      <x:c r="A485" s="53" t="n">
        <x:v>466</x:v>
      </x:c>
      <x:c r="B485" s="53" t="n">
        <x:v>3</x:v>
      </x:c>
      <x:c r="C485" s="40" t="str">
        <x:v>Low-Value Low-Engagement Shoppers</x:v>
      </x:c>
      <x:c r="D485" s="60" t="n">
        <x:v>423.32</x:v>
      </x:c>
      <x:c r="E485" s="50" t="n">
        <x:v>17</x:v>
      </x:c>
      <x:c r="F485" s="46" t="n">
        <x:v>1.8888888888888888</x:v>
      </x:c>
      <x:c r="G485" s="46" t="n">
        <x:v>41</x:v>
      </x:c>
      <x:c r="H485" s="61" t="n">
        <x:v>24.90117647058824</x:v>
      </x:c>
      <x:c r="I485" s="52" t="n">
        <x:v>0.7058823529411764</x:v>
      </x:c>
      <x:c r="J485" s="52" t="n">
        <x:v>0.4219266748559009</x:v>
      </x:c>
      <x:c r="K485" s="60" t="n">
        <x:v>366.4</x:v>
      </x:c>
      <x:c r="L485" s="60" t="n">
        <x:v>56.92</x:v>
      </x:c>
      <x:c r="M485" s="50" t="n">
        <x:v>12</x:v>
      </x:c>
      <x:c r="N485" s="50" t="n">
        <x:v>5</x:v>
      </x:c>
      <x:c r="O485" s="50" t="n">
        <x:v>56</x:v>
      </x:c>
      <x:c r="P485" s="50" t="n">
        <x:v>9</x:v>
      </x:c>
    </x:row>
    <x:row r="486" ht="36" customHeight="1">
      <x:c r="A486" s="53" t="n">
        <x:v>467</x:v>
      </x:c>
      <x:c r="B486" s="53" t="n">
        <x:v>1</x:v>
      </x:c>
      <x:c r="C486" s="40" t="str">
        <x:v>High-Value Frequent Shoppers</x:v>
      </x:c>
      <x:c r="D486" s="60" t="n">
        <x:v>2642.99</x:v>
      </x:c>
      <x:c r="E486" s="50" t="n">
        <x:v>145</x:v>
      </x:c>
      <x:c r="F486" s="46" t="n">
        <x:v>6.304347826086957</x:v>
      </x:c>
      <x:c r="G486" s="46" t="n">
        <x:v>5</x:v>
      </x:c>
      <x:c r="H486" s="61" t="n">
        <x:v>18.227517241379317</x:v>
      </x:c>
      <x:c r="I486" s="52" t="n">
        <x:v>0.8137931034482758</x:v>
      </x:c>
      <x:c r="J486" s="52" t="n">
        <x:v>0.4833313784766495</x:v>
      </x:c>
      <x:c r="K486" s="60" t="n">
        <x:v>2357.08</x:v>
      </x:c>
      <x:c r="L486" s="60" t="n">
        <x:v>285.91</x:v>
      </x:c>
      <x:c r="M486" s="50" t="n">
        <x:v>118</x:v>
      </x:c>
      <x:c r="N486" s="50" t="n">
        <x:v>27</x:v>
      </x:c>
      <x:c r="O486" s="50" t="n">
        <x:v>149</x:v>
      </x:c>
      <x:c r="P486" s="50" t="n">
        <x:v>23</x:v>
      </x:c>
    </x:row>
    <x:row r="487" ht="36" customHeight="1">
      <x:c r="A487" s="53" t="n">
        <x:v>468</x:v>
      </x:c>
      <x:c r="B487" s="53" t="n">
        <x:v>1</x:v>
      </x:c>
      <x:c r="C487" s="40" t="str">
        <x:v>High-Value Frequent Shoppers</x:v>
      </x:c>
      <x:c r="D487" s="60" t="n">
        <x:v>5835.68</x:v>
      </x:c>
      <x:c r="E487" s="50" t="n">
        <x:v>333</x:v>
      </x:c>
      <x:c r="F487" s="46" t="n">
        <x:v>14.478260869565217</x:v>
      </x:c>
      <x:c r="G487" s="46" t="n">
        <x:v>0</x:v>
      </x:c>
      <x:c r="H487" s="61" t="n">
        <x:v>17.524564564564564</x:v>
      </x:c>
      <x:c r="I487" s="52" t="n">
        <x:v>0.7417417417417417</x:v>
      </x:c>
      <x:c r="J487" s="52" t="n">
        <x:v>0.4126545663915773</x:v>
      </x:c>
      <x:c r="K487" s="60" t="n">
        <x:v>4958.26</x:v>
      </x:c>
      <x:c r="L487" s="60" t="n">
        <x:v>877.42</x:v>
      </x:c>
      <x:c r="M487" s="50" t="n">
        <x:v>247</x:v>
      </x:c>
      <x:c r="N487" s="50" t="n">
        <x:v>86</x:v>
      </x:c>
      <x:c r="O487" s="50" t="n">
        <x:v>165</x:v>
      </x:c>
      <x:c r="P487" s="50" t="n">
        <x:v>23</x:v>
      </x:c>
    </x:row>
    <x:row r="488" ht="36" customHeight="1">
      <x:c r="A488" s="53" t="n">
        <x:v>469</x:v>
      </x:c>
      <x:c r="B488" s="53" t="n">
        <x:v>1</x:v>
      </x:c>
      <x:c r="C488" s="40" t="str">
        <x:v>High-Value Frequent Shoppers</x:v>
      </x:c>
      <x:c r="D488" s="60" t="n">
        <x:v>7748.49</x:v>
      </x:c>
      <x:c r="E488" s="50" t="n">
        <x:v>165</x:v>
      </x:c>
      <x:c r="F488" s="46" t="n">
        <x:v>7.5</x:v>
      </x:c>
      <x:c r="G488" s="46" t="n">
        <x:v>13</x:v>
      </x:c>
      <x:c r="H488" s="61" t="n">
        <x:v>46.96054545454545</x:v>
      </x:c>
      <x:c r="I488" s="52" t="n">
        <x:v>0.7636363636363636</x:v>
      </x:c>
      <x:c r="J488" s="52" t="n">
        <x:v>0.4428295061360342</x:v>
      </x:c>
      <x:c r="K488" s="60" t="n">
        <x:v>7346.4</x:v>
      </x:c>
      <x:c r="L488" s="60" t="n">
        <x:v>402.09</x:v>
      </x:c>
      <x:c r="M488" s="50" t="n">
        <x:v>126</x:v>
      </x:c>
      <x:c r="N488" s="50" t="n">
        <x:v>39</x:v>
      </x:c>
      <x:c r="O488" s="50" t="n">
        <x:v>179</x:v>
      </x:c>
      <x:c r="P488" s="50" t="n">
        <x:v>22</x:v>
      </x:c>
    </x:row>
    <x:row r="489" ht="36" customHeight="1">
      <x:c r="A489" s="53" t="n">
        <x:v>470</x:v>
      </x:c>
      <x:c r="B489" s="53" t="n">
        <x:v>3</x:v>
      </x:c>
      <x:c r="C489" s="40" t="str">
        <x:v>Low-Value Low-Engagement Shoppers</x:v>
      </x:c>
      <x:c r="D489" s="60" t="n">
        <x:v>2305</x:v>
      </x:c>
      <x:c r="E489" s="50" t="n">
        <x:v>156</x:v>
      </x:c>
      <x:c r="F489" s="46" t="n">
        <x:v>6.5</x:v>
      </x:c>
      <x:c r="G489" s="46" t="n">
        <x:v>4</x:v>
      </x:c>
      <x:c r="H489" s="61" t="n">
        <x:v>14.775641025641024</x:v>
      </x:c>
      <x:c r="I489" s="52" t="n">
        <x:v>0.7564102564102564</x:v>
      </x:c>
      <x:c r="J489" s="52" t="n">
        <x:v>0.2648980477223427</x:v>
      </x:c>
      <x:c r="K489" s="60" t="n">
        <x:v>1870.62</x:v>
      </x:c>
      <x:c r="L489" s="60" t="n">
        <x:v>434.38</x:v>
      </x:c>
      <x:c r="M489" s="50" t="n">
        <x:v>118</x:v>
      </x:c>
      <x:c r="N489" s="50" t="n">
        <x:v>38</x:v>
      </x:c>
      <x:c r="O489" s="50" t="n">
        <x:v>81</x:v>
      </x:c>
      <x:c r="P489" s="50" t="n">
        <x:v>24</x:v>
      </x:c>
    </x:row>
    <x:row r="490" ht="36" customHeight="1">
      <x:c r="A490" s="53" t="n">
        <x:v>471</x:v>
      </x:c>
      <x:c r="B490" s="53" t="n">
        <x:v>2</x:v>
      </x:c>
      <x:c r="C490" s="40" t="str">
        <x:v>Large-Basket Occasional Shoppers</x:v>
      </x:c>
      <x:c r="D490" s="60" t="n">
        <x:v>1530.12</x:v>
      </x:c>
      <x:c r="E490" s="50" t="n">
        <x:v>51</x:v>
      </x:c>
      <x:c r="F490" s="46" t="n">
        <x:v>2.6842105263157894</x:v>
      </x:c>
      <x:c r="G490" s="46" t="n">
        <x:v>1</x:v>
      </x:c>
      <x:c r="H490" s="61" t="n">
        <x:v>30.002352941176472</x:v>
      </x:c>
      <x:c r="I490" s="52" t="n">
        <x:v>0.9019607843137254</x:v>
      </x:c>
      <x:c r="J490" s="52" t="n">
        <x:v>0.5081235458656836</x:v>
      </x:c>
      <x:c r="K490" s="60" t="n">
        <x:v>1476.17</x:v>
      </x:c>
      <x:c r="L490" s="60" t="n">
        <x:v>53.95</x:v>
      </x:c>
      <x:c r="M490" s="50" t="n">
        <x:v>46</x:v>
      </x:c>
      <x:c r="N490" s="50" t="n">
        <x:v>5</x:v>
      </x:c>
      <x:c r="O490" s="50" t="n">
        <x:v>121</x:v>
      </x:c>
      <x:c r="P490" s="50" t="n">
        <x:v>19</x:v>
      </x:c>
    </x:row>
    <x:row r="491" ht="36" customHeight="1">
      <x:c r="A491" s="53" t="n">
        <x:v>472</x:v>
      </x:c>
      <x:c r="B491" s="53" t="n">
        <x:v>1</x:v>
      </x:c>
      <x:c r="C491" s="40" t="str">
        <x:v>High-Value Frequent Shoppers</x:v>
      </x:c>
      <x:c r="D491" s="60" t="n">
        <x:v>8295.58</x:v>
      </x:c>
      <x:c r="E491" s="50" t="n">
        <x:v>94</x:v>
      </x:c>
      <x:c r="F491" s="46" t="n">
        <x:v>4.7</x:v>
      </x:c>
      <x:c r="G491" s="46" t="n">
        <x:v>48</x:v>
      </x:c>
      <x:c r="H491" s="61" t="n">
        <x:v>88.25085106382977</x:v>
      </x:c>
      <x:c r="I491" s="52" t="n">
        <x:v>0.7978723404255319</x:v>
      </x:c>
      <x:c r="J491" s="52" t="n">
        <x:v>0.4773626437211141</x:v>
      </x:c>
      <x:c r="K491" s="60" t="n">
        <x:v>8126.4</x:v>
      </x:c>
      <x:c r="L491" s="60" t="n">
        <x:v>169.18</x:v>
      </x:c>
      <x:c r="M491" s="50" t="n">
        <x:v>75</x:v>
      </x:c>
      <x:c r="N491" s="50" t="n">
        <x:v>19</x:v>
      </x:c>
      <x:c r="O491" s="50" t="n">
        <x:v>172</x:v>
      </x:c>
      <x:c r="P491" s="50" t="n">
        <x:v>20</x:v>
      </x:c>
    </x:row>
    <x:row r="492" ht="36" customHeight="1">
      <x:c r="A492" s="53" t="n">
        <x:v>473</x:v>
      </x:c>
      <x:c r="B492" s="53" t="n">
        <x:v>2</x:v>
      </x:c>
      <x:c r="C492" s="40" t="str">
        <x:v>Large-Basket Occasional Shoppers</x:v>
      </x:c>
      <x:c r="D492" s="60" t="n">
        <x:v>3208.71</x:v>
      </x:c>
      <x:c r="E492" s="50" t="n">
        <x:v>70</x:v>
      </x:c>
      <x:c r="F492" s="46" t="n">
        <x:v>3.1818181818181817</x:v>
      </x:c>
      <x:c r="G492" s="46" t="n">
        <x:v>2</x:v>
      </x:c>
      <x:c r="H492" s="61" t="n">
        <x:v>45.83871428571429</x:v>
      </x:c>
      <x:c r="I492" s="52" t="n">
        <x:v>0.9857142857142857</x:v>
      </x:c>
      <x:c r="J492" s="52" t="n">
        <x:v>0.6407777580398353</x:v>
      </x:c>
      <x:c r="K492" s="60" t="n">
        <x:v>3208.71</x:v>
      </x:c>
      <x:c r="L492" s="60" t="n">
        <x:v>0</x:v>
      </x:c>
      <x:c r="M492" s="50" t="n">
        <x:v>69</x:v>
      </x:c>
      <x:c r="N492" s="50" t="n">
        <x:v>1</x:v>
      </x:c>
      <x:c r="O492" s="50" t="n">
        <x:v>119</x:v>
      </x:c>
      <x:c r="P492" s="50" t="n">
        <x:v>22</x:v>
      </x:c>
    </x:row>
    <x:row r="493" ht="36" customHeight="1">
      <x:c r="A493" s="53" t="n">
        <x:v>474</x:v>
      </x:c>
      <x:c r="B493" s="53" t="n">
        <x:v>2</x:v>
      </x:c>
      <x:c r="C493" s="40" t="str">
        <x:v>Large-Basket Occasional Shoppers</x:v>
      </x:c>
      <x:c r="D493" s="60" t="n">
        <x:v>2102.36</x:v>
      </x:c>
      <x:c r="E493" s="50" t="n">
        <x:v>36</x:v>
      </x:c>
      <x:c r="F493" s="46" t="n">
        <x:v>2.571428571428572</x:v>
      </x:c>
      <x:c r="G493" s="46" t="n">
        <x:v>0</x:v>
      </x:c>
      <x:c r="H493" s="61" t="n">
        <x:v>58.39888888888889</x:v>
      </x:c>
      <x:c r="I493" s="52" t="n">
        <x:v>0.9166666666666666</x:v>
      </x:c>
      <x:c r="J493" s="52" t="n">
        <x:v>0.6394052398257196</x:v>
      </x:c>
      <x:c r="K493" s="60" t="n">
        <x:v>2066.3</x:v>
      </x:c>
      <x:c r="L493" s="60" t="n">
        <x:v>36.06</x:v>
      </x:c>
      <x:c r="M493" s="50" t="n">
        <x:v>33</x:v>
      </x:c>
      <x:c r="N493" s="50" t="n">
        <x:v>3</x:v>
      </x:c>
      <x:c r="O493" s="50" t="n">
        <x:v>105</x:v>
      </x:c>
      <x:c r="P493" s="50" t="n">
        <x:v>14</x:v>
      </x:c>
    </x:row>
    <x:row r="494" ht="36" customHeight="1">
      <x:c r="A494" s="53" t="n">
        <x:v>475</x:v>
      </x:c>
      <x:c r="B494" s="53" t="n">
        <x:v>2</x:v>
      </x:c>
      <x:c r="C494" s="40" t="str">
        <x:v>Large-Basket Occasional Shoppers</x:v>
      </x:c>
      <x:c r="D494" s="60" t="n">
        <x:v>1525.02</x:v>
      </x:c>
      <x:c r="E494" s="50" t="n">
        <x:v>41</x:v>
      </x:c>
      <x:c r="F494" s="46" t="n">
        <x:v>2.05</x:v>
      </x:c>
      <x:c r="G494" s="46" t="n">
        <x:v>2</x:v>
      </x:c>
      <x:c r="H494" s="61" t="n">
        <x:v>37.19560975609756</x:v>
      </x:c>
      <x:c r="I494" s="52" t="n">
        <x:v>0.7804878048780487</x:v>
      </x:c>
      <x:c r="J494" s="52" t="n">
        <x:v>0.4483744475482288</x:v>
      </x:c>
      <x:c r="K494" s="60" t="n">
        <x:v>1411.7</x:v>
      </x:c>
      <x:c r="L494" s="60" t="n">
        <x:v>113.32</x:v>
      </x:c>
      <x:c r="M494" s="50" t="n">
        <x:v>32</x:v>
      </x:c>
      <x:c r="N494" s="50" t="n">
        <x:v>9</x:v>
      </x:c>
      <x:c r="O494" s="50" t="n">
        <x:v>130</x:v>
      </x:c>
      <x:c r="P494" s="50" t="n">
        <x:v>20</x:v>
      </x:c>
    </x:row>
    <x:row r="495" ht="36" customHeight="1">
      <x:c r="A495" s="53" t="n">
        <x:v>476</x:v>
      </x:c>
      <x:c r="B495" s="53" t="n">
        <x:v>2</x:v>
      </x:c>
      <x:c r="C495" s="40" t="str">
        <x:v>Large-Basket Occasional Shoppers</x:v>
      </x:c>
      <x:c r="D495" s="60" t="n">
        <x:v>1551.27</x:v>
      </x:c>
      <x:c r="E495" s="50" t="n">
        <x:v>29</x:v>
      </x:c>
      <x:c r="F495" s="46" t="n">
        <x:v>2.230769230769231</x:v>
      </x:c>
      <x:c r="G495" s="46" t="n">
        <x:v>66</x:v>
      </x:c>
      <x:c r="H495" s="61" t="n">
        <x:v>53.49206896551724</x:v>
      </x:c>
      <x:c r="I495" s="52" t="n">
        <x:v>0.8620689655172413</x:v>
      </x:c>
      <x:c r="J495" s="52" t="n">
        <x:v>0.4695185235323315</x:v>
      </x:c>
      <x:c r="K495" s="60" t="n">
        <x:v>1510.53</x:v>
      </x:c>
      <x:c r="L495" s="60" t="n">
        <x:v>40.74</x:v>
      </x:c>
      <x:c r="M495" s="50" t="n">
        <x:v>25</x:v>
      </x:c>
      <x:c r="N495" s="50" t="n">
        <x:v>4</x:v>
      </x:c>
      <x:c r="O495" s="50" t="n">
        <x:v>79</x:v>
      </x:c>
      <x:c r="P495" s="50" t="n">
        <x:v>13</x:v>
      </x:c>
    </x:row>
    <x:row r="496" ht="36" customHeight="1">
      <x:c r="A496" s="53" t="n">
        <x:v>477</x:v>
      </x:c>
      <x:c r="B496" s="53" t="n">
        <x:v>3</x:v>
      </x:c>
      <x:c r="C496" s="40" t="str">
        <x:v>Low-Value Low-Engagement Shoppers</x:v>
      </x:c>
      <x:c r="D496" s="60" t="n">
        <x:v>812.28</x:v>
      </x:c>
      <x:c r="E496" s="50" t="n">
        <x:v>65</x:v>
      </x:c>
      <x:c r="F496" s="46" t="n">
        <x:v>3.095238095238096</x:v>
      </x:c>
      <x:c r="G496" s="46" t="n">
        <x:v>17</x:v>
      </x:c>
      <x:c r="H496" s="61" t="n">
        <x:v>12.496615384615383</x:v>
      </x:c>
      <x:c r="I496" s="52" t="n">
        <x:v>0.8769230769230769</x:v>
      </x:c>
      <x:c r="J496" s="52" t="n">
        <x:v>0.6752105185404047</x:v>
      </x:c>
      <x:c r="K496" s="60" t="n">
        <x:v>787</x:v>
      </x:c>
      <x:c r="L496" s="60" t="n">
        <x:v>25.28</x:v>
      </x:c>
      <x:c r="M496" s="50" t="n">
        <x:v>57</x:v>
      </x:c>
      <x:c r="N496" s="50" t="n">
        <x:v>8</x:v>
      </x:c>
      <x:c r="O496" s="50" t="n">
        <x:v>101</x:v>
      </x:c>
      <x:c r="P496" s="50" t="n">
        <x:v>21</x:v>
      </x:c>
    </x:row>
    <x:row r="497" ht="36" customHeight="1">
      <x:c r="A497" s="53" t="n">
        <x:v>478</x:v>
      </x:c>
      <x:c r="B497" s="53" t="n">
        <x:v>3</x:v>
      </x:c>
      <x:c r="C497" s="40" t="str">
        <x:v>Low-Value Low-Engagement Shoppers</x:v>
      </x:c>
      <x:c r="D497" s="60" t="n">
        <x:v>286.02</x:v>
      </x:c>
      <x:c r="E497" s="50" t="n">
        <x:v>20</x:v>
      </x:c>
      <x:c r="F497" s="46" t="n">
        <x:v>1.5384615384615383</x:v>
      </x:c>
      <x:c r="G497" s="46" t="n">
        <x:v>35</x:v>
      </x:c>
      <x:c r="H497" s="61" t="n">
        <x:v>14.301</x:v>
      </x:c>
      <x:c r="I497" s="52" t="n">
        <x:v>0.7</x:v>
      </x:c>
      <x:c r="J497" s="52" t="n">
        <x:v>0.5576882735473043</x:v>
      </x:c>
      <x:c r="K497" s="60" t="n">
        <x:v>231.48</x:v>
      </x:c>
      <x:c r="L497" s="60" t="n">
        <x:v>54.54</x:v>
      </x:c>
      <x:c r="M497" s="50" t="n">
        <x:v>14</x:v>
      </x:c>
      <x:c r="N497" s="50" t="n">
        <x:v>6</x:v>
      </x:c>
      <x:c r="O497" s="50" t="n">
        <x:v>26</x:v>
      </x:c>
      <x:c r="P497" s="50" t="n">
        <x:v>13</x:v>
      </x:c>
    </x:row>
    <x:row r="498" ht="36" customHeight="1">
      <x:c r="A498" s="53" t="n">
        <x:v>479</x:v>
      </x:c>
      <x:c r="B498" s="53" t="n">
        <x:v>3</x:v>
      </x:c>
      <x:c r="C498" s="40" t="str">
        <x:v>Low-Value Low-Engagement Shoppers</x:v>
      </x:c>
      <x:c r="D498" s="60" t="n">
        <x:v>1773.3</x:v>
      </x:c>
      <x:c r="E498" s="50" t="n">
        <x:v>184</x:v>
      </x:c>
      <x:c r="F498" s="46" t="n">
        <x:v>9.68421052631579</x:v>
      </x:c>
      <x:c r="G498" s="46" t="n">
        <x:v>7</x:v>
      </x:c>
      <x:c r="H498" s="61" t="n">
        <x:v>9.6375</x:v>
      </x:c>
      <x:c r="I498" s="52" t="n">
        <x:v>0.625</x:v>
      </x:c>
      <x:c r="J498" s="52" t="n">
        <x:v>0.5972593469802063</x:v>
      </x:c>
      <x:c r="K498" s="60" t="n">
        <x:v>1527.27</x:v>
      </x:c>
      <x:c r="L498" s="60" t="n">
        <x:v>246.03</x:v>
      </x:c>
      <x:c r="M498" s="50" t="n">
        <x:v>115</x:v>
      </x:c>
      <x:c r="N498" s="50" t="n">
        <x:v>69</x:v>
      </x:c>
      <x:c r="O498" s="50" t="n">
        <x:v>137</x:v>
      </x:c>
      <x:c r="P498" s="50" t="n">
        <x:v>19</x:v>
      </x:c>
    </x:row>
    <x:row r="499" ht="36" customHeight="1">
      <x:c r="A499" s="53" t="n">
        <x:v>480</x:v>
      </x:c>
      <x:c r="B499" s="53" t="n">
        <x:v>2</x:v>
      </x:c>
      <x:c r="C499" s="40" t="str">
        <x:v>Large-Basket Occasional Shoppers</x:v>
      </x:c>
      <x:c r="D499" s="60" t="n">
        <x:v>3646.39</x:v>
      </x:c>
      <x:c r="E499" s="50" t="n">
        <x:v>91</x:v>
      </x:c>
      <x:c r="F499" s="46" t="n">
        <x:v>4.333333333333333</x:v>
      </x:c>
      <x:c r="G499" s="46" t="n">
        <x:v>38</x:v>
      </x:c>
      <x:c r="H499" s="61" t="n">
        <x:v>40.07021978021977</x:v>
      </x:c>
      <x:c r="I499" s="52" t="n">
        <x:v>0.868131868131868</x:v>
      </x:c>
      <x:c r="J499" s="52" t="n">
        <x:v>0.6122301783407699</x:v>
      </x:c>
      <x:c r="K499" s="60" t="n">
        <x:v>3506.56</x:v>
      </x:c>
      <x:c r="L499" s="60" t="n">
        <x:v>139.83</x:v>
      </x:c>
      <x:c r="M499" s="50" t="n">
        <x:v>79</x:v>
      </x:c>
      <x:c r="N499" s="50" t="n">
        <x:v>12</x:v>
      </x:c>
      <x:c r="O499" s="50" t="n">
        <x:v>160</x:v>
      </x:c>
      <x:c r="P499" s="50" t="n">
        <x:v>21</x:v>
      </x:c>
    </x:row>
    <x:row r="500" ht="36" customHeight="1">
      <x:c r="A500" s="53" t="n">
        <x:v>481</x:v>
      </x:c>
      <x:c r="B500" s="53" t="n">
        <x:v>2</x:v>
      </x:c>
      <x:c r="C500" s="40" t="str">
        <x:v>Large-Basket Occasional Shoppers</x:v>
      </x:c>
      <x:c r="D500" s="60" t="n">
        <x:v>2055.92</x:v>
      </x:c>
      <x:c r="E500" s="50" t="n">
        <x:v>49</x:v>
      </x:c>
      <x:c r="F500" s="46" t="n">
        <x:v>2.5789473684210527</x:v>
      </x:c>
      <x:c r="G500" s="46" t="n">
        <x:v>26</x:v>
      </x:c>
      <x:c r="H500" s="61" t="n">
        <x:v>41.95755102040816</x:v>
      </x:c>
      <x:c r="I500" s="52" t="n">
        <x:v>0.9183673469387756</x:v>
      </x:c>
      <x:c r="J500" s="52" t="n">
        <x:v>0.4495943421923032</x:v>
      </x:c>
      <x:c r="K500" s="60" t="n">
        <x:v>2038.7</x:v>
      </x:c>
      <x:c r="L500" s="60" t="n">
        <x:v>17.22</x:v>
      </x:c>
      <x:c r="M500" s="50" t="n">
        <x:v>45</x:v>
      </x:c>
      <x:c r="N500" s="50" t="n">
        <x:v>4</x:v>
      </x:c>
      <x:c r="O500" s="50" t="n">
        <x:v>126</x:v>
      </x:c>
      <x:c r="P500" s="50" t="n">
        <x:v>19</x:v>
      </x:c>
    </x:row>
    <x:row r="501" ht="36" customHeight="1">
      <x:c r="A501" s="53" t="n">
        <x:v>482</x:v>
      </x:c>
      <x:c r="B501" s="53" t="n">
        <x:v>2</x:v>
      </x:c>
      <x:c r="C501" s="40" t="str">
        <x:v>Large-Basket Occasional Shoppers</x:v>
      </x:c>
      <x:c r="D501" s="60" t="n">
        <x:v>1848.52</x:v>
      </x:c>
      <x:c r="E501" s="50" t="n">
        <x:v>61</x:v>
      </x:c>
      <x:c r="F501" s="46" t="n">
        <x:v>3.210526315789473</x:v>
      </x:c>
      <x:c r="G501" s="46" t="n">
        <x:v>1</x:v>
      </x:c>
      <x:c r="H501" s="61" t="n">
        <x:v>30.303606557377048</x:v>
      </x:c>
      <x:c r="I501" s="52" t="n">
        <x:v>0.7704918032786885</x:v>
      </x:c>
      <x:c r="J501" s="52" t="n">
        <x:v>0.5066972496916452</x:v>
      </x:c>
      <x:c r="K501" s="60" t="n">
        <x:v>1770.74</x:v>
      </x:c>
      <x:c r="L501" s="60" t="n">
        <x:v>77.78</x:v>
      </x:c>
      <x:c r="M501" s="50" t="n">
        <x:v>47</x:v>
      </x:c>
      <x:c r="N501" s="50" t="n">
        <x:v>14</x:v>
      </x:c>
      <x:c r="O501" s="50" t="n">
        <x:v>116</x:v>
      </x:c>
      <x:c r="P501" s="50" t="n">
        <x:v>19</x:v>
      </x:c>
    </x:row>
    <x:row r="502" ht="36" customHeight="1">
      <x:c r="A502" s="53" t="n">
        <x:v>483</x:v>
      </x:c>
      <x:c r="B502" s="53" t="n">
        <x:v>1</x:v>
      </x:c>
      <x:c r="C502" s="40" t="str">
        <x:v>High-Value Frequent Shoppers</x:v>
      </x:c>
      <x:c r="D502" s="60" t="n">
        <x:v>2718.99</x:v>
      </x:c>
      <x:c r="E502" s="50" t="n">
        <x:v>98</x:v>
      </x:c>
      <x:c r="F502" s="46" t="n">
        <x:v>4.083333333333333</x:v>
      </x:c>
      <x:c r="G502" s="46" t="n">
        <x:v>1</x:v>
      </x:c>
      <x:c r="H502" s="61" t="n">
        <x:v>27.744795918367345</x:v>
      </x:c>
      <x:c r="I502" s="52" t="n">
        <x:v>0.846938775510204</x:v>
      </x:c>
      <x:c r="J502" s="52" t="n">
        <x:v>0.5633672797619704</x:v>
      </x:c>
      <x:c r="K502" s="60" t="n">
        <x:v>2578.58</x:v>
      </x:c>
      <x:c r="L502" s="60" t="n">
        <x:v>140.41</x:v>
      </x:c>
      <x:c r="M502" s="50" t="n">
        <x:v>83</x:v>
      </x:c>
      <x:c r="N502" s="50" t="n">
        <x:v>15</x:v>
      </x:c>
      <x:c r="O502" s="50" t="n">
        <x:v>134</x:v>
      </x:c>
      <x:c r="P502" s="50" t="n">
        <x:v>24</x:v>
      </x:c>
    </x:row>
    <x:row r="503" ht="36" customHeight="1">
      <x:c r="A503" s="53" t="n">
        <x:v>484</x:v>
      </x:c>
      <x:c r="B503" s="53" t="n">
        <x:v>1</x:v>
      </x:c>
      <x:c r="C503" s="40" t="str">
        <x:v>High-Value Frequent Shoppers</x:v>
      </x:c>
      <x:c r="D503" s="60" t="n">
        <x:v>2964.51</x:v>
      </x:c>
      <x:c r="E503" s="50" t="n">
        <x:v>137</x:v>
      </x:c>
      <x:c r="F503" s="46" t="n">
        <x:v>5.956521739130435</x:v>
      </x:c>
      <x:c r="G503" s="46" t="n">
        <x:v>5</x:v>
      </x:c>
      <x:c r="H503" s="61" t="n">
        <x:v>21.638759124087592</x:v>
      </x:c>
      <x:c r="I503" s="52" t="n">
        <x:v>0.7737226277372262</x:v>
      </x:c>
      <x:c r="J503" s="52" t="n">
        <x:v>0.4863366964523648</x:v>
      </x:c>
      <x:c r="K503" s="60" t="n">
        <x:v>2599.01</x:v>
      </x:c>
      <x:c r="L503" s="60" t="n">
        <x:v>365.5</x:v>
      </x:c>
      <x:c r="M503" s="50" t="n">
        <x:v>106</x:v>
      </x:c>
      <x:c r="N503" s="50" t="n">
        <x:v>31</x:v>
      </x:c>
      <x:c r="O503" s="50" t="n">
        <x:v>140</x:v>
      </x:c>
      <x:c r="P503" s="50" t="n">
        <x:v>23</x:v>
      </x:c>
    </x:row>
    <x:row r="504" ht="36" customHeight="1">
      <x:c r="A504" s="53" t="n">
        <x:v>485</x:v>
      </x:c>
      <x:c r="B504" s="53" t="n">
        <x:v>1</x:v>
      </x:c>
      <x:c r="C504" s="40" t="str">
        <x:v>High-Value Frequent Shoppers</x:v>
      </x:c>
      <x:c r="D504" s="60" t="n">
        <x:v>5431.01</x:v>
      </x:c>
      <x:c r="E504" s="50" t="n">
        <x:v>162</x:v>
      </x:c>
      <x:c r="F504" s="46" t="n">
        <x:v>7.7142857142857135</x:v>
      </x:c>
      <x:c r="G504" s="46" t="n">
        <x:v>1</x:v>
      </x:c>
      <x:c r="H504" s="61" t="n">
        <x:v>33.52475308641976</x:v>
      </x:c>
      <x:c r="I504" s="52" t="n">
        <x:v>0.925925925925926</x:v>
      </x:c>
      <x:c r="J504" s="52" t="n">
        <x:v>0.7610205099972196</x:v>
      </x:c>
      <x:c r="K504" s="60" t="n">
        <x:v>5342.19</x:v>
      </x:c>
      <x:c r="L504" s="60" t="n">
        <x:v>88.82</x:v>
      </x:c>
      <x:c r="M504" s="50" t="n">
        <x:v>150</x:v>
      </x:c>
      <x:c r="N504" s="50" t="n">
        <x:v>12</x:v>
      </x:c>
      <x:c r="O504" s="50" t="n">
        <x:v>137</x:v>
      </x:c>
      <x:c r="P504" s="50" t="n">
        <x:v>21</x:v>
      </x:c>
    </x:row>
    <x:row r="505" ht="36" customHeight="1">
      <x:c r="A505" s="53" t="n">
        <x:v>486</x:v>
      </x:c>
      <x:c r="B505" s="53" t="n">
        <x:v>2</x:v>
      </x:c>
      <x:c r="C505" s="40" t="str">
        <x:v>Large-Basket Occasional Shoppers</x:v>
      </x:c>
      <x:c r="D505" s="60" t="n">
        <x:v>922.39</x:v>
      </x:c>
      <x:c r="E505" s="50" t="n">
        <x:v>29</x:v>
      </x:c>
      <x:c r="F505" s="46" t="n">
        <x:v>2.071428571428572</x:v>
      </x:c>
      <x:c r="G505" s="46" t="n">
        <x:v>17</x:v>
      </x:c>
      <x:c r="H505" s="61" t="n">
        <x:v>31.80655172413793</x:v>
      </x:c>
      <x:c r="I505" s="52" t="n">
        <x:v>0.9310344827586206</x:v>
      </x:c>
      <x:c r="J505" s="52" t="n">
        <x:v>0.480686043864309</x:v>
      </x:c>
      <x:c r="K505" s="60" t="n">
        <x:v>917.6</x:v>
      </x:c>
      <x:c r="L505" s="60" t="n">
        <x:v>4.79</x:v>
      </x:c>
      <x:c r="M505" s="50" t="n">
        <x:v>27</x:v>
      </x:c>
      <x:c r="N505" s="50" t="n">
        <x:v>2</x:v>
      </x:c>
      <x:c r="O505" s="50" t="n">
        <x:v>89</x:v>
      </x:c>
      <x:c r="P505" s="50" t="n">
        <x:v>14</x:v>
      </x:c>
    </x:row>
    <x:row r="506" ht="36" customHeight="1">
      <x:c r="A506" s="53" t="n">
        <x:v>487</x:v>
      </x:c>
      <x:c r="B506" s="53" t="n">
        <x:v>3</x:v>
      </x:c>
      <x:c r="C506" s="40" t="str">
        <x:v>Low-Value Low-Engagement Shoppers</x:v>
      </x:c>
      <x:c r="D506" s="60" t="n">
        <x:v>133.68</x:v>
      </x:c>
      <x:c r="E506" s="50" t="n">
        <x:v>9</x:v>
      </x:c>
      <x:c r="F506" s="46" t="n">
        <x:v>1.2857142857142856</x:v>
      </x:c>
      <x:c r="G506" s="46" t="n">
        <x:v>42</x:v>
      </x:c>
      <x:c r="H506" s="61" t="n">
        <x:v>14.853333333333332</x:v>
      </x:c>
      <x:c r="I506" s="52" t="n">
        <x:v>0.8888888888888888</x:v>
      </x:c>
      <x:c r="J506" s="52" t="n">
        <x:v>0.5323159784560143</x:v>
      </x:c>
      <x:c r="K506" s="60" t="n">
        <x:v>128.68</x:v>
      </x:c>
      <x:c r="L506" s="60" t="n">
        <x:v>5</x:v>
      </x:c>
      <x:c r="M506" s="50" t="n">
        <x:v>8</x:v>
      </x:c>
      <x:c r="N506" s="50" t="n">
        <x:v>1</x:v>
      </x:c>
      <x:c r="O506" s="50" t="n">
        <x:v>25</x:v>
      </x:c>
      <x:c r="P506" s="50" t="n">
        <x:v>7</x:v>
      </x:c>
    </x:row>
    <x:row r="507" ht="36" customHeight="1">
      <x:c r="A507" s="53" t="n">
        <x:v>488</x:v>
      </x:c>
      <x:c r="B507" s="53" t="n">
        <x:v>3</x:v>
      </x:c>
      <x:c r="C507" s="40" t="str">
        <x:v>Low-Value Low-Engagement Shoppers</x:v>
      </x:c>
      <x:c r="D507" s="60" t="n">
        <x:v>406.96</x:v>
      </x:c>
      <x:c r="E507" s="50" t="n">
        <x:v>20</x:v>
      </x:c>
      <x:c r="F507" s="46" t="n">
        <x:v>1.8181818181818183</x:v>
      </x:c>
      <x:c r="G507" s="46" t="n">
        <x:v>50</x:v>
      </x:c>
      <x:c r="H507" s="61" t="n">
        <x:v>20.348</x:v>
      </x:c>
      <x:c r="I507" s="52" t="n">
        <x:v>0.55</x:v>
      </x:c>
      <x:c r="J507" s="52" t="n">
        <x:v>0.2916011401611952</x:v>
      </x:c>
      <x:c r="K507" s="60" t="n">
        <x:v>312.42</x:v>
      </x:c>
      <x:c r="L507" s="60" t="n">
        <x:v>94.54</x:v>
      </x:c>
      <x:c r="M507" s="50" t="n">
        <x:v>11</x:v>
      </x:c>
      <x:c r="N507" s="50" t="n">
        <x:v>9</x:v>
      </x:c>
      <x:c r="O507" s="50" t="n">
        <x:v>62</x:v>
      </x:c>
      <x:c r="P507" s="50" t="n">
        <x:v>11</x:v>
      </x:c>
    </x:row>
    <x:row r="508" ht="36" customHeight="1">
      <x:c r="A508" s="53" t="n">
        <x:v>489</x:v>
      </x:c>
      <x:c r="B508" s="53" t="n">
        <x:v>1</x:v>
      </x:c>
      <x:c r="C508" s="40" t="str">
        <x:v>High-Value Frequent Shoppers</x:v>
      </x:c>
      <x:c r="D508" s="60" t="n">
        <x:v>5866.56</x:v>
      </x:c>
      <x:c r="E508" s="50" t="n">
        <x:v>212</x:v>
      </x:c>
      <x:c r="F508" s="46" t="n">
        <x:v>9.636363636363637</x:v>
      </x:c>
      <x:c r="G508" s="46" t="n">
        <x:v>0</x:v>
      </x:c>
      <x:c r="H508" s="61" t="n">
        <x:v>27.67245283018868</x:v>
      </x:c>
      <x:c r="I508" s="52" t="n">
        <x:v>0.7688679245283018</x:v>
      </x:c>
      <x:c r="J508" s="52" t="n">
        <x:v>0.5428360061092019</x:v>
      </x:c>
      <x:c r="K508" s="60" t="n">
        <x:v>5446.82</x:v>
      </x:c>
      <x:c r="L508" s="60" t="n">
        <x:v>419.74</x:v>
      </x:c>
      <x:c r="M508" s="50" t="n">
        <x:v>163</x:v>
      </x:c>
      <x:c r="N508" s="50" t="n">
        <x:v>49</x:v>
      </x:c>
      <x:c r="O508" s="50" t="n">
        <x:v>161</x:v>
      </x:c>
      <x:c r="P508" s="50" t="n">
        <x:v>22</x:v>
      </x:c>
    </x:row>
    <x:row r="509" ht="36" customHeight="1">
      <x:c r="A509" s="53" t="n">
        <x:v>490</x:v>
      </x:c>
      <x:c r="B509" s="53" t="n">
        <x:v>2</x:v>
      </x:c>
      <x:c r="C509" s="40" t="str">
        <x:v>Large-Basket Occasional Shoppers</x:v>
      </x:c>
      <x:c r="D509" s="60" t="n">
        <x:v>3886.87</x:v>
      </x:c>
      <x:c r="E509" s="50" t="n">
        <x:v>80</x:v>
      </x:c>
      <x:c r="F509" s="46" t="n">
        <x:v>3.6363636363636367</x:v>
      </x:c>
      <x:c r="G509" s="46" t="n">
        <x:v>19</x:v>
      </x:c>
      <x:c r="H509" s="61" t="n">
        <x:v>48.585875</x:v>
      </x:c>
      <x:c r="I509" s="52" t="n">
        <x:v>0.975</x:v>
      </x:c>
      <x:c r="J509" s="52" t="n">
        <x:v>0.7122003051298345</x:v>
      </x:c>
      <x:c r="K509" s="60" t="n">
        <x:v>3869.2</x:v>
      </x:c>
      <x:c r="L509" s="60" t="n">
        <x:v>17.67</x:v>
      </x:c>
      <x:c r="M509" s="50" t="n">
        <x:v>78</x:v>
      </x:c>
      <x:c r="N509" s="50" t="n">
        <x:v>2</x:v>
      </x:c>
      <x:c r="O509" s="50" t="n">
        <x:v>128</x:v>
      </x:c>
      <x:c r="P509" s="50" t="n">
        <x:v>22</x:v>
      </x:c>
    </x:row>
    <x:row r="510" ht="36" customHeight="1">
      <x:c r="A510" s="53" t="n">
        <x:v>491</x:v>
      </x:c>
      <x:c r="B510" s="53" t="n">
        <x:v>1</x:v>
      </x:c>
      <x:c r="C510" s="40" t="str">
        <x:v>High-Value Frequent Shoppers</x:v>
      </x:c>
      <x:c r="D510" s="60" t="n">
        <x:v>4835.71</x:v>
      </x:c>
      <x:c r="E510" s="50" t="n">
        <x:v>124</x:v>
      </x:c>
      <x:c r="F510" s="46" t="n">
        <x:v>5.636363636363637</x:v>
      </x:c>
      <x:c r="G510" s="46" t="n">
        <x:v>2</x:v>
      </x:c>
      <x:c r="H510" s="61" t="n">
        <x:v>38.997661290322576</x:v>
      </x:c>
      <x:c r="I510" s="52" t="n">
        <x:v>0.8548387096774193</x:v>
      </x:c>
      <x:c r="J510" s="52" t="n">
        <x:v>0.4339962487411362</x:v>
      </x:c>
      <x:c r="K510" s="60" t="n">
        <x:v>4679.94</x:v>
      </x:c>
      <x:c r="L510" s="60" t="n">
        <x:v>155.77</x:v>
      </x:c>
      <x:c r="M510" s="50" t="n">
        <x:v>106</x:v>
      </x:c>
      <x:c r="N510" s="50" t="n">
        <x:v>18</x:v>
      </x:c>
      <x:c r="O510" s="50" t="n">
        <x:v>154</x:v>
      </x:c>
      <x:c r="P510" s="50" t="n">
        <x:v>22</x:v>
      </x:c>
    </x:row>
    <x:row r="511" ht="36" customHeight="1">
      <x:c r="A511" s="53" t="n">
        <x:v>492</x:v>
      </x:c>
      <x:c r="B511" s="53" t="n">
        <x:v>2</x:v>
      </x:c>
      <x:c r="C511" s="40" t="str">
        <x:v>Large-Basket Occasional Shoppers</x:v>
      </x:c>
      <x:c r="D511" s="60" t="n">
        <x:v>7148.28</x:v>
      </x:c>
      <x:c r="E511" s="50" t="n">
        <x:v>117</x:v>
      </x:c>
      <x:c r="F511" s="46" t="n">
        <x:v>6.5</x:v>
      </x:c>
      <x:c r="G511" s="46" t="n">
        <x:v>78</x:v>
      </x:c>
      <x:c r="H511" s="61" t="n">
        <x:v>61.09641025641026</x:v>
      </x:c>
      <x:c r="I511" s="52" t="n">
        <x:v>0.9658119658119658</x:v>
      </x:c>
      <x:c r="J511" s="52" t="n">
        <x:v>0.6280168096381227</x:v>
      </x:c>
      <x:c r="K511" s="60" t="n">
        <x:v>7097.27</x:v>
      </x:c>
      <x:c r="L511" s="60" t="n">
        <x:v>51.01</x:v>
      </x:c>
      <x:c r="M511" s="50" t="n">
        <x:v>113</x:v>
      </x:c>
      <x:c r="N511" s="50" t="n">
        <x:v>4</x:v>
      </x:c>
      <x:c r="O511" s="50" t="n">
        <x:v>156</x:v>
      </x:c>
      <x:c r="P511" s="50" t="n">
        <x:v>18</x:v>
      </x:c>
    </x:row>
    <x:row r="512" ht="36" customHeight="1">
      <x:c r="A512" s="53" t="n">
        <x:v>493</x:v>
      </x:c>
      <x:c r="B512" s="53" t="n">
        <x:v>1</x:v>
      </x:c>
      <x:c r="C512" s="40" t="str">
        <x:v>High-Value Frequent Shoppers</x:v>
      </x:c>
      <x:c r="D512" s="60" t="n">
        <x:v>4925.56</x:v>
      </x:c>
      <x:c r="E512" s="50" t="n">
        <x:v>196</x:v>
      </x:c>
      <x:c r="F512" s="46" t="n">
        <x:v>8.909090909090908</x:v>
      </x:c>
      <x:c r="G512" s="46" t="n">
        <x:v>3</x:v>
      </x:c>
      <x:c r="H512" s="61" t="n">
        <x:v>25.130408163265304</x:v>
      </x:c>
      <x:c r="I512" s="52" t="n">
        <x:v>0.9132653061224488</x:v>
      </x:c>
      <x:c r="J512" s="52" t="n">
        <x:v>0.5311111832969246</x:v>
      </x:c>
      <x:c r="K512" s="60" t="n">
        <x:v>4797.4</x:v>
      </x:c>
      <x:c r="L512" s="60" t="n">
        <x:v>128.16</x:v>
      </x:c>
      <x:c r="M512" s="50" t="n">
        <x:v>179</x:v>
      </x:c>
      <x:c r="N512" s="50" t="n">
        <x:v>17</x:v>
      </x:c>
      <x:c r="O512" s="50" t="n">
        <x:v>148</x:v>
      </x:c>
      <x:c r="P512" s="50" t="n">
        <x:v>22</x:v>
      </x:c>
    </x:row>
    <x:row r="513" ht="36" customHeight="1">
      <x:c r="A513" s="53" t="n">
        <x:v>494</x:v>
      </x:c>
      <x:c r="B513" s="53" t="n">
        <x:v>3</x:v>
      </x:c>
      <x:c r="C513" s="40" t="str">
        <x:v>Low-Value Low-Engagement Shoppers</x:v>
      </x:c>
      <x:c r="D513" s="60" t="n">
        <x:v>8.17</x:v>
      </x:c>
      <x:c r="E513" s="50" t="n">
        <x:v>1</x:v>
      </x:c>
      <x:c r="F513" s="46" t="n">
        <x:v>1</x:v>
      </x:c>
      <x:c r="G513" s="46" t="n">
        <x:v>617</x:v>
      </x:c>
      <x:c r="H513" s="61" t="n">
        <x:v>8.17</x:v>
      </x:c>
      <x:c r="I513" s="52" t="n">
        <x:v>1</x:v>
      </x:c>
      <x:c r="J513" s="52" t="n">
        <x:v>0.1640146878824969</x:v>
      </x:c>
      <x:c r="K513" s="60" t="n">
        <x:v>8.17</x:v>
      </x:c>
      <x:c r="L513" s="60" t="n">
        <x:v>0</x:v>
      </x:c>
      <x:c r="M513" s="50" t="n">
        <x:v>1</x:v>
      </x:c>
      <x:c r="N513" s="50" t="n">
        <x:v>0</x:v>
      </x:c>
      <x:c r="O513" s="50" t="n">
        <x:v>4</x:v>
      </x:c>
      <x:c r="P513" s="50" t="n">
        <x:v>1</x:v>
      </x:c>
    </x:row>
    <x:row r="514" ht="36" customHeight="1">
      <x:c r="A514" s="53" t="n">
        <x:v>495</x:v>
      </x:c>
      <x:c r="B514" s="53" t="n">
        <x:v>2</x:v>
      </x:c>
      <x:c r="C514" s="40" t="str">
        <x:v>Large-Basket Occasional Shoppers</x:v>
      </x:c>
      <x:c r="D514" s="60" t="n">
        <x:v>3050.52</x:v>
      </x:c>
      <x:c r="E514" s="50" t="n">
        <x:v>73</x:v>
      </x:c>
      <x:c r="F514" s="46" t="n">
        <x:v>3.842105263157895</x:v>
      </x:c>
      <x:c r="G514" s="46" t="n">
        <x:v>29</x:v>
      </x:c>
      <x:c r="H514" s="61" t="n">
        <x:v>41.787945205479446</x:v>
      </x:c>
      <x:c r="I514" s="52" t="n">
        <x:v>0.8630136986301369</x:v>
      </x:c>
      <x:c r="J514" s="52" t="n">
        <x:v>0.6359800951968844</x:v>
      </x:c>
      <x:c r="K514" s="60" t="n">
        <x:v>2963.58</x:v>
      </x:c>
      <x:c r="L514" s="60" t="n">
        <x:v>86.94</x:v>
      </x:c>
      <x:c r="M514" s="50" t="n">
        <x:v>63</x:v>
      </x:c>
      <x:c r="N514" s="50" t="n">
        <x:v>10</x:v>
      </x:c>
      <x:c r="O514" s="50" t="n">
        <x:v>139</x:v>
      </x:c>
      <x:c r="P514" s="50" t="n">
        <x:v>19</x:v>
      </x:c>
    </x:row>
    <x:row r="515" ht="36" customHeight="1">
      <x:c r="A515" s="53" t="n">
        <x:v>496</x:v>
      </x:c>
      <x:c r="B515" s="53" t="n">
        <x:v>2</x:v>
      </x:c>
      <x:c r="C515" s="40" t="str">
        <x:v>Large-Basket Occasional Shoppers</x:v>
      </x:c>
      <x:c r="D515" s="60" t="n">
        <x:v>648.4</x:v>
      </x:c>
      <x:c r="E515" s="50" t="n">
        <x:v>13</x:v>
      </x:c>
      <x:c r="F515" s="46" t="n">
        <x:v>1.4444444444444444</x:v>
      </x:c>
      <x:c r="G515" s="46" t="n">
        <x:v>59</x:v>
      </x:c>
      <x:c r="H515" s="61" t="n">
        <x:v>49.87692307692308</x:v>
      </x:c>
      <x:c r="I515" s="52" t="n">
        <x:v>0.923076923076923</x:v>
      </x:c>
      <x:c r="J515" s="52" t="n">
        <x:v>0.5280382479950647</x:v>
      </x:c>
      <x:c r="K515" s="60" t="n">
        <x:v>642.41</x:v>
      </x:c>
      <x:c r="L515" s="60" t="n">
        <x:v>5.99</x:v>
      </x:c>
      <x:c r="M515" s="50" t="n">
        <x:v>12</x:v>
      </x:c>
      <x:c r="N515" s="50" t="n">
        <x:v>1</x:v>
      </x:c>
      <x:c r="O515" s="50" t="n">
        <x:v>54</x:v>
      </x:c>
      <x:c r="P515" s="50" t="n">
        <x:v>9</x:v>
      </x:c>
    </x:row>
    <x:row r="516" ht="36" customHeight="1">
      <x:c r="A516" s="53" t="n">
        <x:v>497</x:v>
      </x:c>
      <x:c r="B516" s="53" t="n">
        <x:v>3</x:v>
      </x:c>
      <x:c r="C516" s="40" t="str">
        <x:v>Low-Value Low-Engagement Shoppers</x:v>
      </x:c>
      <x:c r="D516" s="60" t="n">
        <x:v>766.4</x:v>
      </x:c>
      <x:c r="E516" s="50" t="n">
        <x:v>62</x:v>
      </x:c>
      <x:c r="F516" s="46" t="n">
        <x:v>3.1</x:v>
      </x:c>
      <x:c r="G516" s="46" t="n">
        <x:v>8</x:v>
      </x:c>
      <x:c r="H516" s="61" t="n">
        <x:v>12.361290322580643</x:v>
      </x:c>
      <x:c r="I516" s="52" t="n">
        <x:v>0.8225806451612903</x:v>
      </x:c>
      <x:c r="J516" s="52" t="n">
        <x:v>0.5611299582463465</x:v>
      </x:c>
      <x:c r="K516" s="60" t="n">
        <x:v>723.21</x:v>
      </x:c>
      <x:c r="L516" s="60" t="n">
        <x:v>43.19</x:v>
      </x:c>
      <x:c r="M516" s="50" t="n">
        <x:v>51</x:v>
      </x:c>
      <x:c r="N516" s="50" t="n">
        <x:v>11</x:v>
      </x:c>
      <x:c r="O516" s="50" t="n">
        <x:v>78</x:v>
      </x:c>
      <x:c r="P516" s="50" t="n">
        <x:v>20</x:v>
      </x:c>
    </x:row>
    <x:row r="517" ht="36" customHeight="1">
      <x:c r="A517" s="53" t="n">
        <x:v>498</x:v>
      </x:c>
      <x:c r="B517" s="53" t="n">
        <x:v>3</x:v>
      </x:c>
      <x:c r="C517" s="40" t="str">
        <x:v>Low-Value Low-Engagement Shoppers</x:v>
      </x:c>
      <x:c r="D517" s="60" t="n">
        <x:v>904.18</x:v>
      </x:c>
      <x:c r="E517" s="50" t="n">
        <x:v>58</x:v>
      </x:c>
      <x:c r="F517" s="46" t="n">
        <x:v>4.142857142857143</x:v>
      </x:c>
      <x:c r="G517" s="46" t="n">
        <x:v>1</x:v>
      </x:c>
      <x:c r="H517" s="61" t="n">
        <x:v>15.589310344827586</x:v>
      </x:c>
      <x:c r="I517" s="52" t="n">
        <x:v>0.8275862068965517</x:v>
      </x:c>
      <x:c r="J517" s="52" t="n">
        <x:v>0.4817071821982348</x:v>
      </x:c>
      <x:c r="K517" s="60" t="n">
        <x:v>825.51</x:v>
      </x:c>
      <x:c r="L517" s="60" t="n">
        <x:v>78.67</x:v>
      </x:c>
      <x:c r="M517" s="50" t="n">
        <x:v>48</x:v>
      </x:c>
      <x:c r="N517" s="50" t="n">
        <x:v>10</x:v>
      </x:c>
      <x:c r="O517" s="50" t="n">
        <x:v>103</x:v>
      </x:c>
      <x:c r="P517" s="50" t="n">
        <x:v>14</x:v>
      </x:c>
    </x:row>
    <x:row r="518" ht="36" customHeight="1">
      <x:c r="A518" s="53" t="n">
        <x:v>499</x:v>
      </x:c>
      <x:c r="B518" s="53" t="n">
        <x:v>3</x:v>
      </x:c>
      <x:c r="C518" s="40" t="str">
        <x:v>Low-Value Low-Engagement Shoppers</x:v>
      </x:c>
      <x:c r="D518" s="60" t="n">
        <x:v>753.36</x:v>
      </x:c>
      <x:c r="E518" s="50" t="n">
        <x:v>70</x:v>
      </x:c>
      <x:c r="F518" s="46" t="n">
        <x:v>10</x:v>
      </x:c>
      <x:c r="G518" s="46" t="n">
        <x:v>167</x:v>
      </x:c>
      <x:c r="H518" s="61" t="n">
        <x:v>10.762285714285714</x:v>
      </x:c>
      <x:c r="I518" s="52" t="n">
        <x:v>0.8285714285714285</x:v>
      </x:c>
      <x:c r="J518" s="52" t="n">
        <x:v>0.5417463098651375</x:v>
      </x:c>
      <x:c r="K518" s="60" t="n">
        <x:v>707.27</x:v>
      </x:c>
      <x:c r="L518" s="60" t="n">
        <x:v>46.09</x:v>
      </x:c>
      <x:c r="M518" s="50" t="n">
        <x:v>58</x:v>
      </x:c>
      <x:c r="N518" s="50" t="n">
        <x:v>12</x:v>
      </x:c>
      <x:c r="O518" s="50" t="n">
        <x:v>81</x:v>
      </x:c>
      <x:c r="P518" s="50" t="n">
        <x:v>7</x:v>
      </x:c>
    </x:row>
    <x:row r="519" ht="36" customHeight="1">
      <x:c r="A519" s="53" t="n">
        <x:v>500</x:v>
      </x:c>
      <x:c r="B519" s="53" t="n">
        <x:v>3</x:v>
      </x:c>
      <x:c r="C519" s="40" t="str">
        <x:v>Low-Value Low-Engagement Shoppers</x:v>
      </x:c>
      <x:c r="D519" s="60" t="n">
        <x:v>84.82</x:v>
      </x:c>
      <x:c r="E519" s="50" t="n">
        <x:v>5</x:v>
      </x:c>
      <x:c r="F519" s="46" t="n">
        <x:v>1.25</x:v>
      </x:c>
      <x:c r="G519" s="46" t="n">
        <x:v>258</x:v>
      </x:c>
      <x:c r="H519" s="61" t="n">
        <x:v>16.964</x:v>
      </x:c>
      <x:c r="I519" s="52" t="n">
        <x:v>0.4</x:v>
      </x:c>
      <x:c r="J519" s="52" t="n">
        <x:v>0.2506484319735911</x:v>
      </x:c>
      <x:c r="K519" s="60" t="n">
        <x:v>68.6</x:v>
      </x:c>
      <x:c r="L519" s="60" t="n">
        <x:v>16.22</x:v>
      </x:c>
      <x:c r="M519" s="50" t="n">
        <x:v>2</x:v>
      </x:c>
      <x:c r="N519" s="50" t="n">
        <x:v>3</x:v>
      </x:c>
      <x:c r="O519" s="50" t="n">
        <x:v>19</x:v>
      </x:c>
      <x:c r="P519" s="50" t="n">
        <x:v>4</x:v>
      </x:c>
    </x:row>
    <x:row r="520" ht="36" customHeight="1">
      <x:c r="A520" s="53" t="n">
        <x:v>501</x:v>
      </x:c>
      <x:c r="B520" s="53" t="n">
        <x:v>2</x:v>
      </x:c>
      <x:c r="C520" s="40" t="str">
        <x:v>Large-Basket Occasional Shoppers</x:v>
      </x:c>
      <x:c r="D520" s="60" t="n">
        <x:v>478.13</x:v>
      </x:c>
      <x:c r="E520" s="50" t="n">
        <x:v>22</x:v>
      </x:c>
      <x:c r="F520" s="46" t="n">
        <x:v>1.8333333333333333</x:v>
      </x:c>
      <x:c r="G520" s="46" t="n">
        <x:v>16</x:v>
      </x:c>
      <x:c r="H520" s="61" t="n">
        <x:v>21.733181818181816</x:v>
      </x:c>
      <x:c r="I520" s="52" t="n">
        <x:v>0.909090909090909</x:v>
      </x:c>
      <x:c r="J520" s="52" t="n">
        <x:v>0.5059084349444711</x:v>
      </x:c>
      <x:c r="K520" s="60" t="n">
        <x:v>457.16</x:v>
      </x:c>
      <x:c r="L520" s="60" t="n">
        <x:v>20.97</x:v>
      </x:c>
      <x:c r="M520" s="50" t="n">
        <x:v>20</x:v>
      </x:c>
      <x:c r="N520" s="50" t="n">
        <x:v>2</x:v>
      </x:c>
      <x:c r="O520" s="50" t="n">
        <x:v>65</x:v>
      </x:c>
      <x:c r="P520" s="50" t="n">
        <x:v>12</x:v>
      </x:c>
    </x:row>
    <x:row r="521" ht="36" customHeight="1">
      <x:c r="A521" s="53" t="n">
        <x:v>502</x:v>
      </x:c>
      <x:c r="B521" s="53" t="n">
        <x:v>2</x:v>
      </x:c>
      <x:c r="C521" s="40" t="str">
        <x:v>Large-Basket Occasional Shoppers</x:v>
      </x:c>
      <x:c r="D521" s="60" t="n">
        <x:v>2298.84</x:v>
      </x:c>
      <x:c r="E521" s="50" t="n">
        <x:v>56</x:v>
      </x:c>
      <x:c r="F521" s="46" t="n">
        <x:v>3.5</x:v>
      </x:c>
      <x:c r="G521" s="46" t="n">
        <x:v>9</x:v>
      </x:c>
      <x:c r="H521" s="61" t="n">
        <x:v>41.050714285714285</x:v>
      </x:c>
      <x:c r="I521" s="52" t="n">
        <x:v>0.9107142857142856</x:v>
      </x:c>
      <x:c r="J521" s="52" t="n">
        <x:v>0.4931748186041655</x:v>
      </x:c>
      <x:c r="K521" s="60" t="n">
        <x:v>2265.83</x:v>
      </x:c>
      <x:c r="L521" s="60" t="n">
        <x:v>33.01</x:v>
      </x:c>
      <x:c r="M521" s="50" t="n">
        <x:v>51</x:v>
      </x:c>
      <x:c r="N521" s="50" t="n">
        <x:v>5</x:v>
      </x:c>
      <x:c r="O521" s="50" t="n">
        <x:v>122</x:v>
      </x:c>
      <x:c r="P521" s="50" t="n">
        <x:v>16</x:v>
      </x:c>
    </x:row>
    <x:row r="522" ht="36" customHeight="1">
      <x:c r="A522" s="53" t="n">
        <x:v>503</x:v>
      </x:c>
      <x:c r="B522" s="53" t="n">
        <x:v>1</x:v>
      </x:c>
      <x:c r="C522" s="40" t="str">
        <x:v>High-Value Frequent Shoppers</x:v>
      </x:c>
      <x:c r="D522" s="60" t="n">
        <x:v>4723.8</x:v>
      </x:c>
      <x:c r="E522" s="50" t="n">
        <x:v>151</x:v>
      </x:c>
      <x:c r="F522" s="46" t="n">
        <x:v>6.863636363636364</x:v>
      </x:c>
      <x:c r="G522" s="46" t="n">
        <x:v>1</x:v>
      </x:c>
      <x:c r="H522" s="61" t="n">
        <x:v>31.283443708609276</x:v>
      </x:c>
      <x:c r="I522" s="52" t="n">
        <x:v>0.8609271523178808</x:v>
      </x:c>
      <x:c r="J522" s="52" t="n">
        <x:v>0.4566281383631821</x:v>
      </x:c>
      <x:c r="K522" s="60" t="n">
        <x:v>4512.39</x:v>
      </x:c>
      <x:c r="L522" s="60" t="n">
        <x:v>211.41</x:v>
      </x:c>
      <x:c r="M522" s="50" t="n">
        <x:v>130</x:v>
      </x:c>
      <x:c r="N522" s="50" t="n">
        <x:v>21</x:v>
      </x:c>
      <x:c r="O522" s="50" t="n">
        <x:v>187</x:v>
      </x:c>
      <x:c r="P522" s="50" t="n">
        <x:v>22</x:v>
      </x:c>
    </x:row>
    <x:row r="523" ht="36" customHeight="1">
      <x:c r="A523" s="53" t="n">
        <x:v>504</x:v>
      </x:c>
      <x:c r="B523" s="53" t="n">
        <x:v>2</x:v>
      </x:c>
      <x:c r="C523" s="40" t="str">
        <x:v>Large-Basket Occasional Shoppers</x:v>
      </x:c>
      <x:c r="D523" s="60" t="n">
        <x:v>516.34</x:v>
      </x:c>
      <x:c r="E523" s="50" t="n">
        <x:v>7</x:v>
      </x:c>
      <x:c r="F523" s="46" t="n">
        <x:v>1.1666666666666667</x:v>
      </x:c>
      <x:c r="G523" s="46" t="n">
        <x:v>91</x:v>
      </x:c>
      <x:c r="H523" s="61" t="n">
        <x:v>73.76285714285713</x:v>
      </x:c>
      <x:c r="I523" s="52" t="n">
        <x:v>1</x:v>
      </x:c>
      <x:c r="J523" s="52" t="n">
        <x:v>0.6100825037765814</x:v>
      </x:c>
      <x:c r="K523" s="60" t="n">
        <x:v>516.34</x:v>
      </x:c>
      <x:c r="L523" s="60" t="n">
        <x:v>0</x:v>
      </x:c>
      <x:c r="M523" s="50" t="n">
        <x:v>7</x:v>
      </x:c>
      <x:c r="N523" s="50" t="n">
        <x:v>0</x:v>
      </x:c>
      <x:c r="O523" s="50" t="n">
        <x:v>77</x:v>
      </x:c>
      <x:c r="P523" s="50" t="n">
        <x:v>6</x:v>
      </x:c>
    </x:row>
    <x:row r="524" ht="36" customHeight="1">
      <x:c r="A524" s="53" t="n">
        <x:v>505</x:v>
      </x:c>
      <x:c r="B524" s="53" t="n">
        <x:v>3</x:v>
      </x:c>
      <x:c r="C524" s="40" t="str">
        <x:v>Low-Value Low-Engagement Shoppers</x:v>
      </x:c>
      <x:c r="D524" s="60" t="n">
        <x:v>188.54</x:v>
      </x:c>
      <x:c r="E524" s="50" t="n">
        <x:v>18</x:v>
      </x:c>
      <x:c r="F524" s="46" t="n">
        <x:v>1.8</x:v>
      </x:c>
      <x:c r="G524" s="46" t="n">
        <x:v>7</x:v>
      </x:c>
      <x:c r="H524" s="61" t="n">
        <x:v>10.474444444444444</x:v>
      </x:c>
      <x:c r="I524" s="52" t="n">
        <x:v>0.8888888888888888</x:v>
      </x:c>
      <x:c r="J524" s="52" t="n">
        <x:v>0.7048902089742229</x:v>
      </x:c>
      <x:c r="K524" s="60" t="n">
        <x:v>180.21</x:v>
      </x:c>
      <x:c r="L524" s="60" t="n">
        <x:v>8.33</x:v>
      </x:c>
      <x:c r="M524" s="50" t="n">
        <x:v>16</x:v>
      </x:c>
      <x:c r="N524" s="50" t="n">
        <x:v>2</x:v>
      </x:c>
      <x:c r="O524" s="50" t="n">
        <x:v>24</x:v>
      </x:c>
      <x:c r="P524" s="50" t="n">
        <x:v>10</x:v>
      </x:c>
    </x:row>
    <x:row r="525" ht="36" customHeight="1">
      <x:c r="A525" s="53" t="n">
        <x:v>506</x:v>
      </x:c>
      <x:c r="B525" s="53" t="n">
        <x:v>2</x:v>
      </x:c>
      <x:c r="C525" s="40" t="str">
        <x:v>Large-Basket Occasional Shoppers</x:v>
      </x:c>
      <x:c r="D525" s="60" t="n">
        <x:v>1254.17</x:v>
      </x:c>
      <x:c r="E525" s="50" t="n">
        <x:v>32</x:v>
      </x:c>
      <x:c r="F525" s="46" t="n">
        <x:v>1.8823529411764703</x:v>
      </x:c>
      <x:c r="G525" s="46" t="n">
        <x:v>1</x:v>
      </x:c>
      <x:c r="H525" s="61" t="n">
        <x:v>39.1928125</x:v>
      </x:c>
      <x:c r="I525" s="52" t="n">
        <x:v>0.90625</x:v>
      </x:c>
      <x:c r="J525" s="52" t="n">
        <x:v>0.4975242590717366</x:v>
      </x:c>
      <x:c r="K525" s="60" t="n">
        <x:v>1193.56</x:v>
      </x:c>
      <x:c r="L525" s="60" t="n">
        <x:v>60.61</x:v>
      </x:c>
      <x:c r="M525" s="50" t="n">
        <x:v>29</x:v>
      </x:c>
      <x:c r="N525" s="50" t="n">
        <x:v>3</x:v>
      </x:c>
      <x:c r="O525" s="50" t="n">
        <x:v>111</x:v>
      </x:c>
      <x:c r="P525" s="50" t="n">
        <x:v>17</x:v>
      </x:c>
    </x:row>
    <x:row r="526" ht="36" customHeight="1">
      <x:c r="A526" s="53" t="n">
        <x:v>507</x:v>
      </x:c>
      <x:c r="B526" s="53" t="n">
        <x:v>2</x:v>
      </x:c>
      <x:c r="C526" s="40" t="str">
        <x:v>Large-Basket Occasional Shoppers</x:v>
      </x:c>
      <x:c r="D526" s="60" t="n">
        <x:v>1455.43</x:v>
      </x:c>
      <x:c r="E526" s="50" t="n">
        <x:v>66</x:v>
      </x:c>
      <x:c r="F526" s="46" t="n">
        <x:v>3.142857142857143</x:v>
      </x:c>
      <x:c r="G526" s="46" t="n">
        <x:v>19</x:v>
      </x:c>
      <x:c r="H526" s="61" t="n">
        <x:v>22.051969696969696</x:v>
      </x:c>
      <x:c r="I526" s="52" t="n">
        <x:v>0.8787878787878787</x:v>
      </x:c>
      <x:c r="J526" s="52" t="n">
        <x:v>0.6266051957153554</x:v>
      </x:c>
      <x:c r="K526" s="60" t="n">
        <x:v>1409.65</x:v>
      </x:c>
      <x:c r="L526" s="60" t="n">
        <x:v>45.78</x:v>
      </x:c>
      <x:c r="M526" s="50" t="n">
        <x:v>58</x:v>
      </x:c>
      <x:c r="N526" s="50" t="n">
        <x:v>8</x:v>
      </x:c>
      <x:c r="O526" s="50" t="n">
        <x:v>98</x:v>
      </x:c>
      <x:c r="P526" s="50" t="n">
        <x:v>21</x:v>
      </x:c>
    </x:row>
    <x:row r="527" ht="36" customHeight="1">
      <x:c r="A527" s="53" t="n">
        <x:v>508</x:v>
      </x:c>
      <x:c r="B527" s="53" t="n">
        <x:v>3</x:v>
      </x:c>
      <x:c r="C527" s="40" t="str">
        <x:v>Low-Value Low-Engagement Shoppers</x:v>
      </x:c>
      <x:c r="D527" s="60" t="n">
        <x:v>1190.51</x:v>
      </x:c>
      <x:c r="E527" s="50" t="n">
        <x:v>55</x:v>
      </x:c>
      <x:c r="F527" s="46" t="n">
        <x:v>3.6666666666666665</x:v>
      </x:c>
      <x:c r="G527" s="46" t="n">
        <x:v>19</x:v>
      </x:c>
      <x:c r="H527" s="61" t="n">
        <x:v>21.645636363636363</x:v>
      </x:c>
      <x:c r="I527" s="52" t="n">
        <x:v>0.8</x:v>
      </x:c>
      <x:c r="J527" s="52" t="n">
        <x:v>0.4714618104845822</x:v>
      </x:c>
      <x:c r="K527" s="60" t="n">
        <x:v>1085.56</x:v>
      </x:c>
      <x:c r="L527" s="60" t="n">
        <x:v>104.95</x:v>
      </x:c>
      <x:c r="M527" s="50" t="n">
        <x:v>44</x:v>
      </x:c>
      <x:c r="N527" s="50" t="n">
        <x:v>11</x:v>
      </x:c>
      <x:c r="O527" s="50" t="n">
        <x:v>93</x:v>
      </x:c>
      <x:c r="P527" s="50" t="n">
        <x:v>15</x:v>
      </x:c>
    </x:row>
    <x:row r="528" ht="36" customHeight="1">
      <x:c r="A528" s="53" t="n">
        <x:v>509</x:v>
      </x:c>
      <x:c r="B528" s="53" t="n">
        <x:v>3</x:v>
      </x:c>
      <x:c r="C528" s="40" t="str">
        <x:v>Low-Value Low-Engagement Shoppers</x:v>
      </x:c>
      <x:c r="D528" s="60" t="n">
        <x:v>277.14</x:v>
      </x:c>
      <x:c r="E528" s="50" t="n">
        <x:v>16</x:v>
      </x:c>
      <x:c r="F528" s="46" t="n">
        <x:v>1.3333333333333333</x:v>
      </x:c>
      <x:c r="G528" s="46" t="n">
        <x:v>144</x:v>
      </x:c>
      <x:c r="H528" s="61" t="n">
        <x:v>17.32125</x:v>
      </x:c>
      <x:c r="I528" s="52" t="n">
        <x:v>0.6875</x:v>
      </x:c>
      <x:c r="J528" s="52" t="n">
        <x:v>0.2449664429530201</x:v>
      </x:c>
      <x:c r="K528" s="60" t="n">
        <x:v>196.74</x:v>
      </x:c>
      <x:c r="L528" s="60" t="n">
        <x:v>80.4</x:v>
      </x:c>
      <x:c r="M528" s="50" t="n">
        <x:v>11</x:v>
      </x:c>
      <x:c r="N528" s="50" t="n">
        <x:v>5</x:v>
      </x:c>
      <x:c r="O528" s="50" t="n">
        <x:v>34</x:v>
      </x:c>
      <x:c r="P528" s="50" t="n">
        <x:v>12</x:v>
      </x:c>
    </x:row>
    <x:row r="529" ht="36" customHeight="1">
      <x:c r="A529" s="53" t="n">
        <x:v>510</x:v>
      </x:c>
      <x:c r="B529" s="53" t="n">
        <x:v>1</x:v>
      </x:c>
      <x:c r="C529" s="40" t="str">
        <x:v>High-Value Frequent Shoppers</x:v>
      </x:c>
      <x:c r="D529" s="60" t="n">
        <x:v>7903.36</x:v>
      </x:c>
      <x:c r="E529" s="50" t="n">
        <x:v>345</x:v>
      </x:c>
      <x:c r="F529" s="46" t="n">
        <x:v>15.68181818181818</x:v>
      </x:c>
      <x:c r="G529" s="46" t="n">
        <x:v>4</x:v>
      </x:c>
      <x:c r="H529" s="61" t="n">
        <x:v>22.908289855072464</x:v>
      </x:c>
      <x:c r="I529" s="52" t="n">
        <x:v>0.7710144927536231</x:v>
      </x:c>
      <x:c r="J529" s="52" t="n">
        <x:v>0.4953791805004453</x:v>
      </x:c>
      <x:c r="K529" s="60" t="n">
        <x:v>7248.16</x:v>
      </x:c>
      <x:c r="L529" s="60" t="n">
        <x:v>655.2</x:v>
      </x:c>
      <x:c r="M529" s="50" t="n">
        <x:v>266</x:v>
      </x:c>
      <x:c r="N529" s="50" t="n">
        <x:v>79</x:v>
      </x:c>
      <x:c r="O529" s="50" t="n">
        <x:v>190</x:v>
      </x:c>
      <x:c r="P529" s="50" t="n">
        <x:v>22</x:v>
      </x:c>
    </x:row>
    <x:row r="530" ht="36" customHeight="1">
      <x:c r="A530" s="53" t="n">
        <x:v>511</x:v>
      </x:c>
      <x:c r="B530" s="53" t="n">
        <x:v>1</x:v>
      </x:c>
      <x:c r="C530" s="40" t="str">
        <x:v>High-Value Frequent Shoppers</x:v>
      </x:c>
      <x:c r="D530" s="60" t="n">
        <x:v>5425.53</x:v>
      </x:c>
      <x:c r="E530" s="50" t="n">
        <x:v>372</x:v>
      </x:c>
      <x:c r="F530" s="46" t="n">
        <x:v>15.5</x:v>
      </x:c>
      <x:c r="G530" s="46" t="n">
        <x:v>0</x:v>
      </x:c>
      <x:c r="H530" s="61" t="n">
        <x:v>14.584758064516128</x:v>
      </x:c>
      <x:c r="I530" s="52" t="n">
        <x:v>0.8064516129032258</x:v>
      </x:c>
      <x:c r="J530" s="52" t="n">
        <x:v>0.5522114890158196</x:v>
      </x:c>
      <x:c r="K530" s="60" t="n">
        <x:v>4467.91</x:v>
      </x:c>
      <x:c r="L530" s="60" t="n">
        <x:v>957.62</x:v>
      </x:c>
      <x:c r="M530" s="50" t="n">
        <x:v>300</x:v>
      </x:c>
      <x:c r="N530" s="50" t="n">
        <x:v>72</x:v>
      </x:c>
      <x:c r="O530" s="50" t="n">
        <x:v>116</x:v>
      </x:c>
      <x:c r="P530" s="50" t="n">
        <x:v>24</x:v>
      </x:c>
    </x:row>
    <x:row r="531" ht="36" customHeight="1">
      <x:c r="A531" s="53" t="n">
        <x:v>512</x:v>
      </x:c>
      <x:c r="B531" s="53" t="n">
        <x:v>2</x:v>
      </x:c>
      <x:c r="C531" s="40" t="str">
        <x:v>Large-Basket Occasional Shoppers</x:v>
      </x:c>
      <x:c r="D531" s="60" t="n">
        <x:v>1114.44</x:v>
      </x:c>
      <x:c r="E531" s="50" t="n">
        <x:v>25</x:v>
      </x:c>
      <x:c r="F531" s="46" t="n">
        <x:v>3.125</x:v>
      </x:c>
      <x:c r="G531" s="46" t="n">
        <x:v>5</x:v>
      </x:c>
      <x:c r="H531" s="61" t="n">
        <x:v>44.5776</x:v>
      </x:c>
      <x:c r="I531" s="52" t="n">
        <x:v>1</x:v>
      </x:c>
      <x:c r="J531" s="52" t="n">
        <x:v>0.5462564157783281</x:v>
      </x:c>
      <x:c r="K531" s="60" t="n">
        <x:v>1114.44</x:v>
      </x:c>
      <x:c r="L531" s="60" t="n">
        <x:v>0</x:v>
      </x:c>
      <x:c r="M531" s="50" t="n">
        <x:v>25</x:v>
      </x:c>
      <x:c r="N531" s="50" t="n">
        <x:v>0</x:v>
      </x:c>
      <x:c r="O531" s="50" t="n">
        <x:v>92</x:v>
      </x:c>
      <x:c r="P531" s="50" t="n">
        <x:v>8</x:v>
      </x:c>
    </x:row>
    <x:row r="532" ht="36" customHeight="1">
      <x:c r="A532" s="53" t="n">
        <x:v>513</x:v>
      </x:c>
      <x:c r="B532" s="53" t="n">
        <x:v>1</x:v>
      </x:c>
      <x:c r="C532" s="40" t="str">
        <x:v>High-Value Frequent Shoppers</x:v>
      </x:c>
      <x:c r="D532" s="60" t="n">
        <x:v>12130.01</x:v>
      </x:c>
      <x:c r="E532" s="50" t="n">
        <x:v>161</x:v>
      </x:c>
      <x:c r="F532" s="46" t="n">
        <x:v>6.708333333333333</x:v>
      </x:c>
      <x:c r="G532" s="46" t="n">
        <x:v>6</x:v>
      </x:c>
      <x:c r="H532" s="61" t="n">
        <x:v>75.34167701863353</x:v>
      </x:c>
      <x:c r="I532" s="52" t="n">
        <x:v>0.9627329192546584</x:v>
      </x:c>
      <x:c r="J532" s="52" t="n">
        <x:v>0.4811892158374148</x:v>
      </x:c>
      <x:c r="K532" s="60" t="n">
        <x:v>12022.6</x:v>
      </x:c>
      <x:c r="L532" s="60" t="n">
        <x:v>107.41</x:v>
      </x:c>
      <x:c r="M532" s="50" t="n">
        <x:v>155</x:v>
      </x:c>
      <x:c r="N532" s="50" t="n">
        <x:v>6</x:v>
      </x:c>
      <x:c r="O532" s="50" t="n">
        <x:v>156</x:v>
      </x:c>
      <x:c r="P532" s="50" t="n">
        <x:v>24</x:v>
      </x:c>
    </x:row>
    <x:row r="533" ht="36" customHeight="1">
      <x:c r="A533" s="53" t="n">
        <x:v>514</x:v>
      </x:c>
      <x:c r="B533" s="53" t="n">
        <x:v>2</x:v>
      </x:c>
      <x:c r="C533" s="40" t="str">
        <x:v>Large-Basket Occasional Shoppers</x:v>
      </x:c>
      <x:c r="D533" s="60" t="n">
        <x:v>2339.27</x:v>
      </x:c>
      <x:c r="E533" s="50" t="n">
        <x:v>66</x:v>
      </x:c>
      <x:c r="F533" s="46" t="n">
        <x:v>3.142857142857143</x:v>
      </x:c>
      <x:c r="G533" s="46" t="n">
        <x:v>12</x:v>
      </x:c>
      <x:c r="H533" s="61" t="n">
        <x:v>35.44348484848485</x:v>
      </x:c>
      <x:c r="I533" s="52" t="n">
        <x:v>0.8939393939393939</x:v>
      </x:c>
      <x:c r="J533" s="52" t="n">
        <x:v>0.3016966831532914</x:v>
      </x:c>
      <x:c r="K533" s="60" t="n">
        <x:v>2245.86</x:v>
      </x:c>
      <x:c r="L533" s="60" t="n">
        <x:v>93.41</x:v>
      </x:c>
      <x:c r="M533" s="50" t="n">
        <x:v>59</x:v>
      </x:c>
      <x:c r="N533" s="50" t="n">
        <x:v>7</x:v>
      </x:c>
      <x:c r="O533" s="50" t="n">
        <x:v>100</x:v>
      </x:c>
      <x:c r="P533" s="50" t="n">
        <x:v>21</x:v>
      </x:c>
    </x:row>
    <x:row r="534" ht="36" customHeight="1">
      <x:c r="A534" s="53" t="n">
        <x:v>515</x:v>
      </x:c>
      <x:c r="B534" s="53" t="n">
        <x:v>2</x:v>
      </x:c>
      <x:c r="C534" s="40" t="str">
        <x:v>Large-Basket Occasional Shoppers</x:v>
      </x:c>
      <x:c r="D534" s="60" t="n">
        <x:v>1826.73</x:v>
      </x:c>
      <x:c r="E534" s="50" t="n">
        <x:v>47</x:v>
      </x:c>
      <x:c r="F534" s="46" t="n">
        <x:v>2.7647058823529407</x:v>
      </x:c>
      <x:c r="G534" s="46" t="n">
        <x:v>1</x:v>
      </x:c>
      <x:c r="H534" s="61" t="n">
        <x:v>38.86659574468085</x:v>
      </x:c>
      <x:c r="I534" s="52" t="n">
        <x:v>0.9361702127659574</x:v>
      </x:c>
      <x:c r="J534" s="52" t="n">
        <x:v>0.4540025072123411</x:v>
      </x:c>
      <x:c r="K534" s="60" t="n">
        <x:v>1792.67</x:v>
      </x:c>
      <x:c r="L534" s="60" t="n">
        <x:v>34.06</x:v>
      </x:c>
      <x:c r="M534" s="50" t="n">
        <x:v>44</x:v>
      </x:c>
      <x:c r="N534" s="50" t="n">
        <x:v>3</x:v>
      </x:c>
      <x:c r="O534" s="50" t="n">
        <x:v>118</x:v>
      </x:c>
      <x:c r="P534" s="50" t="n">
        <x:v>17</x:v>
      </x:c>
    </x:row>
    <x:row r="535" ht="36" customHeight="1">
      <x:c r="A535" s="53" t="n">
        <x:v>516</x:v>
      </x:c>
      <x:c r="B535" s="53" t="n">
        <x:v>3</x:v>
      </x:c>
      <x:c r="C535" s="40" t="str">
        <x:v>Low-Value Low-Engagement Shoppers</x:v>
      </x:c>
      <x:c r="D535" s="60" t="n">
        <x:v>295.23</x:v>
      </x:c>
      <x:c r="E535" s="50" t="n">
        <x:v>17</x:v>
      </x:c>
      <x:c r="F535" s="46" t="n">
        <x:v>1.5454545454545456</x:v>
      </x:c>
      <x:c r="G535" s="46" t="n">
        <x:v>5</x:v>
      </x:c>
      <x:c r="H535" s="61" t="n">
        <x:v>17.366470588235295</x:v>
      </x:c>
      <x:c r="I535" s="52" t="n">
        <x:v>0.6470588235294117</x:v>
      </x:c>
      <x:c r="J535" s="52" t="n">
        <x:v>0.3258815161060867</x:v>
      </x:c>
      <x:c r="K535" s="60" t="n">
        <x:v>266.89</x:v>
      </x:c>
      <x:c r="L535" s="60" t="n">
        <x:v>28.34</x:v>
      </x:c>
      <x:c r="M535" s="50" t="n">
        <x:v>11</x:v>
      </x:c>
      <x:c r="N535" s="50" t="n">
        <x:v>6</x:v>
      </x:c>
      <x:c r="O535" s="50" t="n">
        <x:v>44</x:v>
      </x:c>
      <x:c r="P535" s="50" t="n">
        <x:v>11</x:v>
      </x:c>
    </x:row>
    <x:row r="536" ht="36" customHeight="1">
      <x:c r="A536" s="53" t="n">
        <x:v>517</x:v>
      </x:c>
      <x:c r="B536" s="53" t="n">
        <x:v>1</x:v>
      </x:c>
      <x:c r="C536" s="40" t="str">
        <x:v>High-Value Frequent Shoppers</x:v>
      </x:c>
      <x:c r="D536" s="60" t="n">
        <x:v>3742.89</x:v>
      </x:c>
      <x:c r="E536" s="50" t="n">
        <x:v>105</x:v>
      </x:c>
      <x:c r="F536" s="46" t="n">
        <x:v>4.7727272727272725</x:v>
      </x:c>
      <x:c r="G536" s="46" t="n">
        <x:v>7</x:v>
      </x:c>
      <x:c r="H536" s="61" t="n">
        <x:v>35.64657142857143</x:v>
      </x:c>
      <x:c r="I536" s="52" t="n">
        <x:v>0.8761904761904761</x:v>
      </x:c>
      <x:c r="J536" s="52" t="n">
        <x:v>0.4440151861262286</x:v>
      </x:c>
      <x:c r="K536" s="60" t="n">
        <x:v>3619.63</x:v>
      </x:c>
      <x:c r="L536" s="60" t="n">
        <x:v>123.26</x:v>
      </x:c>
      <x:c r="M536" s="50" t="n">
        <x:v>92</x:v>
      </x:c>
      <x:c r="N536" s="50" t="n">
        <x:v>13</x:v>
      </x:c>
      <x:c r="O536" s="50" t="n">
        <x:v>156</x:v>
      </x:c>
      <x:c r="P536" s="50" t="n">
        <x:v>22</x:v>
      </x:c>
    </x:row>
    <x:row r="537" ht="36" customHeight="1">
      <x:c r="A537" s="53" t="n">
        <x:v>518</x:v>
      </x:c>
      <x:c r="B537" s="53" t="n">
        <x:v>1</x:v>
      </x:c>
      <x:c r="C537" s="40" t="str">
        <x:v>High-Value Frequent Shoppers</x:v>
      </x:c>
      <x:c r="D537" s="60" t="n">
        <x:v>4926.37</x:v>
      </x:c>
      <x:c r="E537" s="50" t="n">
        <x:v>152</x:v>
      </x:c>
      <x:c r="F537" s="46" t="n">
        <x:v>6.909090909090909</x:v>
      </x:c>
      <x:c r="G537" s="46" t="n">
        <x:v>5</x:v>
      </x:c>
      <x:c r="H537" s="61" t="n">
        <x:v>32.41032894736842</x:v>
      </x:c>
      <x:c r="I537" s="52" t="n">
        <x:v>0.9210526315789472</x:v>
      </x:c>
      <x:c r="J537" s="52" t="n">
        <x:v>0.5926290554708639</x:v>
      </x:c>
      <x:c r="K537" s="60" t="n">
        <x:v>4828.92</x:v>
      </x:c>
      <x:c r="L537" s="60" t="n">
        <x:v>97.45</x:v>
      </x:c>
      <x:c r="M537" s="50" t="n">
        <x:v>140</x:v>
      </x:c>
      <x:c r="N537" s="50" t="n">
        <x:v>12</x:v>
      </x:c>
      <x:c r="O537" s="50" t="n">
        <x:v>168</x:v>
      </x:c>
      <x:c r="P537" s="50" t="n">
        <x:v>22</x:v>
      </x:c>
    </x:row>
    <x:row r="538" ht="36" customHeight="1">
      <x:c r="A538" s="53" t="n">
        <x:v>519</x:v>
      </x:c>
      <x:c r="B538" s="53" t="n">
        <x:v>2</x:v>
      </x:c>
      <x:c r="C538" s="40" t="str">
        <x:v>Large-Basket Occasional Shoppers</x:v>
      </x:c>
      <x:c r="D538" s="60" t="n">
        <x:v>819.13</x:v>
      </x:c>
      <x:c r="E538" s="50" t="n">
        <x:v>32</x:v>
      </x:c>
      <x:c r="F538" s="46" t="n">
        <x:v>1.6</x:v>
      </x:c>
      <x:c r="G538" s="46" t="n">
        <x:v>52</x:v>
      </x:c>
      <x:c r="H538" s="61" t="n">
        <x:v>25.5978125</x:v>
      </x:c>
      <x:c r="I538" s="52" t="n">
        <x:v>0.96875</x:v>
      </x:c>
      <x:c r="J538" s="52" t="n">
        <x:v>0.5748660163832358</x:v>
      </x:c>
      <x:c r="K538" s="60" t="n">
        <x:v>815.49</x:v>
      </x:c>
      <x:c r="L538" s="60" t="n">
        <x:v>3.64</x:v>
      </x:c>
      <x:c r="M538" s="50" t="n">
        <x:v>31</x:v>
      </x:c>
      <x:c r="N538" s="50" t="n">
        <x:v>1</x:v>
      </x:c>
      <x:c r="O538" s="50" t="n">
        <x:v>103</x:v>
      </x:c>
      <x:c r="P538" s="50" t="n">
        <x:v>20</x:v>
      </x:c>
    </x:row>
    <x:row r="539" ht="36" customHeight="1">
      <x:c r="A539" s="53" t="n">
        <x:v>520</x:v>
      </x:c>
      <x:c r="B539" s="53" t="n">
        <x:v>1</x:v>
      </x:c>
      <x:c r="C539" s="40" t="str">
        <x:v>High-Value Frequent Shoppers</x:v>
      </x:c>
      <x:c r="D539" s="60" t="n">
        <x:v>2071.15</x:v>
      </x:c>
      <x:c r="E539" s="50" t="n">
        <x:v>112</x:v>
      </x:c>
      <x:c r="F539" s="46" t="n">
        <x:v>5.090909090909091</x:v>
      </x:c>
      <x:c r="G539" s="46" t="n">
        <x:v>0</x:v>
      </x:c>
      <x:c r="H539" s="61" t="n">
        <x:v>18.492410714285715</x:v>
      </x:c>
      <x:c r="I539" s="52" t="n">
        <x:v>0.8839285714285714</x:v>
      </x:c>
      <x:c r="J539" s="52" t="n">
        <x:v>0.5805856649687371</x:v>
      </x:c>
      <x:c r="K539" s="60" t="n">
        <x:v>2009.21</x:v>
      </x:c>
      <x:c r="L539" s="60" t="n">
        <x:v>61.94</x:v>
      </x:c>
      <x:c r="M539" s="50" t="n">
        <x:v>99</x:v>
      </x:c>
      <x:c r="N539" s="50" t="n">
        <x:v>13</x:v>
      </x:c>
      <x:c r="O539" s="50" t="n">
        <x:v>119</x:v>
      </x:c>
      <x:c r="P539" s="50" t="n">
        <x:v>22</x:v>
      </x:c>
    </x:row>
    <x:row r="540" ht="36" customHeight="1">
      <x:c r="A540" s="53" t="n">
        <x:v>521</x:v>
      </x:c>
      <x:c r="B540" s="53" t="n">
        <x:v>3</x:v>
      </x:c>
      <x:c r="C540" s="40" t="str">
        <x:v>Low-Value Low-Engagement Shoppers</x:v>
      </x:c>
      <x:c r="D540" s="60" t="n">
        <x:v>858.8</x:v>
      </x:c>
      <x:c r="E540" s="50" t="n">
        <x:v>53</x:v>
      </x:c>
      <x:c r="F540" s="46" t="n">
        <x:v>2.4090909090909087</x:v>
      </x:c>
      <x:c r="G540" s="46" t="n">
        <x:v>17</x:v>
      </x:c>
      <x:c r="H540" s="61" t="n">
        <x:v>16.20377358490566</x:v>
      </x:c>
      <x:c r="I540" s="52" t="n">
        <x:v>0.7358490566037735</x:v>
      </x:c>
      <x:c r="J540" s="52" t="n">
        <x:v>0.3022356776897997</x:v>
      </x:c>
      <x:c r="K540" s="60" t="n">
        <x:v>697.98</x:v>
      </x:c>
      <x:c r="L540" s="60" t="n">
        <x:v>160.82</x:v>
      </x:c>
      <x:c r="M540" s="50" t="n">
        <x:v>39</x:v>
      </x:c>
      <x:c r="N540" s="50" t="n">
        <x:v>14</x:v>
      </x:c>
      <x:c r="O540" s="50" t="n">
        <x:v>98</x:v>
      </x:c>
      <x:c r="P540" s="50" t="n">
        <x:v>22</x:v>
      </x:c>
    </x:row>
    <x:row r="541" ht="36" customHeight="1">
      <x:c r="A541" s="53" t="n">
        <x:v>522</x:v>
      </x:c>
      <x:c r="B541" s="53" t="n">
        <x:v>3</x:v>
      </x:c>
      <x:c r="C541" s="40" t="str">
        <x:v>Low-Value Low-Engagement Shoppers</x:v>
      </x:c>
      <x:c r="D541" s="60" t="n">
        <x:v>29.34</x:v>
      </x:c>
      <x:c r="E541" s="50" t="n">
        <x:v>2</x:v>
      </x:c>
      <x:c r="F541" s="46" t="n">
        <x:v>1</x:v>
      </x:c>
      <x:c r="G541" s="46" t="n">
        <x:v>220</x:v>
      </x:c>
      <x:c r="H541" s="61" t="n">
        <x:v>14.67</x:v>
      </x:c>
      <x:c r="I541" s="52" t="n">
        <x:v>0.5</x:v>
      </x:c>
      <x:c r="J541" s="52" t="n">
        <x:v>0.0340831629175187</x:v>
      </x:c>
      <x:c r="K541" s="60" t="n">
        <x:v>15.58</x:v>
      </x:c>
      <x:c r="L541" s="60" t="n">
        <x:v>13.76</x:v>
      </x:c>
      <x:c r="M541" s="50" t="n">
        <x:v>1</x:v>
      </x:c>
      <x:c r="N541" s="50" t="n">
        <x:v>1</x:v>
      </x:c>
      <x:c r="O541" s="50" t="n">
        <x:v>4</x:v>
      </x:c>
      <x:c r="P541" s="50" t="n">
        <x:v>2</x:v>
      </x:c>
    </x:row>
    <x:row r="542" ht="36" customHeight="1">
      <x:c r="A542" s="53" t="n">
        <x:v>523</x:v>
      </x:c>
      <x:c r="B542" s="53" t="n">
        <x:v>1</x:v>
      </x:c>
      <x:c r="C542" s="40" t="str">
        <x:v>High-Value Frequent Shoppers</x:v>
      </x:c>
      <x:c r="D542" s="60" t="n">
        <x:v>5731.87</x:v>
      </x:c>
      <x:c r="E542" s="50" t="n">
        <x:v>277</x:v>
      </x:c>
      <x:c r="F542" s="46" t="n">
        <x:v>13.85</x:v>
      </x:c>
      <x:c r="G542" s="46" t="n">
        <x:v>1</x:v>
      </x:c>
      <x:c r="H542" s="61" t="n">
        <x:v>20.692671480144405</x:v>
      </x:c>
      <x:c r="I542" s="52" t="n">
        <x:v>0.8447653429602888</x:v>
      </x:c>
      <x:c r="J542" s="52" t="n">
        <x:v>0.4598028217667183</x:v>
      </x:c>
      <x:c r="K542" s="60" t="n">
        <x:v>5332.35</x:v>
      </x:c>
      <x:c r="L542" s="60" t="n">
        <x:v>399.52</x:v>
      </x:c>
      <x:c r="M542" s="50" t="n">
        <x:v>234</x:v>
      </x:c>
      <x:c r="N542" s="50" t="n">
        <x:v>43</x:v>
      </x:c>
      <x:c r="O542" s="50" t="n">
        <x:v>155</x:v>
      </x:c>
      <x:c r="P542" s="50" t="n">
        <x:v>20</x:v>
      </x:c>
    </x:row>
    <x:row r="543" ht="36" customHeight="1">
      <x:c r="A543" s="53" t="n">
        <x:v>524</x:v>
      </x:c>
      <x:c r="B543" s="53" t="n">
        <x:v>2</x:v>
      </x:c>
      <x:c r="C543" s="40" t="str">
        <x:v>Large-Basket Occasional Shoppers</x:v>
      </x:c>
      <x:c r="D543" s="60" t="n">
        <x:v>1984.58</x:v>
      </x:c>
      <x:c r="E543" s="50" t="n">
        <x:v>72</x:v>
      </x:c>
      <x:c r="F543" s="46" t="n">
        <x:v>3.6</x:v>
      </x:c>
      <x:c r="G543" s="46" t="n">
        <x:v>17</x:v>
      </x:c>
      <x:c r="H543" s="61" t="n">
        <x:v>27.56361111111111</x:v>
      </x:c>
      <x:c r="I543" s="52" t="n">
        <x:v>0.9027777777777776</x:v>
      </x:c>
      <x:c r="J543" s="52" t="n">
        <x:v>0.654123290570297</x:v>
      </x:c>
      <x:c r="K543" s="60" t="n">
        <x:v>1944.47</x:v>
      </x:c>
      <x:c r="L543" s="60" t="n">
        <x:v>40.11</x:v>
      </x:c>
      <x:c r="M543" s="50" t="n">
        <x:v>65</x:v>
      </x:c>
      <x:c r="N543" s="50" t="n">
        <x:v>7</x:v>
      </x:c>
      <x:c r="O543" s="50" t="n">
        <x:v>112</x:v>
      </x:c>
      <x:c r="P543" s="50" t="n">
        <x:v>20</x:v>
      </x:c>
    </x:row>
    <x:row r="544" ht="36" customHeight="1">
      <x:c r="A544" s="53" t="n">
        <x:v>525</x:v>
      </x:c>
      <x:c r="B544" s="53" t="n">
        <x:v>3</x:v>
      </x:c>
      <x:c r="C544" s="40" t="str">
        <x:v>Low-Value Low-Engagement Shoppers</x:v>
      </x:c>
      <x:c r="D544" s="60" t="n">
        <x:v>902.77</x:v>
      </x:c>
      <x:c r="E544" s="50" t="n">
        <x:v>40</x:v>
      </x:c>
      <x:c r="F544" s="46" t="n">
        <x:v>2.666666666666667</x:v>
      </x:c>
      <x:c r="G544" s="46" t="n">
        <x:v>27</x:v>
      </x:c>
      <x:c r="H544" s="61" t="n">
        <x:v>22.56925</x:v>
      </x:c>
      <x:c r="I544" s="52" t="n">
        <x:v>0.775</x:v>
      </x:c>
      <x:c r="J544" s="52" t="n">
        <x:v>0.4472456993475636</x:v>
      </x:c>
      <x:c r="K544" s="60" t="n">
        <x:v>819</x:v>
      </x:c>
      <x:c r="L544" s="60" t="n">
        <x:v>83.77</x:v>
      </x:c>
      <x:c r="M544" s="50" t="n">
        <x:v>31</x:v>
      </x:c>
      <x:c r="N544" s="50" t="n">
        <x:v>9</x:v>
      </x:c>
      <x:c r="O544" s="50" t="n">
        <x:v>91</x:v>
      </x:c>
      <x:c r="P544" s="50" t="n">
        <x:v>15</x:v>
      </x:c>
    </x:row>
    <x:row r="545" ht="36" customHeight="1">
      <x:c r="A545" s="53" t="n">
        <x:v>526</x:v>
      </x:c>
      <x:c r="B545" s="53" t="n">
        <x:v>1</x:v>
      </x:c>
      <x:c r="C545" s="40" t="str">
        <x:v>High-Value Frequent Shoppers</x:v>
      </x:c>
      <x:c r="D545" s="60" t="n">
        <x:v>4574.92</x:v>
      </x:c>
      <x:c r="E545" s="50" t="n">
        <x:v>183</x:v>
      </x:c>
      <x:c r="F545" s="46" t="n">
        <x:v>8.714285714285714</x:v>
      </x:c>
      <x:c r="G545" s="46" t="n">
        <x:v>4</x:v>
      </x:c>
      <x:c r="H545" s="61" t="n">
        <x:v>24.999562841530054</x:v>
      </x:c>
      <x:c r="I545" s="52" t="n">
        <x:v>0.8633879781420765</x:v>
      </x:c>
      <x:c r="J545" s="52" t="n">
        <x:v>0.5139652715238736</x:v>
      </x:c>
      <x:c r="K545" s="60" t="n">
        <x:v>4366.3</x:v>
      </x:c>
      <x:c r="L545" s="60" t="n">
        <x:v>208.62</x:v>
      </x:c>
      <x:c r="M545" s="50" t="n">
        <x:v>158</x:v>
      </x:c>
      <x:c r="N545" s="50" t="n">
        <x:v>25</x:v>
      </x:c>
      <x:c r="O545" s="50" t="n">
        <x:v>167</x:v>
      </x:c>
      <x:c r="P545" s="50" t="n">
        <x:v>21</x:v>
      </x:c>
    </x:row>
    <x:row r="546" ht="36" customHeight="1">
      <x:c r="A546" s="53" t="n">
        <x:v>527</x:v>
      </x:c>
      <x:c r="B546" s="53" t="n">
        <x:v>1</x:v>
      </x:c>
      <x:c r="C546" s="40" t="str">
        <x:v>High-Value Frequent Shoppers</x:v>
      </x:c>
      <x:c r="D546" s="60" t="n">
        <x:v>3581.52</x:v>
      </x:c>
      <x:c r="E546" s="50" t="n">
        <x:v>129</x:v>
      </x:c>
      <x:c r="F546" s="46" t="n">
        <x:v>6.142857142857143</x:v>
      </x:c>
      <x:c r="G546" s="46" t="n">
        <x:v>3</x:v>
      </x:c>
      <x:c r="H546" s="61" t="n">
        <x:v>27.76372093023256</x:v>
      </x:c>
      <x:c r="I546" s="52" t="n">
        <x:v>0.9534883720930232</x:v>
      </x:c>
      <x:c r="J546" s="52" t="n">
        <x:v>0.4944129866648797</x:v>
      </x:c>
      <x:c r="K546" s="60" t="n">
        <x:v>3507.83</x:v>
      </x:c>
      <x:c r="L546" s="60" t="n">
        <x:v>73.69</x:v>
      </x:c>
      <x:c r="M546" s="50" t="n">
        <x:v>123</x:v>
      </x:c>
      <x:c r="N546" s="50" t="n">
        <x:v>6</x:v>
      </x:c>
      <x:c r="O546" s="50" t="n">
        <x:v>106</x:v>
      </x:c>
      <x:c r="P546" s="50" t="n">
        <x:v>21</x:v>
      </x:c>
    </x:row>
    <x:row r="547" ht="36" customHeight="1">
      <x:c r="A547" s="53" t="n">
        <x:v>528</x:v>
      </x:c>
      <x:c r="B547" s="53" t="n">
        <x:v>3</x:v>
      </x:c>
      <x:c r="C547" s="40" t="str">
        <x:v>Low-Value Low-Engagement Shoppers</x:v>
      </x:c>
      <x:c r="D547" s="60" t="n">
        <x:v>373.83</x:v>
      </x:c>
      <x:c r="E547" s="50" t="n">
        <x:v>17</x:v>
      </x:c>
      <x:c r="F547" s="46" t="n">
        <x:v>1.8888888888888888</x:v>
      </x:c>
      <x:c r="G547" s="46" t="n">
        <x:v>6</x:v>
      </x:c>
      <x:c r="H547" s="61" t="n">
        <x:v>21.99</x:v>
      </x:c>
      <x:c r="I547" s="52" t="n">
        <x:v>0.8235294117647058</x:v>
      </x:c>
      <x:c r="J547" s="52" t="n">
        <x:v>0.3308188213894015</x:v>
      </x:c>
      <x:c r="K547" s="60" t="n">
        <x:v>324.67</x:v>
      </x:c>
      <x:c r="L547" s="60" t="n">
        <x:v>49.16</x:v>
      </x:c>
      <x:c r="M547" s="50" t="n">
        <x:v>14</x:v>
      </x:c>
      <x:c r="N547" s="50" t="n">
        <x:v>3</x:v>
      </x:c>
      <x:c r="O547" s="50" t="n">
        <x:v>64</x:v>
      </x:c>
      <x:c r="P547" s="50" t="n">
        <x:v>9</x:v>
      </x:c>
    </x:row>
    <x:row r="548" ht="36" customHeight="1">
      <x:c r="A548" s="53" t="n">
        <x:v>529</x:v>
      </x:c>
      <x:c r="B548" s="53" t="n">
        <x:v>2</x:v>
      </x:c>
      <x:c r="C548" s="40" t="str">
        <x:v>Large-Basket Occasional Shoppers</x:v>
      </x:c>
      <x:c r="D548" s="60" t="n">
        <x:v>1831.14</x:v>
      </x:c>
      <x:c r="E548" s="50" t="n">
        <x:v>56</x:v>
      </x:c>
      <x:c r="F548" s="46" t="n">
        <x:v>3.5</x:v>
      </x:c>
      <x:c r="G548" s="46" t="n">
        <x:v>18</x:v>
      </x:c>
      <x:c r="H548" s="61" t="n">
        <x:v>32.69892857142857</x:v>
      </x:c>
      <x:c r="I548" s="52" t="n">
        <x:v>0.8571428571428571</x:v>
      </x:c>
      <x:c r="J548" s="52" t="n">
        <x:v>0.5057450549930644</x:v>
      </x:c>
      <x:c r="K548" s="60" t="n">
        <x:v>1612.16</x:v>
      </x:c>
      <x:c r="L548" s="60" t="n">
        <x:v>218.98</x:v>
      </x:c>
      <x:c r="M548" s="50" t="n">
        <x:v>48</x:v>
      </x:c>
      <x:c r="N548" s="50" t="n">
        <x:v>8</x:v>
      </x:c>
      <x:c r="O548" s="50" t="n">
        <x:v>112</x:v>
      </x:c>
      <x:c r="P548" s="50" t="n">
        <x:v>16</x:v>
      </x:c>
    </x:row>
    <x:row r="549" ht="36" customHeight="1">
      <x:c r="A549" s="53" t="n">
        <x:v>530</x:v>
      </x:c>
      <x:c r="B549" s="53" t="n">
        <x:v>2</x:v>
      </x:c>
      <x:c r="C549" s="40" t="str">
        <x:v>Large-Basket Occasional Shoppers</x:v>
      </x:c>
      <x:c r="D549" s="60" t="n">
        <x:v>1476.22</x:v>
      </x:c>
      <x:c r="E549" s="50" t="n">
        <x:v>53</x:v>
      </x:c>
      <x:c r="F549" s="46" t="n">
        <x:v>2.7894736842105265</x:v>
      </x:c>
      <x:c r="G549" s="46" t="n">
        <x:v>20</x:v>
      </x:c>
      <x:c r="H549" s="61" t="n">
        <x:v>27.85320754716981</x:v>
      </x:c>
      <x:c r="I549" s="52" t="n">
        <x:v>0.8490566037735849</x:v>
      </x:c>
      <x:c r="J549" s="52" t="n">
        <x:v>0.3555974041809486</x:v>
      </x:c>
      <x:c r="K549" s="60" t="n">
        <x:v>1427.17</x:v>
      </x:c>
      <x:c r="L549" s="60" t="n">
        <x:v>49.05</x:v>
      </x:c>
      <x:c r="M549" s="50" t="n">
        <x:v>45</x:v>
      </x:c>
      <x:c r="N549" s="50" t="n">
        <x:v>8</x:v>
      </x:c>
      <x:c r="O549" s="50" t="n">
        <x:v>128</x:v>
      </x:c>
      <x:c r="P549" s="50" t="n">
        <x:v>19</x:v>
      </x:c>
    </x:row>
    <x:row r="550" ht="36" customHeight="1">
      <x:c r="A550" s="53" t="n">
        <x:v>531</x:v>
      </x:c>
      <x:c r="B550" s="53" t="n">
        <x:v>2</x:v>
      </x:c>
      <x:c r="C550" s="40" t="str">
        <x:v>Large-Basket Occasional Shoppers</x:v>
      </x:c>
      <x:c r="D550" s="60" t="n">
        <x:v>1060.64</x:v>
      </x:c>
      <x:c r="E550" s="50" t="n">
        <x:v>40</x:v>
      </x:c>
      <x:c r="F550" s="46" t="n">
        <x:v>2.5</x:v>
      </x:c>
      <x:c r="G550" s="46" t="n">
        <x:v>0</x:v>
      </x:c>
      <x:c r="H550" s="61" t="n">
        <x:v>26.516</x:v>
      </x:c>
      <x:c r="I550" s="52" t="n">
        <x:v>1</x:v>
      </x:c>
      <x:c r="J550" s="52" t="n">
        <x:v>0.6412354804646251</x:v>
      </x:c>
      <x:c r="K550" s="60" t="n">
        <x:v>1060.64</x:v>
      </x:c>
      <x:c r="L550" s="60" t="n">
        <x:v>0</x:v>
      </x:c>
      <x:c r="M550" s="50" t="n">
        <x:v>40</x:v>
      </x:c>
      <x:c r="N550" s="50" t="n">
        <x:v>0</x:v>
      </x:c>
      <x:c r="O550" s="50" t="n">
        <x:v>86</x:v>
      </x:c>
      <x:c r="P550" s="50" t="n">
        <x:v>16</x:v>
      </x:c>
    </x:row>
    <x:row r="551" ht="36" customHeight="1">
      <x:c r="A551" s="53" t="n">
        <x:v>532</x:v>
      </x:c>
      <x:c r="B551" s="53" t="n">
        <x:v>3</x:v>
      </x:c>
      <x:c r="C551" s="40" t="str">
        <x:v>Low-Value Low-Engagement Shoppers</x:v>
      </x:c>
      <x:c r="D551" s="60" t="n">
        <x:v>401.88</x:v>
      </x:c>
      <x:c r="E551" s="50" t="n">
        <x:v>23</x:v>
      </x:c>
      <x:c r="F551" s="46" t="n">
        <x:v>3.8333333333333326</x:v>
      </x:c>
      <x:c r="G551" s="46" t="n">
        <x:v>62</x:v>
      </x:c>
      <x:c r="H551" s="61" t="n">
        <x:v>17.47304347826087</x:v>
      </x:c>
      <x:c r="I551" s="52" t="n">
        <x:v>0.3913043478260869</x:v>
      </x:c>
      <x:c r="J551" s="52" t="n">
        <x:v>0.2833681696028665</x:v>
      </x:c>
      <x:c r="K551" s="60" t="n">
        <x:v>264.04</x:v>
      </x:c>
      <x:c r="L551" s="60" t="n">
        <x:v>137.84</x:v>
      </x:c>
      <x:c r="M551" s="50" t="n">
        <x:v>9</x:v>
      </x:c>
      <x:c r="N551" s="50" t="n">
        <x:v>14</x:v>
      </x:c>
      <x:c r="O551" s="50" t="n">
        <x:v>54</x:v>
      </x:c>
      <x:c r="P551" s="50" t="n">
        <x:v>6</x:v>
      </x:c>
    </x:row>
    <x:row r="552" ht="36" customHeight="1">
      <x:c r="A552" s="53" t="n">
        <x:v>533</x:v>
      </x:c>
      <x:c r="B552" s="53" t="n">
        <x:v>2</x:v>
      </x:c>
      <x:c r="C552" s="40" t="str">
        <x:v>Large-Basket Occasional Shoppers</x:v>
      </x:c>
      <x:c r="D552" s="60" t="n">
        <x:v>2792.87</x:v>
      </x:c>
      <x:c r="E552" s="50" t="n">
        <x:v>64</x:v>
      </x:c>
      <x:c r="F552" s="46" t="n">
        <x:v>3.047619047619048</x:v>
      </x:c>
      <x:c r="G552" s="46" t="n">
        <x:v>19</x:v>
      </x:c>
      <x:c r="H552" s="61" t="n">
        <x:v>43.63859375</x:v>
      </x:c>
      <x:c r="I552" s="52" t="n">
        <x:v>0.90625</x:v>
      </x:c>
      <x:c r="J552" s="52" t="n">
        <x:v>0.3857179174111218</x:v>
      </x:c>
      <x:c r="K552" s="60" t="n">
        <x:v>2656.54</x:v>
      </x:c>
      <x:c r="L552" s="60" t="n">
        <x:v>136.33</x:v>
      </x:c>
      <x:c r="M552" s="50" t="n">
        <x:v>58</x:v>
      </x:c>
      <x:c r="N552" s="50" t="n">
        <x:v>6</x:v>
      </x:c>
      <x:c r="O552" s="50" t="n">
        <x:v>127</x:v>
      </x:c>
      <x:c r="P552" s="50" t="n">
        <x:v>21</x:v>
      </x:c>
    </x:row>
    <x:row r="553" ht="36" customHeight="1">
      <x:c r="A553" s="53" t="n">
        <x:v>534</x:v>
      </x:c>
      <x:c r="B553" s="53" t="n">
        <x:v>3</x:v>
      </x:c>
      <x:c r="C553" s="40" t="str">
        <x:v>Low-Value Low-Engagement Shoppers</x:v>
      </x:c>
      <x:c r="D553" s="60" t="n">
        <x:v>1315.44</x:v>
      </x:c>
      <x:c r="E553" s="50" t="n">
        <x:v>464</x:v>
      </x:c>
      <x:c r="F553" s="46" t="n">
        <x:v>22.09523809523809</x:v>
      </x:c>
      <x:c r="G553" s="46" t="n">
        <x:v>2</x:v>
      </x:c>
      <x:c r="H553" s="61" t="n">
        <x:v>2.835</x:v>
      </x:c>
      <x:c r="I553" s="52" t="n">
        <x:v>0.6271551724137931</x:v>
      </x:c>
      <x:c r="J553" s="52" t="n">
        <x:v>0.4289819376026272</x:v>
      </x:c>
      <x:c r="K553" s="60" t="n">
        <x:v>909.13</x:v>
      </x:c>
      <x:c r="L553" s="60" t="n">
        <x:v>406.31</x:v>
      </x:c>
      <x:c r="M553" s="50" t="n">
        <x:v>291</x:v>
      </x:c>
      <x:c r="N553" s="50" t="n">
        <x:v>173</x:v>
      </x:c>
      <x:c r="O553" s="50" t="n">
        <x:v>108</x:v>
      </x:c>
      <x:c r="P553" s="50" t="n">
        <x:v>21</x:v>
      </x:c>
    </x:row>
    <x:row r="554" ht="36" customHeight="1">
      <x:c r="A554" s="53" t="n">
        <x:v>535</x:v>
      </x:c>
      <x:c r="B554" s="53" t="n">
        <x:v>2</x:v>
      </x:c>
      <x:c r="C554" s="40" t="str">
        <x:v>Large-Basket Occasional Shoppers</x:v>
      </x:c>
      <x:c r="D554" s="60" t="n">
        <x:v>1308.76</x:v>
      </x:c>
      <x:c r="E554" s="50" t="n">
        <x:v>34</x:v>
      </x:c>
      <x:c r="F554" s="46" t="n">
        <x:v>2</x:v>
      </x:c>
      <x:c r="G554" s="46" t="n">
        <x:v>79</x:v>
      </x:c>
      <x:c r="H554" s="61" t="n">
        <x:v>38.49294117647059</x:v>
      </x:c>
      <x:c r="I554" s="52" t="n">
        <x:v>0.8823529411764705</x:v>
      </x:c>
      <x:c r="J554" s="52" t="n">
        <x:v>0.6495843393746752</x:v>
      </x:c>
      <x:c r="K554" s="60" t="n">
        <x:v>1264.82</x:v>
      </x:c>
      <x:c r="L554" s="60" t="n">
        <x:v>43.94</x:v>
      </x:c>
      <x:c r="M554" s="50" t="n">
        <x:v>30</x:v>
      </x:c>
      <x:c r="N554" s="50" t="n">
        <x:v>4</x:v>
      </x:c>
      <x:c r="O554" s="50" t="n">
        <x:v>103</x:v>
      </x:c>
      <x:c r="P554" s="50" t="n">
        <x:v>17</x:v>
      </x:c>
    </x:row>
    <x:row r="555" ht="36" customHeight="1">
      <x:c r="A555" s="53" t="n">
        <x:v>536</x:v>
      </x:c>
      <x:c r="B555" s="53" t="n">
        <x:v>2</x:v>
      </x:c>
      <x:c r="C555" s="40" t="str">
        <x:v>Large-Basket Occasional Shoppers</x:v>
      </x:c>
      <x:c r="D555" s="60" t="n">
        <x:v>1557.13</x:v>
      </x:c>
      <x:c r="E555" s="50" t="n">
        <x:v>87</x:v>
      </x:c>
      <x:c r="F555" s="46" t="n">
        <x:v>3.625</x:v>
      </x:c>
      <x:c r="G555" s="46" t="n">
        <x:v>2</x:v>
      </x:c>
      <x:c r="H555" s="61" t="n">
        <x:v>17.898045977011495</x:v>
      </x:c>
      <x:c r="I555" s="52" t="n">
        <x:v>0.8505747126436781</x:v>
      </x:c>
      <x:c r="J555" s="52" t="n">
        <x:v>0.5886021077238252</x:v>
      </x:c>
      <x:c r="K555" s="60" t="n">
        <x:v>1485.31</x:v>
      </x:c>
      <x:c r="L555" s="60" t="n">
        <x:v>71.82</x:v>
      </x:c>
      <x:c r="M555" s="50" t="n">
        <x:v>74</x:v>
      </x:c>
      <x:c r="N555" s="50" t="n">
        <x:v>13</x:v>
      </x:c>
      <x:c r="O555" s="50" t="n">
        <x:v>112</x:v>
      </x:c>
      <x:c r="P555" s="50" t="n">
        <x:v>24</x:v>
      </x:c>
    </x:row>
    <x:row r="556" ht="36" customHeight="1">
      <x:c r="A556" s="53" t="n">
        <x:v>537</x:v>
      </x:c>
      <x:c r="B556" s="53" t="n">
        <x:v>2</x:v>
      </x:c>
      <x:c r="C556" s="40" t="str">
        <x:v>Large-Basket Occasional Shoppers</x:v>
      </x:c>
      <x:c r="D556" s="60" t="n">
        <x:v>1411.25</x:v>
      </x:c>
      <x:c r="E556" s="50" t="n">
        <x:v>44</x:v>
      </x:c>
      <x:c r="F556" s="46" t="n">
        <x:v>2.933333333333333</x:v>
      </x:c>
      <x:c r="G556" s="46" t="n">
        <x:v>37</x:v>
      </x:c>
      <x:c r="H556" s="61" t="n">
        <x:v>32.07386363636364</x:v>
      </x:c>
      <x:c r="I556" s="52" t="n">
        <x:v>0.7954545454545454</x:v>
      </x:c>
      <x:c r="J556" s="52" t="n">
        <x:v>0.3756244464127546</x:v>
      </x:c>
      <x:c r="K556" s="60" t="n">
        <x:v>1213.61</x:v>
      </x:c>
      <x:c r="L556" s="60" t="n">
        <x:v>197.64</x:v>
      </x:c>
      <x:c r="M556" s="50" t="n">
        <x:v>35</x:v>
      </x:c>
      <x:c r="N556" s="50" t="n">
        <x:v>9</x:v>
      </x:c>
      <x:c r="O556" s="50" t="n">
        <x:v>93</x:v>
      </x:c>
      <x:c r="P556" s="50" t="n">
        <x:v>15</x:v>
      </x:c>
    </x:row>
    <x:row r="557" ht="36" customHeight="1">
      <x:c r="A557" s="53" t="n">
        <x:v>538</x:v>
      </x:c>
      <x:c r="B557" s="53" t="n">
        <x:v>2</x:v>
      </x:c>
      <x:c r="C557" s="40" t="str">
        <x:v>Large-Basket Occasional Shoppers</x:v>
      </x:c>
      <x:c r="D557" s="60" t="n">
        <x:v>4382.21</x:v>
      </x:c>
      <x:c r="E557" s="50" t="n">
        <x:v>69</x:v>
      </x:c>
      <x:c r="F557" s="46" t="n">
        <x:v>3.136363636363636</x:v>
      </x:c>
      <x:c r="G557" s="46" t="n">
        <x:v>7</x:v>
      </x:c>
      <x:c r="H557" s="61" t="n">
        <x:v>63.51028985507247</x:v>
      </x:c>
      <x:c r="I557" s="52" t="n">
        <x:v>0.8985507246376812</x:v>
      </x:c>
      <x:c r="J557" s="52" t="n">
        <x:v>0.4069499179637671</x:v>
      </x:c>
      <x:c r="K557" s="60" t="n">
        <x:v>4272.78</x:v>
      </x:c>
      <x:c r="L557" s="60" t="n">
        <x:v>109.43</x:v>
      </x:c>
      <x:c r="M557" s="50" t="n">
        <x:v>62</x:v>
      </x:c>
      <x:c r="N557" s="50" t="n">
        <x:v>7</x:v>
      </x:c>
      <x:c r="O557" s="50" t="n">
        <x:v>163</x:v>
      </x:c>
      <x:c r="P557" s="50" t="n">
        <x:v>22</x:v>
      </x:c>
    </x:row>
    <x:row r="558" ht="36" customHeight="1">
      <x:c r="A558" s="53" t="n">
        <x:v>539</x:v>
      </x:c>
      <x:c r="B558" s="53" t="n">
        <x:v>2</x:v>
      </x:c>
      <x:c r="C558" s="40" t="str">
        <x:v>Large-Basket Occasional Shoppers</x:v>
      </x:c>
      <x:c r="D558" s="60" t="n">
        <x:v>1269.09</x:v>
      </x:c>
      <x:c r="E558" s="50" t="n">
        <x:v>64</x:v>
      </x:c>
      <x:c r="F558" s="46" t="n">
        <x:v>4.923076923076923</x:v>
      </x:c>
      <x:c r="G558" s="46" t="n">
        <x:v>0</x:v>
      </x:c>
      <x:c r="H558" s="61" t="n">
        <x:v>19.82953125</x:v>
      </x:c>
      <x:c r="I558" s="52" t="n">
        <x:v>0.9375</x:v>
      </x:c>
      <x:c r="J558" s="52" t="n">
        <x:v>0.7376781788525636</x:v>
      </x:c>
      <x:c r="K558" s="60" t="n">
        <x:v>1260.41</x:v>
      </x:c>
      <x:c r="L558" s="60" t="n">
        <x:v>8.68</x:v>
      </x:c>
      <x:c r="M558" s="50" t="n">
        <x:v>60</x:v>
      </x:c>
      <x:c r="N558" s="50" t="n">
        <x:v>4</x:v>
      </x:c>
      <x:c r="O558" s="50" t="n">
        <x:v>85</x:v>
      </x:c>
      <x:c r="P558" s="50" t="n">
        <x:v>13</x:v>
      </x:c>
    </x:row>
    <x:row r="559" ht="36" customHeight="1">
      <x:c r="A559" s="53" t="n">
        <x:v>540</x:v>
      </x:c>
      <x:c r="B559" s="53" t="n">
        <x:v>1</x:v>
      </x:c>
      <x:c r="C559" s="40" t="str">
        <x:v>High-Value Frequent Shoppers</x:v>
      </x:c>
      <x:c r="D559" s="60" t="n">
        <x:v>3280.73</x:v>
      </x:c>
      <x:c r="E559" s="50" t="n">
        <x:v>93</x:v>
      </x:c>
      <x:c r="F559" s="46" t="n">
        <x:v>4.894736842105263</x:v>
      </x:c>
      <x:c r="G559" s="46" t="n">
        <x:v>4</x:v>
      </x:c>
      <x:c r="H559" s="61" t="n">
        <x:v>35.276666666666664</x:v>
      </x:c>
      <x:c r="I559" s="52" t="n">
        <x:v>0.9032258064516128</x:v>
      </x:c>
      <x:c r="J559" s="52" t="n">
        <x:v>0.4314893331667037</x:v>
      </x:c>
      <x:c r="K559" s="60" t="n">
        <x:v>3187.44</x:v>
      </x:c>
      <x:c r="L559" s="60" t="n">
        <x:v>93.29</x:v>
      </x:c>
      <x:c r="M559" s="50" t="n">
        <x:v>84</x:v>
      </x:c>
      <x:c r="N559" s="50" t="n">
        <x:v>9</x:v>
      </x:c>
      <x:c r="O559" s="50" t="n">
        <x:v>140</x:v>
      </x:c>
      <x:c r="P559" s="50" t="n">
        <x:v>19</x:v>
      </x:c>
    </x:row>
    <x:row r="560" ht="36" customHeight="1">
      <x:c r="A560" s="53" t="n">
        <x:v>541</x:v>
      </x:c>
      <x:c r="B560" s="53" t="n">
        <x:v>2</x:v>
      </x:c>
      <x:c r="C560" s="40" t="str">
        <x:v>Large-Basket Occasional Shoppers</x:v>
      </x:c>
      <x:c r="D560" s="60" t="n">
        <x:v>1784.19</x:v>
      </x:c>
      <x:c r="E560" s="50" t="n">
        <x:v>47</x:v>
      </x:c>
      <x:c r="F560" s="46" t="n">
        <x:v>2.238095238095238</x:v>
      </x:c>
      <x:c r="G560" s="46" t="n">
        <x:v>20</x:v>
      </x:c>
      <x:c r="H560" s="61" t="n">
        <x:v>37.96148936170213</x:v>
      </x:c>
      <x:c r="I560" s="52" t="n">
        <x:v>0.8723404255319148</x:v>
      </x:c>
      <x:c r="J560" s="52" t="n">
        <x:v>0.557149182542218</x:v>
      </x:c>
      <x:c r="K560" s="60" t="n">
        <x:v>1694.38</x:v>
      </x:c>
      <x:c r="L560" s="60" t="n">
        <x:v>89.81</x:v>
      </x:c>
      <x:c r="M560" s="50" t="n">
        <x:v>41</x:v>
      </x:c>
      <x:c r="N560" s="50" t="n">
        <x:v>6</x:v>
      </x:c>
      <x:c r="O560" s="50" t="n">
        <x:v>112</x:v>
      </x:c>
      <x:c r="P560" s="50" t="n">
        <x:v>21</x:v>
      </x:c>
    </x:row>
    <x:row r="561" ht="36" customHeight="1">
      <x:c r="A561" s="53" t="n">
        <x:v>542</x:v>
      </x:c>
      <x:c r="B561" s="53" t="n">
        <x:v>2</x:v>
      </x:c>
      <x:c r="C561" s="40" t="str">
        <x:v>Large-Basket Occasional Shoppers</x:v>
      </x:c>
      <x:c r="D561" s="60" t="n">
        <x:v>2312.93</x:v>
      </x:c>
      <x:c r="E561" s="50" t="n">
        <x:v>123</x:v>
      </x:c>
      <x:c r="F561" s="46" t="n">
        <x:v>5.590909090909091</x:v>
      </x:c>
      <x:c r="G561" s="46" t="n">
        <x:v>19</x:v>
      </x:c>
      <x:c r="H561" s="61" t="n">
        <x:v>18.80430894308943</x:v>
      </x:c>
      <x:c r="I561" s="52" t="n">
        <x:v>0.8699186991869918</x:v>
      </x:c>
      <x:c r="J561" s="52" t="n">
        <x:v>0.6120029572879421</x:v>
      </x:c>
      <x:c r="K561" s="60" t="n">
        <x:v>2197.1</x:v>
      </x:c>
      <x:c r="L561" s="60" t="n">
        <x:v>115.83</x:v>
      </x:c>
      <x:c r="M561" s="50" t="n">
        <x:v>107</x:v>
      </x:c>
      <x:c r="N561" s="50" t="n">
        <x:v>16</x:v>
      </x:c>
      <x:c r="O561" s="50" t="n">
        <x:v>133</x:v>
      </x:c>
      <x:c r="P561" s="50" t="n">
        <x:v>22</x:v>
      </x:c>
    </x:row>
    <x:row r="562" ht="36" customHeight="1">
      <x:c r="A562" s="53" t="n">
        <x:v>543</x:v>
      </x:c>
      <x:c r="B562" s="53" t="n">
        <x:v>2</x:v>
      </x:c>
      <x:c r="C562" s="40" t="str">
        <x:v>Large-Basket Occasional Shoppers</x:v>
      </x:c>
      <x:c r="D562" s="60" t="n">
        <x:v>3697.55</x:v>
      </x:c>
      <x:c r="E562" s="50" t="n">
        <x:v>103</x:v>
      </x:c>
      <x:c r="F562" s="46" t="n">
        <x:v>4.681818181818182</x:v>
      </x:c>
      <x:c r="G562" s="46" t="n">
        <x:v>0</x:v>
      </x:c>
      <x:c r="H562" s="61" t="n">
        <x:v>35.89854368932039</x:v>
      </x:c>
      <x:c r="I562" s="52" t="n">
        <x:v>0.941747572815534</x:v>
      </x:c>
      <x:c r="J562" s="52" t="n">
        <x:v>0.4401238658030317</x:v>
      </x:c>
      <x:c r="K562" s="60" t="n">
        <x:v>3656.98</x:v>
      </x:c>
      <x:c r="L562" s="60" t="n">
        <x:v>40.57</x:v>
      </x:c>
      <x:c r="M562" s="50" t="n">
        <x:v>97</x:v>
      </x:c>
      <x:c r="N562" s="50" t="n">
        <x:v>6</x:v>
      </x:c>
      <x:c r="O562" s="50" t="n">
        <x:v>79</x:v>
      </x:c>
      <x:c r="P562" s="50" t="n">
        <x:v>22</x:v>
      </x:c>
    </x:row>
    <x:row r="563" ht="36" customHeight="1">
      <x:c r="A563" s="53" t="n">
        <x:v>544</x:v>
      </x:c>
      <x:c r="B563" s="53" t="n">
        <x:v>3</x:v>
      </x:c>
      <x:c r="C563" s="40" t="str">
        <x:v>Low-Value Low-Engagement Shoppers</x:v>
      </x:c>
      <x:c r="D563" s="60" t="n">
        <x:v>1594.85</x:v>
      </x:c>
      <x:c r="E563" s="50" t="n">
        <x:v>127</x:v>
      </x:c>
      <x:c r="F563" s="46" t="n">
        <x:v>5.521739130434783</x:v>
      </x:c>
      <x:c r="G563" s="46" t="n">
        <x:v>27</x:v>
      </x:c>
      <x:c r="H563" s="61" t="n">
        <x:v>12.557874015748032</x:v>
      </x:c>
      <x:c r="I563" s="52" t="n">
        <x:v>0.7874015748031497</x:v>
      </x:c>
      <x:c r="J563" s="52" t="n">
        <x:v>0.4863278678245603</x:v>
      </x:c>
      <x:c r="K563" s="60" t="n">
        <x:v>1496.35</x:v>
      </x:c>
      <x:c r="L563" s="60" t="n">
        <x:v>98.5</x:v>
      </x:c>
      <x:c r="M563" s="50" t="n">
        <x:v>100</x:v>
      </x:c>
      <x:c r="N563" s="50" t="n">
        <x:v>27</x:v>
      </x:c>
      <x:c r="O563" s="50" t="n">
        <x:v>119</x:v>
      </x:c>
      <x:c r="P563" s="50" t="n">
        <x:v>23</x:v>
      </x:c>
    </x:row>
    <x:row r="564" ht="36" customHeight="1">
      <x:c r="A564" s="53" t="n">
        <x:v>545</x:v>
      </x:c>
      <x:c r="B564" s="53" t="n">
        <x:v>2</x:v>
      </x:c>
      <x:c r="C564" s="40" t="str">
        <x:v>Large-Basket Occasional Shoppers</x:v>
      </x:c>
      <x:c r="D564" s="60" t="n">
        <x:v>2660.28</x:v>
      </x:c>
      <x:c r="E564" s="50" t="n">
        <x:v>56</x:v>
      </x:c>
      <x:c r="F564" s="46" t="n">
        <x:v>2.5454545454545454</x:v>
      </x:c>
      <x:c r="G564" s="46" t="n">
        <x:v>3</x:v>
      </x:c>
      <x:c r="H564" s="61" t="n">
        <x:v>47.505</x:v>
      </x:c>
      <x:c r="I564" s="52" t="n">
        <x:v>0.9642857142857142</x:v>
      </x:c>
      <x:c r="J564" s="52" t="n">
        <x:v>0.5441081389928879</x:v>
      </x:c>
      <x:c r="K564" s="60" t="n">
        <x:v>2644.26</x:v>
      </x:c>
      <x:c r="L564" s="60" t="n">
        <x:v>16.02</x:v>
      </x:c>
      <x:c r="M564" s="50" t="n">
        <x:v>54</x:v>
      </x:c>
      <x:c r="N564" s="50" t="n">
        <x:v>2</x:v>
      </x:c>
      <x:c r="O564" s="50" t="n">
        <x:v>150</x:v>
      </x:c>
      <x:c r="P564" s="50" t="n">
        <x:v>22</x:v>
      </x:c>
    </x:row>
    <x:row r="565" ht="36" customHeight="1">
      <x:c r="A565" s="53" t="n">
        <x:v>546</x:v>
      </x:c>
      <x:c r="B565" s="53" t="n">
        <x:v>2</x:v>
      </x:c>
      <x:c r="C565" s="40" t="str">
        <x:v>Large-Basket Occasional Shoppers</x:v>
      </x:c>
      <x:c r="D565" s="60" t="n">
        <x:v>3339</x:v>
      </x:c>
      <x:c r="E565" s="50" t="n">
        <x:v>122</x:v>
      </x:c>
      <x:c r="F565" s="46" t="n">
        <x:v>6.777777777777778</x:v>
      </x:c>
      <x:c r="G565" s="46" t="n">
        <x:v>78</x:v>
      </x:c>
      <x:c r="H565" s="61" t="n">
        <x:v>27.368852459016395</x:v>
      </x:c>
      <x:c r="I565" s="52" t="n">
        <x:v>0.9262295081967212</x:v>
      </x:c>
      <x:c r="J565" s="52" t="n">
        <x:v>0.5518688230008983</x:v>
      </x:c>
      <x:c r="K565" s="60" t="n">
        <x:v>3206.89</x:v>
      </x:c>
      <x:c r="L565" s="60" t="n">
        <x:v>132.11</x:v>
      </x:c>
      <x:c r="M565" s="50" t="n">
        <x:v>113</x:v>
      </x:c>
      <x:c r="N565" s="50" t="n">
        <x:v>9</x:v>
      </x:c>
      <x:c r="O565" s="50" t="n">
        <x:v>97</x:v>
      </x:c>
      <x:c r="P565" s="50" t="n">
        <x:v>18</x:v>
      </x:c>
    </x:row>
    <x:row r="566" ht="36" customHeight="1">
      <x:c r="A566" s="53" t="n">
        <x:v>547</x:v>
      </x:c>
      <x:c r="B566" s="53" t="n">
        <x:v>2</x:v>
      </x:c>
      <x:c r="C566" s="40" t="str">
        <x:v>Large-Basket Occasional Shoppers</x:v>
      </x:c>
      <x:c r="D566" s="60" t="n">
        <x:v>1676.76</x:v>
      </x:c>
      <x:c r="E566" s="50" t="n">
        <x:v>55</x:v>
      </x:c>
      <x:c r="F566" s="46" t="n">
        <x:v>3.4375</x:v>
      </x:c>
      <x:c r="G566" s="46" t="n">
        <x:v>6</x:v>
      </x:c>
      <x:c r="H566" s="61" t="n">
        <x:v>30.486545454545453</x:v>
      </x:c>
      <x:c r="I566" s="52" t="n">
        <x:v>0.909090909090909</x:v>
      </x:c>
      <x:c r="J566" s="52" t="n">
        <x:v>0.520754311887211</x:v>
      </x:c>
      <x:c r="K566" s="60" t="n">
        <x:v>1623.51</x:v>
      </x:c>
      <x:c r="L566" s="60" t="n">
        <x:v>53.25</x:v>
      </x:c>
      <x:c r="M566" s="50" t="n">
        <x:v>50</x:v>
      </x:c>
      <x:c r="N566" s="50" t="n">
        <x:v>5</x:v>
      </x:c>
      <x:c r="O566" s="50" t="n">
        <x:v>117</x:v>
      </x:c>
      <x:c r="P566" s="50" t="n">
        <x:v>16</x:v>
      </x:c>
    </x:row>
    <x:row r="567" ht="36" customHeight="1">
      <x:c r="A567" s="53" t="n">
        <x:v>548</x:v>
      </x:c>
      <x:c r="B567" s="53" t="n">
        <x:v>2</x:v>
      </x:c>
      <x:c r="C567" s="40" t="str">
        <x:v>Large-Basket Occasional Shoppers</x:v>
      </x:c>
      <x:c r="D567" s="60" t="n">
        <x:v>4255.83</x:v>
      </x:c>
      <x:c r="E567" s="50" t="n">
        <x:v>93</x:v>
      </x:c>
      <x:c r="F567" s="46" t="n">
        <x:v>4.428571428571429</x:v>
      </x:c>
      <x:c r="G567" s="46" t="n">
        <x:v>27</x:v>
      </x:c>
      <x:c r="H567" s="61" t="n">
        <x:v>45.76161290322581</x:v>
      </x:c>
      <x:c r="I567" s="52" t="n">
        <x:v>0.913978494623656</x:v>
      </x:c>
      <x:c r="J567" s="52" t="n">
        <x:v>0.5201923009142752</x:v>
      </x:c>
      <x:c r="K567" s="60" t="n">
        <x:v>4163.89</x:v>
      </x:c>
      <x:c r="L567" s="60" t="n">
        <x:v>91.94</x:v>
      </x:c>
      <x:c r="M567" s="50" t="n">
        <x:v>85</x:v>
      </x:c>
      <x:c r="N567" s="50" t="n">
        <x:v>8</x:v>
      </x:c>
      <x:c r="O567" s="50" t="n">
        <x:v>165</x:v>
      </x:c>
      <x:c r="P567" s="50" t="n">
        <x:v>21</x:v>
      </x:c>
    </x:row>
    <x:row r="568" ht="36" customHeight="1">
      <x:c r="A568" s="53" t="n">
        <x:v>549</x:v>
      </x:c>
      <x:c r="B568" s="53" t="n">
        <x:v>1</x:v>
      </x:c>
      <x:c r="C568" s="40" t="str">
        <x:v>High-Value Frequent Shoppers</x:v>
      </x:c>
      <x:c r="D568" s="60" t="n">
        <x:v>2299.35</x:v>
      </x:c>
      <x:c r="E568" s="50" t="n">
        <x:v>98</x:v>
      </x:c>
      <x:c r="F568" s="46" t="n">
        <x:v>7.538461538461537</x:v>
      </x:c>
      <x:c r="G568" s="46" t="n">
        <x:v>1</x:v>
      </x:c>
      <x:c r="H568" s="61" t="n">
        <x:v>23.462755102040816</x:v>
      </x:c>
      <x:c r="I568" s="52" t="n">
        <x:v>0.8265306122448979</x:v>
      </x:c>
      <x:c r="J568" s="52" t="n">
        <x:v>0.4663013460325744</x:v>
      </x:c>
      <x:c r="K568" s="60" t="n">
        <x:v>2097.86</x:v>
      </x:c>
      <x:c r="L568" s="60" t="n">
        <x:v>201.49</x:v>
      </x:c>
      <x:c r="M568" s="50" t="n">
        <x:v>81</x:v>
      </x:c>
      <x:c r="N568" s="50" t="n">
        <x:v>17</x:v>
      </x:c>
      <x:c r="O568" s="50" t="n">
        <x:v>91</x:v>
      </x:c>
      <x:c r="P568" s="50" t="n">
        <x:v>13</x:v>
      </x:c>
    </x:row>
    <x:row r="569" ht="36" customHeight="1">
      <x:c r="A569" s="53" t="n">
        <x:v>550</x:v>
      </x:c>
      <x:c r="B569" s="53" t="n">
        <x:v>2</x:v>
      </x:c>
      <x:c r="C569" s="40" t="str">
        <x:v>Large-Basket Occasional Shoppers</x:v>
      </x:c>
      <x:c r="D569" s="60" t="n">
        <x:v>854.91</x:v>
      </x:c>
      <x:c r="E569" s="50" t="n">
        <x:v>39</x:v>
      </x:c>
      <x:c r="F569" s="46" t="n">
        <x:v>2.294117647058824</x:v>
      </x:c>
      <x:c r="G569" s="46" t="n">
        <x:v>0</x:v>
      </x:c>
      <x:c r="H569" s="61" t="n">
        <x:v>21.92076923076923</x:v>
      </x:c>
      <x:c r="I569" s="52" t="n">
        <x:v>0.9487179487179488</x:v>
      </x:c>
      <x:c r="J569" s="52" t="n">
        <x:v>0.5599770736100876</x:v>
      </x:c>
      <x:c r="K569" s="60" t="n">
        <x:v>849.74</x:v>
      </x:c>
      <x:c r="L569" s="60" t="n">
        <x:v>5.17</x:v>
      </x:c>
      <x:c r="M569" s="50" t="n">
        <x:v>37</x:v>
      </x:c>
      <x:c r="N569" s="50" t="n">
        <x:v>2</x:v>
      </x:c>
      <x:c r="O569" s="50" t="n">
        <x:v>82</x:v>
      </x:c>
      <x:c r="P569" s="50" t="n">
        <x:v>17</x:v>
      </x:c>
    </x:row>
    <x:row r="570" ht="36" customHeight="1">
      <x:c r="A570" s="53" t="n">
        <x:v>551</x:v>
      </x:c>
      <x:c r="B570" s="53" t="n">
        <x:v>3</x:v>
      </x:c>
      <x:c r="C570" s="40" t="str">
        <x:v>Low-Value Low-Engagement Shoppers</x:v>
      </x:c>
      <x:c r="D570" s="60" t="n">
        <x:v>853.65</x:v>
      </x:c>
      <x:c r="E570" s="50" t="n">
        <x:v>52</x:v>
      </x:c>
      <x:c r="F570" s="46" t="n">
        <x:v>2.476190476190476</x:v>
      </x:c>
      <x:c r="G570" s="46" t="n">
        <x:v>12</x:v>
      </x:c>
      <x:c r="H570" s="61" t="n">
        <x:v>16.416346153846153</x:v>
      </x:c>
      <x:c r="I570" s="52" t="n">
        <x:v>0.7884615384615384</x:v>
      </x:c>
      <x:c r="J570" s="52" t="n">
        <x:v>0.5841855561412757</x:v>
      </x:c>
      <x:c r="K570" s="60" t="n">
        <x:v>798.94</x:v>
      </x:c>
      <x:c r="L570" s="60" t="n">
        <x:v>54.71</x:v>
      </x:c>
      <x:c r="M570" s="50" t="n">
        <x:v>41</x:v>
      </x:c>
      <x:c r="N570" s="50" t="n">
        <x:v>11</x:v>
      </x:c>
      <x:c r="O570" s="50" t="n">
        <x:v>88</x:v>
      </x:c>
      <x:c r="P570" s="50" t="n">
        <x:v>21</x:v>
      </x:c>
    </x:row>
    <x:row r="571" ht="36" customHeight="1">
      <x:c r="A571" s="53" t="n">
        <x:v>552</x:v>
      </x:c>
      <x:c r="B571" s="53" t="n">
        <x:v>2</x:v>
      </x:c>
      <x:c r="C571" s="40" t="str">
        <x:v>Large-Basket Occasional Shoppers</x:v>
      </x:c>
      <x:c r="D571" s="60" t="n">
        <x:v>2289.47</x:v>
      </x:c>
      <x:c r="E571" s="50" t="n">
        <x:v>44</x:v>
      </x:c>
      <x:c r="F571" s="46" t="n">
        <x:v>2.444444444444444</x:v>
      </x:c>
      <x:c r="G571" s="46" t="n">
        <x:v>7</x:v>
      </x:c>
      <x:c r="H571" s="61" t="n">
        <x:v>52.03340909090909</x:v>
      </x:c>
      <x:c r="I571" s="52" t="n">
        <x:v>0.9772727272727272</x:v>
      </x:c>
      <x:c r="J571" s="52" t="n">
        <x:v>0.6146924834131916</x:v>
      </x:c>
      <x:c r="K571" s="60" t="n">
        <x:v>2270.85</x:v>
      </x:c>
      <x:c r="L571" s="60" t="n">
        <x:v>18.62</x:v>
      </x:c>
      <x:c r="M571" s="50" t="n">
        <x:v>43</x:v>
      </x:c>
      <x:c r="N571" s="50" t="n">
        <x:v>1</x:v>
      </x:c>
      <x:c r="O571" s="50" t="n">
        <x:v>93</x:v>
      </x:c>
      <x:c r="P571" s="50" t="n">
        <x:v>18</x:v>
      </x:c>
    </x:row>
    <x:row r="572" ht="36" customHeight="1">
      <x:c r="A572" s="53" t="n">
        <x:v>553</x:v>
      </x:c>
      <x:c r="B572" s="53" t="n">
        <x:v>1</x:v>
      </x:c>
      <x:c r="C572" s="40" t="str">
        <x:v>High-Value Frequent Shoppers</x:v>
      </x:c>
      <x:c r="D572" s="60" t="n">
        <x:v>7259.09</x:v>
      </x:c>
      <x:c r="E572" s="50" t="n">
        <x:v>265</x:v>
      </x:c>
      <x:c r="F572" s="46" t="n">
        <x:v>12.61904761904762</x:v>
      </x:c>
      <x:c r="G572" s="46" t="n">
        <x:v>0</x:v>
      </x:c>
      <x:c r="H572" s="61" t="n">
        <x:v>27.39279245283019</x:v>
      </x:c>
      <x:c r="I572" s="52" t="n">
        <x:v>0.9056603773584904</x:v>
      </x:c>
      <x:c r="J572" s="52" t="n">
        <x:v>0.4411420715268718</x:v>
      </x:c>
      <x:c r="K572" s="60" t="n">
        <x:v>6957.53</x:v>
      </x:c>
      <x:c r="L572" s="60" t="n">
        <x:v>301.56</x:v>
      </x:c>
      <x:c r="M572" s="50" t="n">
        <x:v>240</x:v>
      </x:c>
      <x:c r="N572" s="50" t="n">
        <x:v>25</x:v>
      </x:c>
      <x:c r="O572" s="50" t="n">
        <x:v>199</x:v>
      </x:c>
      <x:c r="P572" s="50" t="n">
        <x:v>21</x:v>
      </x:c>
    </x:row>
    <x:row r="573" ht="36" customHeight="1">
      <x:c r="A573" s="53" t="n">
        <x:v>554</x:v>
      </x:c>
      <x:c r="B573" s="53" t="n">
        <x:v>2</x:v>
      </x:c>
      <x:c r="C573" s="40" t="str">
        <x:v>Large-Basket Occasional Shoppers</x:v>
      </x:c>
      <x:c r="D573" s="60" t="n">
        <x:v>1524.33</x:v>
      </x:c>
      <x:c r="E573" s="50" t="n">
        <x:v>21</x:v>
      </x:c>
      <x:c r="F573" s="46" t="n">
        <x:v>1.5</x:v>
      </x:c>
      <x:c r="G573" s="46" t="n">
        <x:v>16</x:v>
      </x:c>
      <x:c r="H573" s="61" t="n">
        <x:v>72.58714285714285</x:v>
      </x:c>
      <x:c r="I573" s="52" t="n">
        <x:v>1</x:v>
      </x:c>
      <x:c r="J573" s="52" t="n">
        <x:v>0.3900795759448413</x:v>
      </x:c>
      <x:c r="K573" s="60" t="n">
        <x:v>1524.33</x:v>
      </x:c>
      <x:c r="L573" s="60" t="n">
        <x:v>0</x:v>
      </x:c>
      <x:c r="M573" s="50" t="n">
        <x:v>21</x:v>
      </x:c>
      <x:c r="N573" s="50" t="n">
        <x:v>0</x:v>
      </x:c>
      <x:c r="O573" s="50" t="n">
        <x:v>121</x:v>
      </x:c>
      <x:c r="P573" s="50" t="n">
        <x:v>14</x:v>
      </x:c>
    </x:row>
    <x:row r="574" ht="36" customHeight="1">
      <x:c r="A574" s="53" t="n">
        <x:v>555</x:v>
      </x:c>
      <x:c r="B574" s="53" t="n">
        <x:v>3</x:v>
      </x:c>
      <x:c r="C574" s="40" t="str">
        <x:v>Low-Value Low-Engagement Shoppers</x:v>
      </x:c>
      <x:c r="D574" s="60" t="n">
        <x:v>561.03</x:v>
      </x:c>
      <x:c r="E574" s="50" t="n">
        <x:v>21</x:v>
      </x:c>
      <x:c r="F574" s="46" t="n">
        <x:v>1.9090909090909087</x:v>
      </x:c>
      <x:c r="G574" s="46" t="n">
        <x:v>110</x:v>
      </x:c>
      <x:c r="H574" s="61" t="n">
        <x:v>26.715714285714284</x:v>
      </x:c>
      <x:c r="I574" s="52" t="n">
        <x:v>0.7142857142857142</x:v>
      </x:c>
      <x:c r="J574" s="52" t="n">
        <x:v>0.1987772489884676</x:v>
      </x:c>
      <x:c r="K574" s="60" t="n">
        <x:v>480.47</x:v>
      </x:c>
      <x:c r="L574" s="60" t="n">
        <x:v>80.56</x:v>
      </x:c>
      <x:c r="M574" s="50" t="n">
        <x:v>15</x:v>
      </x:c>
      <x:c r="N574" s="50" t="n">
        <x:v>6</x:v>
      </x:c>
      <x:c r="O574" s="50" t="n">
        <x:v>55</x:v>
      </x:c>
      <x:c r="P574" s="50" t="n">
        <x:v>11</x:v>
      </x:c>
    </x:row>
    <x:row r="575" ht="36" customHeight="1">
      <x:c r="A575" s="53" t="n">
        <x:v>556</x:v>
      </x:c>
      <x:c r="B575" s="53" t="n">
        <x:v>2</x:v>
      </x:c>
      <x:c r="C575" s="40" t="str">
        <x:v>Large-Basket Occasional Shoppers</x:v>
      </x:c>
      <x:c r="D575" s="60" t="n">
        <x:v>693.86</x:v>
      </x:c>
      <x:c r="E575" s="50" t="n">
        <x:v>15</x:v>
      </x:c>
      <x:c r="F575" s="46" t="n">
        <x:v>1.875</x:v>
      </x:c>
      <x:c r="G575" s="46" t="n">
        <x:v>43</x:v>
      </x:c>
      <x:c r="H575" s="61" t="n">
        <x:v>46.25733333333333</x:v>
      </x:c>
      <x:c r="I575" s="52" t="n">
        <x:v>0.9333333333333332</x:v>
      </x:c>
      <x:c r="J575" s="52" t="n">
        <x:v>0.7387801573804513</x:v>
      </x:c>
      <x:c r="K575" s="60" t="n">
        <x:v>681</x:v>
      </x:c>
      <x:c r="L575" s="60" t="n">
        <x:v>12.86</x:v>
      </x:c>
      <x:c r="M575" s="50" t="n">
        <x:v>14</x:v>
      </x:c>
      <x:c r="N575" s="50" t="n">
        <x:v>1</x:v>
      </x:c>
      <x:c r="O575" s="50" t="n">
        <x:v>68</x:v>
      </x:c>
      <x:c r="P575" s="50" t="n">
        <x:v>8</x:v>
      </x:c>
    </x:row>
    <x:row r="576" ht="36" customHeight="1">
      <x:c r="A576" s="53" t="n">
        <x:v>557</x:v>
      </x:c>
      <x:c r="B576" s="53" t="n">
        <x:v>2</x:v>
      </x:c>
      <x:c r="C576" s="40" t="str">
        <x:v>Large-Basket Occasional Shoppers</x:v>
      </x:c>
      <x:c r="D576" s="60" t="n">
        <x:v>718.46</x:v>
      </x:c>
      <x:c r="E576" s="50" t="n">
        <x:v>29</x:v>
      </x:c>
      <x:c r="F576" s="46" t="n">
        <x:v>1.7058823529411764</x:v>
      </x:c>
      <x:c r="G576" s="46" t="n">
        <x:v>28</x:v>
      </x:c>
      <x:c r="H576" s="61" t="n">
        <x:v>24.77448275862069</x:v>
      </x:c>
      <x:c r="I576" s="52" t="n">
        <x:v>0.9655172413793104</x:v>
      </x:c>
      <x:c r="J576" s="52" t="n">
        <x:v>0.3962781504885449</x:v>
      </x:c>
      <x:c r="K576" s="60" t="n">
        <x:v>715.27</x:v>
      </x:c>
      <x:c r="L576" s="60" t="n">
        <x:v>3.19</x:v>
      </x:c>
      <x:c r="M576" s="50" t="n">
        <x:v>28</x:v>
      </x:c>
      <x:c r="N576" s="50" t="n">
        <x:v>1</x:v>
      </x:c>
      <x:c r="O576" s="50" t="n">
        <x:v>103</x:v>
      </x:c>
      <x:c r="P576" s="50" t="n">
        <x:v>17</x:v>
      </x:c>
    </x:row>
    <x:row r="577" ht="36" customHeight="1">
      <x:c r="A577" s="53" t="n">
        <x:v>558</x:v>
      </x:c>
      <x:c r="B577" s="53" t="n">
        <x:v>1</x:v>
      </x:c>
      <x:c r="C577" s="40" t="str">
        <x:v>High-Value Frequent Shoppers</x:v>
      </x:c>
      <x:c r="D577" s="60" t="n">
        <x:v>2426.35</x:v>
      </x:c>
      <x:c r="E577" s="50" t="n">
        <x:v>115</x:v>
      </x:c>
      <x:c r="F577" s="46" t="n">
        <x:v>5.75</x:v>
      </x:c>
      <x:c r="G577" s="46" t="n">
        <x:v>7</x:v>
      </x:c>
      <x:c r="H577" s="61" t="n">
        <x:v>21.09869565217392</x:v>
      </x:c>
      <x:c r="I577" s="52" t="n">
        <x:v>0.8347826086956521</x:v>
      </x:c>
      <x:c r="J577" s="52" t="n">
        <x:v>0.4450099944360871</x:v>
      </x:c>
      <x:c r="K577" s="60" t="n">
        <x:v>2314.26</x:v>
      </x:c>
      <x:c r="L577" s="60" t="n">
        <x:v>112.09</x:v>
      </x:c>
      <x:c r="M577" s="50" t="n">
        <x:v>96</x:v>
      </x:c>
      <x:c r="N577" s="50" t="n">
        <x:v>19</x:v>
      </x:c>
      <x:c r="O577" s="50" t="n">
        <x:v>107</x:v>
      </x:c>
      <x:c r="P577" s="50" t="n">
        <x:v>20</x:v>
      </x:c>
    </x:row>
    <x:row r="578" ht="36" customHeight="1">
      <x:c r="A578" s="53" t="n">
        <x:v>559</x:v>
      </x:c>
      <x:c r="B578" s="53" t="n">
        <x:v>3</x:v>
      </x:c>
      <x:c r="C578" s="40" t="str">
        <x:v>Low-Value Low-Engagement Shoppers</x:v>
      </x:c>
      <x:c r="D578" s="60" t="n">
        <x:v>249.34</x:v>
      </x:c>
      <x:c r="E578" s="50" t="n">
        <x:v>26</x:v>
      </x:c>
      <x:c r="F578" s="46" t="n">
        <x:v>2.166666666666667</x:v>
      </x:c>
      <x:c r="G578" s="46" t="n">
        <x:v>222</x:v>
      </x:c>
      <x:c r="H578" s="61" t="n">
        <x:v>9.59</x:v>
      </x:c>
      <x:c r="I578" s="52" t="n">
        <x:v>0.7307692307692307</x:v>
      </x:c>
      <x:c r="J578" s="52" t="n">
        <x:v>0.5354535974973931</x:v>
      </x:c>
      <x:c r="K578" s="60" t="n">
        <x:v>191.65</x:v>
      </x:c>
      <x:c r="L578" s="60" t="n">
        <x:v>57.69</x:v>
      </x:c>
      <x:c r="M578" s="50" t="n">
        <x:v>19</x:v>
      </x:c>
      <x:c r="N578" s="50" t="n">
        <x:v>7</x:v>
      </x:c>
      <x:c r="O578" s="50" t="n">
        <x:v>48</x:v>
      </x:c>
      <x:c r="P578" s="50" t="n">
        <x:v>12</x:v>
      </x:c>
    </x:row>
    <x:row r="579" ht="36" customHeight="1">
      <x:c r="A579" s="53" t="n">
        <x:v>560</x:v>
      </x:c>
      <x:c r="B579" s="53" t="n">
        <x:v>1</x:v>
      </x:c>
      <x:c r="C579" s="40" t="str">
        <x:v>High-Value Frequent Shoppers</x:v>
      </x:c>
      <x:c r="D579" s="60" t="n">
        <x:v>7290.9</x:v>
      </x:c>
      <x:c r="E579" s="50" t="n">
        <x:v>326</x:v>
      </x:c>
      <x:c r="F579" s="46" t="n">
        <x:v>13.583333333333332</x:v>
      </x:c>
      <x:c r="G579" s="46" t="n">
        <x:v>0</x:v>
      </x:c>
      <x:c r="H579" s="61" t="n">
        <x:v>22.364723926380368</x:v>
      </x:c>
      <x:c r="I579" s="52" t="n">
        <x:v>0.7668711656441717</x:v>
      </x:c>
      <x:c r="J579" s="52" t="n">
        <x:v>0.5031532458269898</x:v>
      </x:c>
      <x:c r="K579" s="60" t="n">
        <x:v>6477.41</x:v>
      </x:c>
      <x:c r="L579" s="60" t="n">
        <x:v>813.49</x:v>
      </x:c>
      <x:c r="M579" s="50" t="n">
        <x:v>250</x:v>
      </x:c>
      <x:c r="N579" s="50" t="n">
        <x:v>76</x:v>
      </x:c>
      <x:c r="O579" s="50" t="n">
        <x:v>190</x:v>
      </x:c>
      <x:c r="P579" s="50" t="n">
        <x:v>24</x:v>
      </x:c>
    </x:row>
    <x:row r="580" ht="36" customHeight="1">
      <x:c r="A580" s="53" t="n">
        <x:v>561</x:v>
      </x:c>
      <x:c r="B580" s="53" t="n">
        <x:v>2</x:v>
      </x:c>
      <x:c r="C580" s="40" t="str">
        <x:v>Large-Basket Occasional Shoppers</x:v>
      </x:c>
      <x:c r="D580" s="60" t="n">
        <x:v>1404.36</x:v>
      </x:c>
      <x:c r="E580" s="50" t="n">
        <x:v>26</x:v>
      </x:c>
      <x:c r="F580" s="46" t="n">
        <x:v>1.8571428571428568</x:v>
      </x:c>
      <x:c r="G580" s="46" t="n">
        <x:v>10</x:v>
      </x:c>
      <x:c r="H580" s="61" t="n">
        <x:v>54.01384615384615</x:v>
      </x:c>
      <x:c r="I580" s="52" t="n">
        <x:v>0.8846153846153846</x:v>
      </x:c>
      <x:c r="J580" s="52" t="n">
        <x:v>0.5661297672961348</x:v>
      </x:c>
      <x:c r="K580" s="60" t="n">
        <x:v>1380.23</x:v>
      </x:c>
      <x:c r="L580" s="60" t="n">
        <x:v>24.13</x:v>
      </x:c>
      <x:c r="M580" s="50" t="n">
        <x:v>23</x:v>
      </x:c>
      <x:c r="N580" s="50" t="n">
        <x:v>3</x:v>
      </x:c>
      <x:c r="O580" s="50" t="n">
        <x:v>99</x:v>
      </x:c>
      <x:c r="P580" s="50" t="n">
        <x:v>14</x:v>
      </x:c>
    </x:row>
    <x:row r="581" ht="36" customHeight="1">
      <x:c r="A581" s="53" t="n">
        <x:v>562</x:v>
      </x:c>
      <x:c r="B581" s="53" t="n">
        <x:v>2</x:v>
      </x:c>
      <x:c r="C581" s="40" t="str">
        <x:v>Large-Basket Occasional Shoppers</x:v>
      </x:c>
      <x:c r="D581" s="60" t="n">
        <x:v>3178.11</x:v>
      </x:c>
      <x:c r="E581" s="50" t="n">
        <x:v>78</x:v>
      </x:c>
      <x:c r="F581" s="46" t="n">
        <x:v>3.7142857142857135</x:v>
      </x:c>
      <x:c r="G581" s="46" t="n">
        <x:v>16</x:v>
      </x:c>
      <x:c r="H581" s="61" t="n">
        <x:v>40.745</x:v>
      </x:c>
      <x:c r="I581" s="52" t="n">
        <x:v>0.8076923076923076</x:v>
      </x:c>
      <x:c r="J581" s="52" t="n">
        <x:v>0.4394467151860697</x:v>
      </x:c>
      <x:c r="K581" s="60" t="n">
        <x:v>2961.38</x:v>
      </x:c>
      <x:c r="L581" s="60" t="n">
        <x:v>216.73</x:v>
      </x:c>
      <x:c r="M581" s="50" t="n">
        <x:v>63</x:v>
      </x:c>
      <x:c r="N581" s="50" t="n">
        <x:v>15</x:v>
      </x:c>
      <x:c r="O581" s="50" t="n">
        <x:v>134</x:v>
      </x:c>
      <x:c r="P581" s="50" t="n">
        <x:v>21</x:v>
      </x:c>
    </x:row>
    <x:row r="582" ht="36" customHeight="1">
      <x:c r="A582" s="53" t="n">
        <x:v>563</x:v>
      </x:c>
      <x:c r="B582" s="53" t="n">
        <x:v>1</x:v>
      </x:c>
      <x:c r="C582" s="40" t="str">
        <x:v>High-Value Frequent Shoppers</x:v>
      </x:c>
      <x:c r="D582" s="60" t="n">
        <x:v>2488.77</x:v>
      </x:c>
      <x:c r="E582" s="50" t="n">
        <x:v>72</x:v>
      </x:c>
      <x:c r="F582" s="46" t="n">
        <x:v>3.6</x:v>
      </x:c>
      <x:c r="G582" s="46" t="n">
        <x:v>4</x:v>
      </x:c>
      <x:c r="H582" s="61" t="n">
        <x:v>34.56625</x:v>
      </x:c>
      <x:c r="I582" s="52" t="n">
        <x:v>0.8333333333333333</x:v>
      </x:c>
      <x:c r="J582" s="52" t="n">
        <x:v>0.571394705014927</x:v>
      </x:c>
      <x:c r="K582" s="60" t="n">
        <x:v>2371.19</x:v>
      </x:c>
      <x:c r="L582" s="60" t="n">
        <x:v>117.58</x:v>
      </x:c>
      <x:c r="M582" s="50" t="n">
        <x:v>60</x:v>
      </x:c>
      <x:c r="N582" s="50" t="n">
        <x:v>12</x:v>
      </x:c>
      <x:c r="O582" s="50" t="n">
        <x:v>151</x:v>
      </x:c>
      <x:c r="P582" s="50" t="n">
        <x:v>20</x:v>
      </x:c>
    </x:row>
    <x:row r="583" ht="36" customHeight="1">
      <x:c r="A583" s="53" t="n">
        <x:v>564</x:v>
      </x:c>
      <x:c r="B583" s="53" t="n">
        <x:v>3</x:v>
      </x:c>
      <x:c r="C583" s="40" t="str">
        <x:v>Low-Value Low-Engagement Shoppers</x:v>
      </x:c>
      <x:c r="D583" s="60" t="n">
        <x:v>842.45</x:v>
      </x:c>
      <x:c r="E583" s="50" t="n">
        <x:v>52</x:v>
      </x:c>
      <x:c r="F583" s="46" t="n">
        <x:v>2.476190476190476</x:v>
      </x:c>
      <x:c r="G583" s="46" t="n">
        <x:v>2</x:v>
      </x:c>
      <x:c r="H583" s="61" t="n">
        <x:v>16.200961538461538</x:v>
      </x:c>
      <x:c r="I583" s="52" t="n">
        <x:v>0.8269230769230769</x:v>
      </x:c>
      <x:c r="J583" s="52" t="n">
        <x:v>0.4508279423111163</x:v>
      </x:c>
      <x:c r="K583" s="60" t="n">
        <x:v>738.89</x:v>
      </x:c>
      <x:c r="L583" s="60" t="n">
        <x:v>103.56</x:v>
      </x:c>
      <x:c r="M583" s="50" t="n">
        <x:v>43</x:v>
      </x:c>
      <x:c r="N583" s="50" t="n">
        <x:v>9</x:v>
      </x:c>
      <x:c r="O583" s="50" t="n">
        <x:v>101</x:v>
      </x:c>
      <x:c r="P583" s="50" t="n">
        <x:v>21</x:v>
      </x:c>
    </x:row>
    <x:row r="584" ht="36" customHeight="1">
      <x:c r="A584" s="53" t="n">
        <x:v>565</x:v>
      </x:c>
      <x:c r="B584" s="53" t="n">
        <x:v>3</x:v>
      </x:c>
      <x:c r="C584" s="40" t="str">
        <x:v>Low-Value Low-Engagement Shoppers</x:v>
      </x:c>
      <x:c r="D584" s="60" t="n">
        <x:v>498.06</x:v>
      </x:c>
      <x:c r="E584" s="50" t="n">
        <x:v>21</x:v>
      </x:c>
      <x:c r="F584" s="46" t="n">
        <x:v>1.2352941176470589</x:v>
      </x:c>
      <x:c r="G584" s="46" t="n">
        <x:v>4</x:v>
      </x:c>
      <x:c r="H584" s="61" t="n">
        <x:v>23.717142857142857</x:v>
      </x:c>
      <x:c r="I584" s="52" t="n">
        <x:v>0.5238095238095238</x:v>
      </x:c>
      <x:c r="J584" s="52" t="n">
        <x:v>0.3078343974621531</x:v>
      </x:c>
      <x:c r="K584" s="60" t="n">
        <x:v>401.51</x:v>
      </x:c>
      <x:c r="L584" s="60" t="n">
        <x:v>96.55</x:v>
      </x:c>
      <x:c r="M584" s="50" t="n">
        <x:v>11</x:v>
      </x:c>
      <x:c r="N584" s="50" t="n">
        <x:v>10</x:v>
      </x:c>
      <x:c r="O584" s="50" t="n">
        <x:v>58</x:v>
      </x:c>
      <x:c r="P584" s="50" t="n">
        <x:v>17</x:v>
      </x:c>
    </x:row>
    <x:row r="585" ht="36" customHeight="1">
      <x:c r="A585" s="53" t="n">
        <x:v>566</x:v>
      </x:c>
      <x:c r="B585" s="53" t="n">
        <x:v>3</x:v>
      </x:c>
      <x:c r="C585" s="40" t="str">
        <x:v>Low-Value Low-Engagement Shoppers</x:v>
      </x:c>
      <x:c r="D585" s="60" t="n">
        <x:v>1218.08</x:v>
      </x:c>
      <x:c r="E585" s="50" t="n">
        <x:v>146</x:v>
      </x:c>
      <x:c r="F585" s="46" t="n">
        <x:v>8.588235294117647</x:v>
      </x:c>
      <x:c r="G585" s="46" t="n">
        <x:v>0</x:v>
      </x:c>
      <x:c r="H585" s="61" t="n">
        <x:v>8.343013698630138</x:v>
      </x:c>
      <x:c r="I585" s="52" t="n">
        <x:v>0.6301369863013698</x:v>
      </x:c>
      <x:c r="J585" s="52" t="n">
        <x:v>0.623431958492053</x:v>
      </x:c>
      <x:c r="K585" s="60" t="n">
        <x:v>1090.95</x:v>
      </x:c>
      <x:c r="L585" s="60" t="n">
        <x:v>127.13</x:v>
      </x:c>
      <x:c r="M585" s="50" t="n">
        <x:v>92</x:v>
      </x:c>
      <x:c r="N585" s="50" t="n">
        <x:v>54</x:v>
      </x:c>
      <x:c r="O585" s="50" t="n">
        <x:v>108</x:v>
      </x:c>
      <x:c r="P585" s="50" t="n">
        <x:v>17</x:v>
      </x:c>
    </x:row>
    <x:row r="586" ht="36" customHeight="1">
      <x:c r="A586" s="53" t="n">
        <x:v>567</x:v>
      </x:c>
      <x:c r="B586" s="53" t="n">
        <x:v>1</x:v>
      </x:c>
      <x:c r="C586" s="40" t="str">
        <x:v>High-Value Frequent Shoppers</x:v>
      </x:c>
      <x:c r="D586" s="60" t="n">
        <x:v>3134.9</x:v>
      </x:c>
      <x:c r="E586" s="50" t="n">
        <x:v>254</x:v>
      </x:c>
      <x:c r="F586" s="46" t="n">
        <x:v>11.043478260869565</x:v>
      </x:c>
      <x:c r="G586" s="46" t="n">
        <x:v>0</x:v>
      </x:c>
      <x:c r="H586" s="61" t="n">
        <x:v>12.342125984251968</x:v>
      </x:c>
      <x:c r="I586" s="52" t="n">
        <x:v>0.732283464566929</x:v>
      </x:c>
      <x:c r="J586" s="52" t="n">
        <x:v>0.4537050623624358</x:v>
      </x:c>
      <x:c r="K586" s="60" t="n">
        <x:v>2725.74</x:v>
      </x:c>
      <x:c r="L586" s="60" t="n">
        <x:v>409.16</x:v>
      </x:c>
      <x:c r="M586" s="50" t="n">
        <x:v>186</x:v>
      </x:c>
      <x:c r="N586" s="50" t="n">
        <x:v>68</x:v>
      </x:c>
      <x:c r="O586" s="50" t="n">
        <x:v>136</x:v>
      </x:c>
      <x:c r="P586" s="50" t="n">
        <x:v>23</x:v>
      </x:c>
    </x:row>
    <x:row r="587" ht="36" customHeight="1">
      <x:c r="A587" s="53" t="n">
        <x:v>568</x:v>
      </x:c>
      <x:c r="B587" s="53" t="n">
        <x:v>1</x:v>
      </x:c>
      <x:c r="C587" s="40" t="str">
        <x:v>High-Value Frequent Shoppers</x:v>
      </x:c>
      <x:c r="D587" s="60" t="n">
        <x:v>8612.85</x:v>
      </x:c>
      <x:c r="E587" s="50" t="n">
        <x:v>180</x:v>
      </x:c>
      <x:c r="F587" s="46" t="n">
        <x:v>7.826086956521739</x:v>
      </x:c>
      <x:c r="G587" s="46" t="n">
        <x:v>1</x:v>
      </x:c>
      <x:c r="H587" s="61" t="n">
        <x:v>47.84916666666666</x:v>
      </x:c>
      <x:c r="I587" s="52" t="n">
        <x:v>0.8888888888888888</x:v>
      </x:c>
      <x:c r="J587" s="52" t="n">
        <x:v>0.4166007767463731</x:v>
      </x:c>
      <x:c r="K587" s="60" t="n">
        <x:v>8385.21</x:v>
      </x:c>
      <x:c r="L587" s="60" t="n">
        <x:v>227.64</x:v>
      </x:c>
      <x:c r="M587" s="50" t="n">
        <x:v>160</x:v>
      </x:c>
      <x:c r="N587" s="50" t="n">
        <x:v>20</x:v>
      </x:c>
      <x:c r="O587" s="50" t="n">
        <x:v>158</x:v>
      </x:c>
      <x:c r="P587" s="50" t="n">
        <x:v>23</x:v>
      </x:c>
    </x:row>
    <x:row r="588" ht="36" customHeight="1">
      <x:c r="A588" s="53" t="n">
        <x:v>569</x:v>
      </x:c>
      <x:c r="B588" s="53" t="n">
        <x:v>1</x:v>
      </x:c>
      <x:c r="C588" s="40" t="str">
        <x:v>High-Value Frequent Shoppers</x:v>
      </x:c>
      <x:c r="D588" s="60" t="n">
        <x:v>6749.19</x:v>
      </x:c>
      <x:c r="E588" s="50" t="n">
        <x:v>102</x:v>
      </x:c>
      <x:c r="F588" s="46" t="n">
        <x:v>4.636363636363637</x:v>
      </x:c>
      <x:c r="G588" s="46" t="n">
        <x:v>1</x:v>
      </x:c>
      <x:c r="H588" s="61" t="n">
        <x:v>66.16852941176471</x:v>
      </x:c>
      <x:c r="I588" s="52" t="n">
        <x:v>0.892156862745098</x:v>
      </x:c>
      <x:c r="J588" s="52" t="n">
        <x:v>0.3173403030585892</x:v>
      </x:c>
      <x:c r="K588" s="60" t="n">
        <x:v>6436.24</x:v>
      </x:c>
      <x:c r="L588" s="60" t="n">
        <x:v>312.95</x:v>
      </x:c>
      <x:c r="M588" s="50" t="n">
        <x:v>91</x:v>
      </x:c>
      <x:c r="N588" s="50" t="n">
        <x:v>11</x:v>
      </x:c>
      <x:c r="O588" s="50" t="n">
        <x:v>183</x:v>
      </x:c>
      <x:c r="P588" s="50" t="n">
        <x:v>22</x:v>
      </x:c>
    </x:row>
    <x:row r="589" ht="36" customHeight="1">
      <x:c r="A589" s="53" t="n">
        <x:v>570</x:v>
      </x:c>
      <x:c r="B589" s="53" t="n">
        <x:v>2</x:v>
      </x:c>
      <x:c r="C589" s="40" t="str">
        <x:v>Large-Basket Occasional Shoppers</x:v>
      </x:c>
      <x:c r="D589" s="60" t="n">
        <x:v>1400.11</x:v>
      </x:c>
      <x:c r="E589" s="50" t="n">
        <x:v>35</x:v>
      </x:c>
      <x:c r="F589" s="46" t="n">
        <x:v>2.333333333333333</x:v>
      </x:c>
      <x:c r="G589" s="46" t="n">
        <x:v>0</x:v>
      </x:c>
      <x:c r="H589" s="61" t="n">
        <x:v>40.003142857142855</x:v>
      </x:c>
      <x:c r="I589" s="52" t="n">
        <x:v>0.8571428571428571</x:v>
      </x:c>
      <x:c r="J589" s="52" t="n">
        <x:v>0.6726614337444915</x:v>
      </x:c>
      <x:c r="K589" s="60" t="n">
        <x:v>1355.33</x:v>
      </x:c>
      <x:c r="L589" s="60" t="n">
        <x:v>44.78</x:v>
      </x:c>
      <x:c r="M589" s="50" t="n">
        <x:v>30</x:v>
      </x:c>
      <x:c r="N589" s="50" t="n">
        <x:v>5</x:v>
      </x:c>
      <x:c r="O589" s="50" t="n">
        <x:v>103</x:v>
      </x:c>
      <x:c r="P589" s="50" t="n">
        <x:v>15</x:v>
      </x:c>
    </x:row>
    <x:row r="590" ht="36" customHeight="1">
      <x:c r="A590" s="53" t="n">
        <x:v>571</x:v>
      </x:c>
      <x:c r="B590" s="53" t="n">
        <x:v>2</x:v>
      </x:c>
      <x:c r="C590" s="40" t="str">
        <x:v>Large-Basket Occasional Shoppers</x:v>
      </x:c>
      <x:c r="D590" s="60" t="n">
        <x:v>1114.16</x:v>
      </x:c>
      <x:c r="E590" s="50" t="n">
        <x:v>16</x:v>
      </x:c>
      <x:c r="F590" s="46" t="n">
        <x:v>1.6</x:v>
      </x:c>
      <x:c r="G590" s="46" t="n">
        <x:v>106</x:v>
      </x:c>
      <x:c r="H590" s="61" t="n">
        <x:v>69.635</x:v>
      </x:c>
      <x:c r="I590" s="52" t="n">
        <x:v>0.9375</x:v>
      </x:c>
      <x:c r="J590" s="52" t="n">
        <x:v>0.4034339771666546</x:v>
      </x:c>
      <x:c r="K590" s="60" t="n">
        <x:v>1105.49</x:v>
      </x:c>
      <x:c r="L590" s="60" t="n">
        <x:v>8.67</x:v>
      </x:c>
      <x:c r="M590" s="50" t="n">
        <x:v>15</x:v>
      </x:c>
      <x:c r="N590" s="50" t="n">
        <x:v>1</x:v>
      </x:c>
      <x:c r="O590" s="50" t="n">
        <x:v>100</x:v>
      </x:c>
      <x:c r="P590" s="50" t="n">
        <x:v>10</x:v>
      </x:c>
    </x:row>
    <x:row r="591" ht="36" customHeight="1">
      <x:c r="A591" s="53" t="n">
        <x:v>572</x:v>
      </x:c>
      <x:c r="B591" s="53" t="n">
        <x:v>3</x:v>
      </x:c>
      <x:c r="C591" s="40" t="str">
        <x:v>Low-Value Low-Engagement Shoppers</x:v>
      </x:c>
      <x:c r="D591" s="60" t="n">
        <x:v>903.15</x:v>
      </x:c>
      <x:c r="E591" s="50" t="n">
        <x:v>45</x:v>
      </x:c>
      <x:c r="F591" s="46" t="n">
        <x:v>9</x:v>
      </x:c>
      <x:c r="G591" s="46" t="n">
        <x:v>195</x:v>
      </x:c>
      <x:c r="H591" s="61" t="n">
        <x:v>20.07</x:v>
      </x:c>
      <x:c r="I591" s="52" t="n">
        <x:v>0.7777777777777777</x:v>
      </x:c>
      <x:c r="J591" s="52" t="n">
        <x:v>0.3382273155068371</x:v>
      </x:c>
      <x:c r="K591" s="60" t="n">
        <x:v>799.76</x:v>
      </x:c>
      <x:c r="L591" s="60" t="n">
        <x:v>103.39</x:v>
      </x:c>
      <x:c r="M591" s="50" t="n">
        <x:v>35</x:v>
      </x:c>
      <x:c r="N591" s="50" t="n">
        <x:v>10</x:v>
      </x:c>
      <x:c r="O591" s="50" t="n">
        <x:v>95</x:v>
      </x:c>
      <x:c r="P591" s="50" t="n">
        <x:v>5</x:v>
      </x:c>
    </x:row>
    <x:row r="592" ht="36" customHeight="1">
      <x:c r="A592" s="53" t="n">
        <x:v>573</x:v>
      </x:c>
      <x:c r="B592" s="53" t="n">
        <x:v>1</x:v>
      </x:c>
      <x:c r="C592" s="40" t="str">
        <x:v>High-Value Frequent Shoppers</x:v>
      </x:c>
      <x:c r="D592" s="60" t="n">
        <x:v>3111.55</x:v>
      </x:c>
      <x:c r="E592" s="50" t="n">
        <x:v>101</x:v>
      </x:c>
      <x:c r="F592" s="46" t="n">
        <x:v>5.05</x:v>
      </x:c>
      <x:c r="G592" s="46" t="n">
        <x:v>15</x:v>
      </x:c>
      <x:c r="H592" s="61" t="n">
        <x:v>30.807425742574257</x:v>
      </x:c>
      <x:c r="I592" s="52" t="n">
        <x:v>0.8217821782178217</x:v>
      </x:c>
      <x:c r="J592" s="52" t="n">
        <x:v>0.5047227266153524</x:v>
      </x:c>
      <x:c r="K592" s="60" t="n">
        <x:v>2913.5</x:v>
      </x:c>
      <x:c r="L592" s="60" t="n">
        <x:v>198.05</x:v>
      </x:c>
      <x:c r="M592" s="50" t="n">
        <x:v>83</x:v>
      </x:c>
      <x:c r="N592" s="50" t="n">
        <x:v>18</x:v>
      </x:c>
      <x:c r="O592" s="50" t="n">
        <x:v>144</x:v>
      </x:c>
      <x:c r="P592" s="50" t="n">
        <x:v>20</x:v>
      </x:c>
    </x:row>
    <x:row r="593" ht="36" customHeight="1">
      <x:c r="A593" s="53" t="n">
        <x:v>574</x:v>
      </x:c>
      <x:c r="B593" s="53" t="n">
        <x:v>1</x:v>
      </x:c>
      <x:c r="C593" s="40" t="str">
        <x:v>High-Value Frequent Shoppers</x:v>
      </x:c>
      <x:c r="D593" s="60" t="n">
        <x:v>6753.54</x:v>
      </x:c>
      <x:c r="E593" s="50" t="n">
        <x:v>120</x:v>
      </x:c>
      <x:c r="F593" s="46" t="n">
        <x:v>5.454545454545455</x:v>
      </x:c>
      <x:c r="G593" s="46" t="n">
        <x:v>0</x:v>
      </x:c>
      <x:c r="H593" s="61" t="n">
        <x:v>56.2795</x:v>
      </x:c>
      <x:c r="I593" s="52" t="n">
        <x:v>0.9583333333333331</x:v>
      </x:c>
      <x:c r="J593" s="52" t="n">
        <x:v>0.7787945284991278</x:v>
      </x:c>
      <x:c r="K593" s="60" t="n">
        <x:v>6722.49</x:v>
      </x:c>
      <x:c r="L593" s="60" t="n">
        <x:v>31.05</x:v>
      </x:c>
      <x:c r="M593" s="50" t="n">
        <x:v>115</x:v>
      </x:c>
      <x:c r="N593" s="50" t="n">
        <x:v>5</x:v>
      </x:c>
      <x:c r="O593" s="50" t="n">
        <x:v>146</x:v>
      </x:c>
      <x:c r="P593" s="50" t="n">
        <x:v>22</x:v>
      </x:c>
    </x:row>
    <x:row r="594" ht="36" customHeight="1">
      <x:c r="A594" s="53" t="n">
        <x:v>575</x:v>
      </x:c>
      <x:c r="B594" s="53" t="n">
        <x:v>1</x:v>
      </x:c>
      <x:c r="C594" s="40" t="str">
        <x:v>High-Value Frequent Shoppers</x:v>
      </x:c>
      <x:c r="D594" s="60" t="n">
        <x:v>11771.13</x:v>
      </x:c>
      <x:c r="E594" s="50" t="n">
        <x:v>356</x:v>
      </x:c>
      <x:c r="F594" s="46" t="n">
        <x:v>14.833333333333332</x:v>
      </x:c>
      <x:c r="G594" s="46" t="n">
        <x:v>0</x:v>
      </x:c>
      <x:c r="H594" s="61" t="n">
        <x:v>33.06497191011236</x:v>
      </x:c>
      <x:c r="I594" s="52" t="n">
        <x:v>0.898876404494382</x:v>
      </x:c>
      <x:c r="J594" s="52" t="n">
        <x:v>0.4807100082999678</x:v>
      </x:c>
      <x:c r="K594" s="60" t="n">
        <x:v>11383.28</x:v>
      </x:c>
      <x:c r="L594" s="60" t="n">
        <x:v>387.85</x:v>
      </x:c>
      <x:c r="M594" s="50" t="n">
        <x:v>320</x:v>
      </x:c>
      <x:c r="N594" s="50" t="n">
        <x:v>36</x:v>
      </x:c>
      <x:c r="O594" s="50" t="n">
        <x:v>198</x:v>
      </x:c>
      <x:c r="P594" s="50" t="n">
        <x:v>24</x:v>
      </x:c>
    </x:row>
    <x:row r="595" ht="36" customHeight="1">
      <x:c r="A595" s="53" t="n">
        <x:v>576</x:v>
      </x:c>
      <x:c r="B595" s="53" t="n">
        <x:v>1</x:v>
      </x:c>
      <x:c r="C595" s="40" t="str">
        <x:v>High-Value Frequent Shoppers</x:v>
      </x:c>
      <x:c r="D595" s="60" t="n">
        <x:v>3750.12</x:v>
      </x:c>
      <x:c r="E595" s="50" t="n">
        <x:v>167</x:v>
      </x:c>
      <x:c r="F595" s="46" t="n">
        <x:v>8.35</x:v>
      </x:c>
      <x:c r="G595" s="46" t="n">
        <x:v>32</x:v>
      </x:c>
      <x:c r="H595" s="61" t="n">
        <x:v>22.455808383233528</x:v>
      </x:c>
      <x:c r="I595" s="52" t="n">
        <x:v>0.688622754491018</x:v>
      </x:c>
      <x:c r="J595" s="52" t="n">
        <x:v>0.3691055219566307</x:v>
      </x:c>
      <x:c r="K595" s="60" t="n">
        <x:v>3096.16</x:v>
      </x:c>
      <x:c r="L595" s="60" t="n">
        <x:v>653.96</x:v>
      </x:c>
      <x:c r="M595" s="50" t="n">
        <x:v>115</x:v>
      </x:c>
      <x:c r="N595" s="50" t="n">
        <x:v>52</x:v>
      </x:c>
      <x:c r="O595" s="50" t="n">
        <x:v>167</x:v>
      </x:c>
      <x:c r="P595" s="50" t="n">
        <x:v>20</x:v>
      </x:c>
    </x:row>
    <x:row r="596" ht="36" customHeight="1">
      <x:c r="A596" s="53" t="n">
        <x:v>577</x:v>
      </x:c>
      <x:c r="B596" s="53" t="n">
        <x:v>2</x:v>
      </x:c>
      <x:c r="C596" s="40" t="str">
        <x:v>Large-Basket Occasional Shoppers</x:v>
      </x:c>
      <x:c r="D596" s="60" t="n">
        <x:v>4399.53</x:v>
      </x:c>
      <x:c r="E596" s="50" t="n">
        <x:v>38</x:v>
      </x:c>
      <x:c r="F596" s="46" t="n">
        <x:v>2.111111111111111</x:v>
      </x:c>
      <x:c r="G596" s="46" t="n">
        <x:v>4</x:v>
      </x:c>
      <x:c r="H596" s="61" t="n">
        <x:v>115.77710526315788</x:v>
      </x:c>
      <x:c r="I596" s="52" t="n">
        <x:v>0.8684210526315789</x:v>
      </x:c>
      <x:c r="J596" s="52" t="n">
        <x:v>0.3791836855300452</x:v>
      </x:c>
      <x:c r="K596" s="60" t="n">
        <x:v>4223.54</x:v>
      </x:c>
      <x:c r="L596" s="60" t="n">
        <x:v>175.99</x:v>
      </x:c>
      <x:c r="M596" s="50" t="n">
        <x:v>33</x:v>
      </x:c>
      <x:c r="N596" s="50" t="n">
        <x:v>5</x:v>
      </x:c>
      <x:c r="O596" s="50" t="n">
        <x:v>170</x:v>
      </x:c>
      <x:c r="P596" s="50" t="n">
        <x:v>18</x:v>
      </x:c>
    </x:row>
    <x:row r="597" ht="36" customHeight="1">
      <x:c r="A597" s="53" t="n">
        <x:v>578</x:v>
      </x:c>
      <x:c r="B597" s="53" t="n">
        <x:v>1</x:v>
      </x:c>
      <x:c r="C597" s="40" t="str">
        <x:v>High-Value Frequent Shoppers</x:v>
      </x:c>
      <x:c r="D597" s="60" t="n">
        <x:v>2996.69</x:v>
      </x:c>
      <x:c r="E597" s="50" t="n">
        <x:v>117</x:v>
      </x:c>
      <x:c r="F597" s="46" t="n">
        <x:v>5.3181818181818175</x:v>
      </x:c>
      <x:c r="G597" s="46" t="n">
        <x:v>7</x:v>
      </x:c>
      <x:c r="H597" s="61" t="n">
        <x:v>25.61273504273504</x:v>
      </x:c>
      <x:c r="I597" s="52" t="n">
        <x:v>0.7863247863247863</x:v>
      </x:c>
      <x:c r="J597" s="52" t="n">
        <x:v>0.4256796665654438</x:v>
      </x:c>
      <x:c r="K597" s="60" t="n">
        <x:v>2670.54</x:v>
      </x:c>
      <x:c r="L597" s="60" t="n">
        <x:v>326.15</x:v>
      </x:c>
      <x:c r="M597" s="50" t="n">
        <x:v>92</x:v>
      </x:c>
      <x:c r="N597" s="50" t="n">
        <x:v>25</x:v>
      </x:c>
      <x:c r="O597" s="50" t="n">
        <x:v>155</x:v>
      </x:c>
      <x:c r="P597" s="50" t="n">
        <x:v>22</x:v>
      </x:c>
    </x:row>
    <x:row r="598" ht="36" customHeight="1">
      <x:c r="A598" s="53" t="n">
        <x:v>579</x:v>
      </x:c>
      <x:c r="B598" s="53" t="n">
        <x:v>3</x:v>
      </x:c>
      <x:c r="C598" s="40" t="str">
        <x:v>Low-Value Low-Engagement Shoppers</x:v>
      </x:c>
      <x:c r="D598" s="60" t="n">
        <x:v>435.26</x:v>
      </x:c>
      <x:c r="E598" s="50" t="n">
        <x:v>23</x:v>
      </x:c>
      <x:c r="F598" s="46" t="n">
        <x:v>1.4375</x:v>
      </x:c>
      <x:c r="G598" s="46" t="n">
        <x:v>6</x:v>
      </x:c>
      <x:c r="H598" s="61" t="n">
        <x:v>18.92434782608696</x:v>
      </x:c>
      <x:c r="I598" s="52" t="n">
        <x:v>0.4782608695652173</x:v>
      </x:c>
      <x:c r="J598" s="52" t="n">
        <x:v>0.6112208794743371</x:v>
      </x:c>
      <x:c r="K598" s="60" t="n">
        <x:v>378.91</x:v>
      </x:c>
      <x:c r="L598" s="60" t="n">
        <x:v>56.35</x:v>
      </x:c>
      <x:c r="M598" s="50" t="n">
        <x:v>11</x:v>
      </x:c>
      <x:c r="N598" s="50" t="n">
        <x:v>12</x:v>
      </x:c>
      <x:c r="O598" s="50" t="n">
        <x:v>48</x:v>
      </x:c>
      <x:c r="P598" s="50" t="n">
        <x:v>16</x:v>
      </x:c>
    </x:row>
    <x:row r="599" ht="36" customHeight="1">
      <x:c r="A599" s="53" t="n">
        <x:v>580</x:v>
      </x:c>
      <x:c r="B599" s="53" t="n">
        <x:v>3</x:v>
      </x:c>
      <x:c r="C599" s="40" t="str">
        <x:v>Low-Value Low-Engagement Shoppers</x:v>
      </x:c>
      <x:c r="D599" s="60" t="n">
        <x:v>1337.7</x:v>
      </x:c>
      <x:c r="E599" s="50" t="n">
        <x:v>98</x:v>
      </x:c>
      <x:c r="F599" s="46" t="n">
        <x:v>4.260869565217392</x:v>
      </x:c>
      <x:c r="G599" s="46" t="n">
        <x:v>5</x:v>
      </x:c>
      <x:c r="H599" s="61" t="n">
        <x:v>13.65</x:v>
      </x:c>
      <x:c r="I599" s="52" t="n">
        <x:v>0.7142857142857142</x:v>
      </x:c>
      <x:c r="J599" s="52" t="n">
        <x:v>0.3756073858114674</x:v>
      </x:c>
      <x:c r="K599" s="60" t="n">
        <x:v>1044.54</x:v>
      </x:c>
      <x:c r="L599" s="60" t="n">
        <x:v>293.16</x:v>
      </x:c>
      <x:c r="M599" s="50" t="n">
        <x:v>70</x:v>
      </x:c>
      <x:c r="N599" s="50" t="n">
        <x:v>28</x:v>
      </x:c>
      <x:c r="O599" s="50" t="n">
        <x:v>67</x:v>
      </x:c>
      <x:c r="P599" s="50" t="n">
        <x:v>23</x:v>
      </x:c>
    </x:row>
    <x:row r="600" ht="36" customHeight="1">
      <x:c r="A600" s="53" t="n">
        <x:v>581</x:v>
      </x:c>
      <x:c r="B600" s="53" t="n">
        <x:v>1</x:v>
      </x:c>
      <x:c r="C600" s="40" t="str">
        <x:v>High-Value Frequent Shoppers</x:v>
      </x:c>
      <x:c r="D600" s="60" t="n">
        <x:v>5060.44</x:v>
      </x:c>
      <x:c r="E600" s="50" t="n">
        <x:v>146</x:v>
      </x:c>
      <x:c r="F600" s="46" t="n">
        <x:v>7.6842105263157885</x:v>
      </x:c>
      <x:c r="G600" s="46" t="n">
        <x:v>11</x:v>
      </x:c>
      <x:c r="H600" s="61" t="n">
        <x:v>34.66054794520548</x:v>
      </x:c>
      <x:c r="I600" s="52" t="n">
        <x:v>0.9383561643835616</x:v>
      </x:c>
      <x:c r="J600" s="52" t="n">
        <x:v>0.5797361494257416</x:v>
      </x:c>
      <x:c r="K600" s="60" t="n">
        <x:v>5020.54</x:v>
      </x:c>
      <x:c r="L600" s="60" t="n">
        <x:v>39.9</x:v>
      </x:c>
      <x:c r="M600" s="50" t="n">
        <x:v>137</x:v>
      </x:c>
      <x:c r="N600" s="50" t="n">
        <x:v>9</x:v>
      </x:c>
      <x:c r="O600" s="50" t="n">
        <x:v>156</x:v>
      </x:c>
      <x:c r="P600" s="50" t="n">
        <x:v>19</x:v>
      </x:c>
    </x:row>
    <x:row r="601" ht="36" customHeight="1">
      <x:c r="A601" s="53" t="n">
        <x:v>582</x:v>
      </x:c>
      <x:c r="B601" s="53" t="n">
        <x:v>1</x:v>
      </x:c>
      <x:c r="C601" s="40" t="str">
        <x:v>High-Value Frequent Shoppers</x:v>
      </x:c>
      <x:c r="D601" s="60" t="n">
        <x:v>5137.74</x:v>
      </x:c>
      <x:c r="E601" s="50" t="n">
        <x:v>142</x:v>
      </x:c>
      <x:c r="F601" s="46" t="n">
        <x:v>7.1</x:v>
      </x:c>
      <x:c r="G601" s="46" t="n">
        <x:v>2</x:v>
      </x:c>
      <x:c r="H601" s="61" t="n">
        <x:v>36.1812676056338</x:v>
      </x:c>
      <x:c r="I601" s="52" t="n">
        <x:v>0.8380281690140845</x:v>
      </x:c>
      <x:c r="J601" s="52" t="n">
        <x:v>0.349789985479997</x:v>
      </x:c>
      <x:c r="K601" s="60" t="n">
        <x:v>4799.88</x:v>
      </x:c>
      <x:c r="L601" s="60" t="n">
        <x:v>337.86</x:v>
      </x:c>
      <x:c r="M601" s="50" t="n">
        <x:v>119</x:v>
      </x:c>
      <x:c r="N601" s="50" t="n">
        <x:v>23</x:v>
      </x:c>
      <x:c r="O601" s="50" t="n">
        <x:v>163</x:v>
      </x:c>
      <x:c r="P601" s="50" t="n">
        <x:v>20</x:v>
      </x:c>
    </x:row>
    <x:row r="602" ht="36" customHeight="1">
      <x:c r="A602" s="53" t="n">
        <x:v>583</x:v>
      </x:c>
      <x:c r="B602" s="53" t="n">
        <x:v>1</x:v>
      </x:c>
      <x:c r="C602" s="40" t="str">
        <x:v>High-Value Frequent Shoppers</x:v>
      </x:c>
      <x:c r="D602" s="60" t="n">
        <x:v>3063.34</x:v>
      </x:c>
      <x:c r="E602" s="50" t="n">
        <x:v>156</x:v>
      </x:c>
      <x:c r="F602" s="46" t="n">
        <x:v>7.090909090909091</x:v>
      </x:c>
      <x:c r="G602" s="46" t="n">
        <x:v>21</x:v>
      </x:c>
      <x:c r="H602" s="61" t="n">
        <x:v>19.636794871794876</x:v>
      </x:c>
      <x:c r="I602" s="52" t="n">
        <x:v>0.6089743589743589</x:v>
      </x:c>
      <x:c r="J602" s="52" t="n">
        <x:v>0.4005334047151148</x:v>
      </x:c>
      <x:c r="K602" s="60" t="n">
        <x:v>2466.64</x:v>
      </x:c>
      <x:c r="L602" s="60" t="n">
        <x:v>596.7</x:v>
      </x:c>
      <x:c r="M602" s="50" t="n">
        <x:v>95</x:v>
      </x:c>
      <x:c r="N602" s="50" t="n">
        <x:v>61</x:v>
      </x:c>
      <x:c r="O602" s="50" t="n">
        <x:v>143</x:v>
      </x:c>
      <x:c r="P602" s="50" t="n">
        <x:v>22</x:v>
      </x:c>
    </x:row>
    <x:row r="603" ht="36" customHeight="1">
      <x:c r="A603" s="53" t="n">
        <x:v>584</x:v>
      </x:c>
      <x:c r="B603" s="53" t="n">
        <x:v>3</x:v>
      </x:c>
      <x:c r="C603" s="40" t="str">
        <x:v>Low-Value Low-Engagement Shoppers</x:v>
      </x:c>
      <x:c r="D603" s="60" t="n">
        <x:v>1098.3</x:v>
      </x:c>
      <x:c r="E603" s="50" t="n">
        <x:v>56</x:v>
      </x:c>
      <x:c r="F603" s="46" t="n">
        <x:v>4</x:v>
      </x:c>
      <x:c r="G603" s="46" t="n">
        <x:v>176</x:v>
      </x:c>
      <x:c r="H603" s="61" t="n">
        <x:v>19.6125</x:v>
      </x:c>
      <x:c r="I603" s="52" t="n">
        <x:v>0.7321428571428571</x:v>
      </x:c>
      <x:c r="J603" s="52" t="n">
        <x:v>0.6133205863607393</x:v>
      </x:c>
      <x:c r="K603" s="60" t="n">
        <x:v>969.22</x:v>
      </x:c>
      <x:c r="L603" s="60" t="n">
        <x:v>129.08</x:v>
      </x:c>
      <x:c r="M603" s="50" t="n">
        <x:v>41</x:v>
      </x:c>
      <x:c r="N603" s="50" t="n">
        <x:v>15</x:v>
      </x:c>
      <x:c r="O603" s="50" t="n">
        <x:v>70</x:v>
      </x:c>
      <x:c r="P603" s="50" t="n">
        <x:v>14</x:v>
      </x:c>
    </x:row>
    <x:row r="604" ht="36" customHeight="1">
      <x:c r="A604" s="53" t="n">
        <x:v>585</x:v>
      </x:c>
      <x:c r="B604" s="53" t="n">
        <x:v>3</x:v>
      </x:c>
      <x:c r="C604" s="40" t="str">
        <x:v>Low-Value Low-Engagement Shoppers</x:v>
      </x:c>
      <x:c r="D604" s="60" t="n">
        <x:v>805.07</x:v>
      </x:c>
      <x:c r="E604" s="50" t="n">
        <x:v>42</x:v>
      </x:c>
      <x:c r="F604" s="46" t="n">
        <x:v>2.1</x:v>
      </x:c>
      <x:c r="G604" s="46" t="n">
        <x:v>21</x:v>
      </x:c>
      <x:c r="H604" s="61" t="n">
        <x:v>19.168333333333333</x:v>
      </x:c>
      <x:c r="I604" s="52" t="n">
        <x:v>0.8333333333333333</x:v>
      </x:c>
      <x:c r="J604" s="52" t="n">
        <x:v>0.5486355223769361</x:v>
      </x:c>
      <x:c r="K604" s="60" t="n">
        <x:v>726.51</x:v>
      </x:c>
      <x:c r="L604" s="60" t="n">
        <x:v>78.56</x:v>
      </x:c>
      <x:c r="M604" s="50" t="n">
        <x:v>35</x:v>
      </x:c>
      <x:c r="N604" s="50" t="n">
        <x:v>7</x:v>
      </x:c>
      <x:c r="O604" s="50" t="n">
        <x:v>79</x:v>
      </x:c>
      <x:c r="P604" s="50" t="n">
        <x:v>20</x:v>
      </x:c>
    </x:row>
    <x:row r="605" ht="36" customHeight="1">
      <x:c r="A605" s="53" t="n">
        <x:v>586</x:v>
      </x:c>
      <x:c r="B605" s="53" t="n">
        <x:v>1</x:v>
      </x:c>
      <x:c r="C605" s="40" t="str">
        <x:v>High-Value Frequent Shoppers</x:v>
      </x:c>
      <x:c r="D605" s="60" t="n">
        <x:v>5822.64</x:v>
      </x:c>
      <x:c r="E605" s="50" t="n">
        <x:v>211</x:v>
      </x:c>
      <x:c r="F605" s="46" t="n">
        <x:v>9.173913043478262</x:v>
      </x:c>
      <x:c r="G605" s="46" t="n">
        <x:v>0</x:v>
      </x:c>
      <x:c r="H605" s="61" t="n">
        <x:v>27.595450236966823</x:v>
      </x:c>
      <x:c r="I605" s="52" t="n">
        <x:v>0.8199052132701421</x:v>
      </x:c>
      <x:c r="J605" s="52" t="n">
        <x:v>0.5183507824629378</x:v>
      </x:c>
      <x:c r="K605" s="60" t="n">
        <x:v>5368.23</x:v>
      </x:c>
      <x:c r="L605" s="60" t="n">
        <x:v>454.41</x:v>
      </x:c>
      <x:c r="M605" s="50" t="n">
        <x:v>173</x:v>
      </x:c>
      <x:c r="N605" s="50" t="n">
        <x:v>38</x:v>
      </x:c>
      <x:c r="O605" s="50" t="n">
        <x:v>155</x:v>
      </x:c>
      <x:c r="P605" s="50" t="n">
        <x:v>23</x:v>
      </x:c>
    </x:row>
    <x:row r="606" ht="36" customHeight="1">
      <x:c r="A606" s="53" t="n">
        <x:v>587</x:v>
      </x:c>
      <x:c r="B606" s="53" t="n">
        <x:v>3</x:v>
      </x:c>
      <x:c r="C606" s="40" t="str">
        <x:v>Low-Value Low-Engagement Shoppers</x:v>
      </x:c>
      <x:c r="D606" s="60" t="n">
        <x:v>247.93</x:v>
      </x:c>
      <x:c r="E606" s="50" t="n">
        <x:v>27</x:v>
      </x:c>
      <x:c r="F606" s="46" t="n">
        <x:v>1.9285714285714288</x:v>
      </x:c>
      <x:c r="G606" s="46" t="n">
        <x:v>0</x:v>
      </x:c>
      <x:c r="H606" s="61" t="n">
        <x:v>9.182592592592592</x:v>
      </x:c>
      <x:c r="I606" s="52" t="n">
        <x:v>0.8888888888888888</x:v>
      </x:c>
      <x:c r="J606" s="52" t="n">
        <x:v>0.593594966321139</x:v>
      </x:c>
      <x:c r="K606" s="60" t="n">
        <x:v>233.65</x:v>
      </x:c>
      <x:c r="L606" s="60" t="n">
        <x:v>14.28</x:v>
      </x:c>
      <x:c r="M606" s="50" t="n">
        <x:v>24</x:v>
      </x:c>
      <x:c r="N606" s="50" t="n">
        <x:v>3</x:v>
      </x:c>
      <x:c r="O606" s="50" t="n">
        <x:v>50</x:v>
      </x:c>
      <x:c r="P606" s="50" t="n">
        <x:v>14</x:v>
      </x:c>
    </x:row>
    <x:row r="607" ht="36" customHeight="1">
      <x:c r="A607" s="53" t="n">
        <x:v>588</x:v>
      </x:c>
      <x:c r="B607" s="53" t="n">
        <x:v>1</x:v>
      </x:c>
      <x:c r="C607" s="40" t="str">
        <x:v>High-Value Frequent Shoppers</x:v>
      </x:c>
      <x:c r="D607" s="60" t="n">
        <x:v>9540.54</x:v>
      </x:c>
      <x:c r="E607" s="50" t="n">
        <x:v>262</x:v>
      </x:c>
      <x:c r="F607" s="46" t="n">
        <x:v>10.916666666666666</x:v>
      </x:c>
      <x:c r="G607" s="46" t="n">
        <x:v>1</x:v>
      </x:c>
      <x:c r="H607" s="61" t="n">
        <x:v>36.41427480916031</x:v>
      </x:c>
      <x:c r="I607" s="52" t="n">
        <x:v>0.8167938931297709</x:v>
      </x:c>
      <x:c r="J607" s="52" t="n">
        <x:v>0.5318608799921178</x:v>
      </x:c>
      <x:c r="K607" s="60" t="n">
        <x:v>8960.11</x:v>
      </x:c>
      <x:c r="L607" s="60" t="n">
        <x:v>580.43</x:v>
      </x:c>
      <x:c r="M607" s="50" t="n">
        <x:v>214</x:v>
      </x:c>
      <x:c r="N607" s="50" t="n">
        <x:v>48</x:v>
      </x:c>
      <x:c r="O607" s="50" t="n">
        <x:v>188</x:v>
      </x:c>
      <x:c r="P607" s="50" t="n">
        <x:v>24</x:v>
      </x:c>
    </x:row>
    <x:row r="608" ht="36" customHeight="1">
      <x:c r="A608" s="53" t="n">
        <x:v>589</x:v>
      </x:c>
      <x:c r="B608" s="53" t="n">
        <x:v>3</x:v>
      </x:c>
      <x:c r="C608" s="40" t="str">
        <x:v>Low-Value Low-Engagement Shoppers</x:v>
      </x:c>
      <x:c r="D608" s="60" t="n">
        <x:v>298.97</x:v>
      </x:c>
      <x:c r="E608" s="50" t="n">
        <x:v>17</x:v>
      </x:c>
      <x:c r="F608" s="46" t="n">
        <x:v>1.7</x:v>
      </x:c>
      <x:c r="G608" s="46" t="n">
        <x:v>19</x:v>
      </x:c>
      <x:c r="H608" s="61" t="n">
        <x:v>17.586470588235294</x:v>
      </x:c>
      <x:c r="I608" s="52" t="n">
        <x:v>0.7647058823529411</x:v>
      </x:c>
      <x:c r="J608" s="52" t="n">
        <x:v>0.5456400307723182</x:v>
      </x:c>
      <x:c r="K608" s="60" t="n">
        <x:v>286.6</x:v>
      </x:c>
      <x:c r="L608" s="60" t="n">
        <x:v>12.37</x:v>
      </x:c>
      <x:c r="M608" s="50" t="n">
        <x:v>13</x:v>
      </x:c>
      <x:c r="N608" s="50" t="n">
        <x:v>4</x:v>
      </x:c>
      <x:c r="O608" s="50" t="n">
        <x:v>53</x:v>
      </x:c>
      <x:c r="P608" s="50" t="n">
        <x:v>10</x:v>
      </x:c>
    </x:row>
    <x:row r="609" ht="36" customHeight="1">
      <x:c r="A609" s="53" t="n">
        <x:v>590</x:v>
      </x:c>
      <x:c r="B609" s="53" t="n">
        <x:v>1</x:v>
      </x:c>
      <x:c r="C609" s="40" t="str">
        <x:v>High-Value Frequent Shoppers</x:v>
      </x:c>
      <x:c r="D609" s="60" t="n">
        <x:v>3338.41</x:v>
      </x:c>
      <x:c r="E609" s="50" t="n">
        <x:v>134</x:v>
      </x:c>
      <x:c r="F609" s="46" t="n">
        <x:v>7.444444444444445</x:v>
      </x:c>
      <x:c r="G609" s="46" t="n">
        <x:v>3</x:v>
      </x:c>
      <x:c r="H609" s="61" t="n">
        <x:v>24.913507462686567</x:v>
      </x:c>
      <x:c r="I609" s="52" t="n">
        <x:v>0.7313432835820896</x:v>
      </x:c>
      <x:c r="J609" s="52" t="n">
        <x:v>0.4876752705629326</x:v>
      </x:c>
      <x:c r="K609" s="60" t="n">
        <x:v>3143.18</x:v>
      </x:c>
      <x:c r="L609" s="60" t="n">
        <x:v>195.23</x:v>
      </x:c>
      <x:c r="M609" s="50" t="n">
        <x:v>98</x:v>
      </x:c>
      <x:c r="N609" s="50" t="n">
        <x:v>36</x:v>
      </x:c>
      <x:c r="O609" s="50" t="n">
        <x:v>131</x:v>
      </x:c>
      <x:c r="P609" s="50" t="n">
        <x:v>18</x:v>
      </x:c>
    </x:row>
    <x:row r="610" ht="36" customHeight="1">
      <x:c r="A610" s="53" t="n">
        <x:v>591</x:v>
      </x:c>
      <x:c r="B610" s="53" t="n">
        <x:v>1</x:v>
      </x:c>
      <x:c r="C610" s="40" t="str">
        <x:v>High-Value Frequent Shoppers</x:v>
      </x:c>
      <x:c r="D610" s="60" t="n">
        <x:v>13534.93</x:v>
      </x:c>
      <x:c r="E610" s="50" t="n">
        <x:v>324</x:v>
      </x:c>
      <x:c r="F610" s="46" t="n">
        <x:v>14.08695652173913</x:v>
      </x:c>
      <x:c r="G610" s="46" t="n">
        <x:v>0</x:v>
      </x:c>
      <x:c r="H610" s="61" t="n">
        <x:v>41.774475308641975</x:v>
      </x:c>
      <x:c r="I610" s="52" t="n">
        <x:v>0.9104938271604938</x:v>
      </x:c>
      <x:c r="J610" s="52" t="n">
        <x:v>0.4411445053650074</x:v>
      </x:c>
      <x:c r="K610" s="60" t="n">
        <x:v>13064.17</x:v>
      </x:c>
      <x:c r="L610" s="60" t="n">
        <x:v>470.76</x:v>
      </x:c>
      <x:c r="M610" s="50" t="n">
        <x:v>295</x:v>
      </x:c>
      <x:c r="N610" s="50" t="n">
        <x:v>29</x:v>
      </x:c>
      <x:c r="O610" s="50" t="n">
        <x:v>195</x:v>
      </x:c>
      <x:c r="P610" s="50" t="n">
        <x:v>23</x:v>
      </x:c>
    </x:row>
    <x:row r="611" ht="36" customHeight="1">
      <x:c r="A611" s="53" t="n">
        <x:v>592</x:v>
      </x:c>
      <x:c r="B611" s="53" t="n">
        <x:v>2</x:v>
      </x:c>
      <x:c r="C611" s="40" t="str">
        <x:v>Large-Basket Occasional Shoppers</x:v>
      </x:c>
      <x:c r="D611" s="60" t="n">
        <x:v>660.79</x:v>
      </x:c>
      <x:c r="E611" s="50" t="n">
        <x:v>34</x:v>
      </x:c>
      <x:c r="F611" s="46" t="n">
        <x:v>2.428571428571429</x:v>
      </x:c>
      <x:c r="G611" s="46" t="n">
        <x:v>53</x:v>
      </x:c>
      <x:c r="H611" s="61" t="n">
        <x:v>19.435</x:v>
      </x:c>
      <x:c r="I611" s="52" t="n">
        <x:v>0.8823529411764705</x:v>
      </x:c>
      <x:c r="J611" s="52" t="n">
        <x:v>0.5434858275700298</x:v>
      </x:c>
      <x:c r="K611" s="60" t="n">
        <x:v>633.39</x:v>
      </x:c>
      <x:c r="L611" s="60" t="n">
        <x:v>27.4</x:v>
      </x:c>
      <x:c r="M611" s="50" t="n">
        <x:v>30</x:v>
      </x:c>
      <x:c r="N611" s="50" t="n">
        <x:v>4</x:v>
      </x:c>
      <x:c r="O611" s="50" t="n">
        <x:v>91</x:v>
      </x:c>
      <x:c r="P611" s="50" t="n">
        <x:v>14</x:v>
      </x:c>
    </x:row>
    <x:row r="612" ht="36" customHeight="1">
      <x:c r="A612" s="53" t="n">
        <x:v>593</x:v>
      </x:c>
      <x:c r="B612" s="53" t="n">
        <x:v>3</x:v>
      </x:c>
      <x:c r="C612" s="40" t="str">
        <x:v>Low-Value Low-Engagement Shoppers</x:v>
      </x:c>
      <x:c r="D612" s="60" t="n">
        <x:v>646.4</x:v>
      </x:c>
      <x:c r="E612" s="50" t="n">
        <x:v>57</x:v>
      </x:c>
      <x:c r="F612" s="46" t="n">
        <x:v>3.352941176470588</x:v>
      </x:c>
      <x:c r="G612" s="46" t="n">
        <x:v>20</x:v>
      </x:c>
      <x:c r="H612" s="61" t="n">
        <x:v>11.340350877192982</x:v>
      </x:c>
      <x:c r="I612" s="52" t="n">
        <x:v>0.7368421052631579</x:v>
      </x:c>
      <x:c r="J612" s="52" t="n">
        <x:v>0.4384436881188118</x:v>
      </x:c>
      <x:c r="K612" s="60" t="n">
        <x:v>576.72</x:v>
      </x:c>
      <x:c r="L612" s="60" t="n">
        <x:v>69.68</x:v>
      </x:c>
      <x:c r="M612" s="50" t="n">
        <x:v>42</x:v>
      </x:c>
      <x:c r="N612" s="50" t="n">
        <x:v>15</x:v>
      </x:c>
      <x:c r="O612" s="50" t="n">
        <x:v>95</x:v>
      </x:c>
      <x:c r="P612" s="50" t="n">
        <x:v>17</x:v>
      </x:c>
    </x:row>
    <x:row r="613" ht="36" customHeight="1">
      <x:c r="A613" s="53" t="n">
        <x:v>594</x:v>
      </x:c>
      <x:c r="B613" s="53" t="n">
        <x:v>1</x:v>
      </x:c>
      <x:c r="C613" s="40" t="str">
        <x:v>High-Value Frequent Shoppers</x:v>
      </x:c>
      <x:c r="D613" s="60" t="n">
        <x:v>2421.39</x:v>
      </x:c>
      <x:c r="E613" s="50" t="n">
        <x:v>103</x:v>
      </x:c>
      <x:c r="F613" s="46" t="n">
        <x:v>5.15</x:v>
      </x:c>
      <x:c r="G613" s="46" t="n">
        <x:v>6</x:v>
      </x:c>
      <x:c r="H613" s="61" t="n">
        <x:v>23.50864077669903</x:v>
      </x:c>
      <x:c r="I613" s="52" t="n">
        <x:v>0.8640776699029126</x:v>
      </x:c>
      <x:c r="J613" s="52" t="n">
        <x:v>0.6562139927892656</x:v>
      </x:c>
      <x:c r="K613" s="60" t="n">
        <x:v>2330.94</x:v>
      </x:c>
      <x:c r="L613" s="60" t="n">
        <x:v>90.45</x:v>
      </x:c>
      <x:c r="M613" s="50" t="n">
        <x:v>89</x:v>
      </x:c>
      <x:c r="N613" s="50" t="n">
        <x:v>14</x:v>
      </x:c>
      <x:c r="O613" s="50" t="n">
        <x:v>130</x:v>
      </x:c>
      <x:c r="P613" s="50" t="n">
        <x:v>20</x:v>
      </x:c>
    </x:row>
    <x:row r="614" ht="36" customHeight="1">
      <x:c r="A614" s="53" t="n">
        <x:v>595</x:v>
      </x:c>
      <x:c r="B614" s="53" t="n">
        <x:v>1</x:v>
      </x:c>
      <x:c r="C614" s="40" t="str">
        <x:v>High-Value Frequent Shoppers</x:v>
      </x:c>
      <x:c r="D614" s="60" t="n">
        <x:v>2373.74</x:v>
      </x:c>
      <x:c r="E614" s="50" t="n">
        <x:v>146</x:v>
      </x:c>
      <x:c r="F614" s="46" t="n">
        <x:v>6.636363636363637</x:v>
      </x:c>
      <x:c r="G614" s="46" t="n">
        <x:v>2</x:v>
      </x:c>
      <x:c r="H614" s="61" t="n">
        <x:v>16.25849315068493</x:v>
      </x:c>
      <x:c r="I614" s="52" t="n">
        <x:v>0.8630136986301369</x:v>
      </x:c>
      <x:c r="J614" s="52" t="n">
        <x:v>0.5401855300074987</x:v>
      </x:c>
      <x:c r="K614" s="60" t="n">
        <x:v>2237.54</x:v>
      </x:c>
      <x:c r="L614" s="60" t="n">
        <x:v>136.2</x:v>
      </x:c>
      <x:c r="M614" s="50" t="n">
        <x:v>126</x:v>
      </x:c>
      <x:c r="N614" s="50" t="n">
        <x:v>20</x:v>
      </x:c>
      <x:c r="O614" s="50" t="n">
        <x:v>141</x:v>
      </x:c>
      <x:c r="P614" s="50" t="n">
        <x:v>22</x:v>
      </x:c>
    </x:row>
    <x:row r="615" ht="36" customHeight="1">
      <x:c r="A615" s="53" t="n">
        <x:v>596</x:v>
      </x:c>
      <x:c r="B615" s="53" t="n">
        <x:v>1</x:v>
      </x:c>
      <x:c r="C615" s="40" t="str">
        <x:v>High-Value Frequent Shoppers</x:v>
      </x:c>
      <x:c r="D615" s="60" t="n">
        <x:v>2996.37</x:v>
      </x:c>
      <x:c r="E615" s="50" t="n">
        <x:v>113</x:v>
      </x:c>
      <x:c r="F615" s="46" t="n">
        <x:v>4.913043478260869</x:v>
      </x:c>
      <x:c r="G615" s="46" t="n">
        <x:v>0</x:v>
      </x:c>
      <x:c r="H615" s="61" t="n">
        <x:v>26.51654867256637</x:v>
      </x:c>
      <x:c r="I615" s="52" t="n">
        <x:v>0.7345132743362831</x:v>
      </x:c>
      <x:c r="J615" s="52" t="n">
        <x:v>0.2729435950833842</x:v>
      </x:c>
      <x:c r="K615" s="60" t="n">
        <x:v>2507.41</x:v>
      </x:c>
      <x:c r="L615" s="60" t="n">
        <x:v>488.96</x:v>
      </x:c>
      <x:c r="M615" s="50" t="n">
        <x:v>83</x:v>
      </x:c>
      <x:c r="N615" s="50" t="n">
        <x:v>30</x:v>
      </x:c>
      <x:c r="O615" s="50" t="n">
        <x:v>124</x:v>
      </x:c>
      <x:c r="P615" s="50" t="n">
        <x:v>23</x:v>
      </x:c>
    </x:row>
    <x:row r="616" ht="36" customHeight="1">
      <x:c r="A616" s="53" t="n">
        <x:v>597</x:v>
      </x:c>
      <x:c r="B616" s="53" t="n">
        <x:v>1</x:v>
      </x:c>
      <x:c r="C616" s="40" t="str">
        <x:v>High-Value Frequent Shoppers</x:v>
      </x:c>
      <x:c r="D616" s="60" t="n">
        <x:v>3826.25</x:v>
      </x:c>
      <x:c r="E616" s="50" t="n">
        <x:v>99</x:v>
      </x:c>
      <x:c r="F616" s="46" t="n">
        <x:v>4.5</x:v>
      </x:c>
      <x:c r="G616" s="46" t="n">
        <x:v>3</x:v>
      </x:c>
      <x:c r="H616" s="61" t="n">
        <x:v>38.648989898989896</x:v>
      </x:c>
      <x:c r="I616" s="52" t="n">
        <x:v>0.7878787878787878</x:v>
      </x:c>
      <x:c r="J616" s="52" t="n">
        <x:v>0.4706723293041489</x:v>
      </x:c>
      <x:c r="K616" s="60" t="n">
        <x:v>3657.33</x:v>
      </x:c>
      <x:c r="L616" s="60" t="n">
        <x:v>168.92</x:v>
      </x:c>
      <x:c r="M616" s="50" t="n">
        <x:v>78</x:v>
      </x:c>
      <x:c r="N616" s="50" t="n">
        <x:v>21</x:v>
      </x:c>
      <x:c r="O616" s="50" t="n">
        <x:v>152</x:v>
      </x:c>
      <x:c r="P616" s="50" t="n">
        <x:v>22</x:v>
      </x:c>
    </x:row>
    <x:row r="617" ht="36" customHeight="1">
      <x:c r="A617" s="53" t="n">
        <x:v>598</x:v>
      </x:c>
      <x:c r="B617" s="53" t="n">
        <x:v>1</x:v>
      </x:c>
      <x:c r="C617" s="40" t="str">
        <x:v>High-Value Frequent Shoppers</x:v>
      </x:c>
      <x:c r="D617" s="60" t="n">
        <x:v>3354.9</x:v>
      </x:c>
      <x:c r="E617" s="50" t="n">
        <x:v>213</x:v>
      </x:c>
      <x:c r="F617" s="46" t="n">
        <x:v>9.260869565217392</x:v>
      </x:c>
      <x:c r="G617" s="46" t="n">
        <x:v>1</x:v>
      </x:c>
      <x:c r="H617" s="61" t="n">
        <x:v>15.750704225352113</x:v>
      </x:c>
      <x:c r="I617" s="52" t="n">
        <x:v>0.7981220657276995</x:v>
      </x:c>
      <x:c r="J617" s="52" t="n">
        <x:v>0.4911860264091329</x:v>
      </x:c>
      <x:c r="K617" s="60" t="n">
        <x:v>2991.51</x:v>
      </x:c>
      <x:c r="L617" s="60" t="n">
        <x:v>363.39</x:v>
      </x:c>
      <x:c r="M617" s="50" t="n">
        <x:v>170</x:v>
      </x:c>
      <x:c r="N617" s="50" t="n">
        <x:v>43</x:v>
      </x:c>
      <x:c r="O617" s="50" t="n">
        <x:v>132</x:v>
      </x:c>
      <x:c r="P617" s="50" t="n">
        <x:v>23</x:v>
      </x:c>
    </x:row>
    <x:row r="618" ht="36" customHeight="1">
      <x:c r="A618" s="53" t="n">
        <x:v>599</x:v>
      </x:c>
      <x:c r="B618" s="53" t="n">
        <x:v>2</x:v>
      </x:c>
      <x:c r="C618" s="40" t="str">
        <x:v>Large-Basket Occasional Shoppers</x:v>
      </x:c>
      <x:c r="D618" s="60" t="n">
        <x:v>357.78</x:v>
      </x:c>
      <x:c r="E618" s="50" t="n">
        <x:v>5</x:v>
      </x:c>
      <x:c r="F618" s="46" t="n">
        <x:v>1.25</x:v>
      </x:c>
      <x:c r="G618" s="46" t="n">
        <x:v>67</x:v>
      </x:c>
      <x:c r="H618" s="61" t="n">
        <x:v>71.556</x:v>
      </x:c>
      <x:c r="I618" s="52" t="n">
        <x:v>0.8</x:v>
      </x:c>
      <x:c r="J618" s="52" t="n">
        <x:v>0.2645480462854267</x:v>
      </x:c>
      <x:c r="K618" s="60" t="n">
        <x:v>355.2</x:v>
      </x:c>
      <x:c r="L618" s="60" t="n">
        <x:v>2.58</x:v>
      </x:c>
      <x:c r="M618" s="50" t="n">
        <x:v>4</x:v>
      </x:c>
      <x:c r="N618" s="50" t="n">
        <x:v>1</x:v>
      </x:c>
      <x:c r="O618" s="50" t="n">
        <x:v>63</x:v>
      </x:c>
      <x:c r="P618" s="50" t="n">
        <x:v>4</x:v>
      </x:c>
    </x:row>
    <x:row r="619" ht="36" customHeight="1">
      <x:c r="A619" s="53" t="n">
        <x:v>600</x:v>
      </x:c>
      <x:c r="B619" s="53" t="n">
        <x:v>1</x:v>
      </x:c>
      <x:c r="C619" s="40" t="str">
        <x:v>High-Value Frequent Shoppers</x:v>
      </x:c>
      <x:c r="D619" s="60" t="n">
        <x:v>5520.3</x:v>
      </x:c>
      <x:c r="E619" s="50" t="n">
        <x:v>166</x:v>
      </x:c>
      <x:c r="F619" s="46" t="n">
        <x:v>8.3</x:v>
      </x:c>
      <x:c r="G619" s="46" t="n">
        <x:v>0</x:v>
      </x:c>
      <x:c r="H619" s="61" t="n">
        <x:v>33.25481927710844</x:v>
      </x:c>
      <x:c r="I619" s="52" t="n">
        <x:v>0.8855421686746987</x:v>
      </x:c>
      <x:c r="J619" s="52" t="n">
        <x:v>0.6620074995924135</x:v>
      </x:c>
      <x:c r="K619" s="60" t="n">
        <x:v>5334.33</x:v>
      </x:c>
      <x:c r="L619" s="60" t="n">
        <x:v>185.97</x:v>
      </x:c>
      <x:c r="M619" s="50" t="n">
        <x:v>147</x:v>
      </x:c>
      <x:c r="N619" s="50" t="n">
        <x:v>19</x:v>
      </x:c>
      <x:c r="O619" s="50" t="n">
        <x:v>153</x:v>
      </x:c>
      <x:c r="P619" s="50" t="n">
        <x:v>20</x:v>
      </x:c>
    </x:row>
    <x:row r="620" ht="36" customHeight="1">
      <x:c r="A620" s="53" t="n">
        <x:v>601</x:v>
      </x:c>
      <x:c r="B620" s="53" t="n">
        <x:v>1</x:v>
      </x:c>
      <x:c r="C620" s="40" t="str">
        <x:v>High-Value Frequent Shoppers</x:v>
      </x:c>
      <x:c r="D620" s="60" t="n">
        <x:v>5241.27</x:v>
      </x:c>
      <x:c r="E620" s="50" t="n">
        <x:v>78</x:v>
      </x:c>
      <x:c r="F620" s="46" t="n">
        <x:v>3.5454545454545454</x:v>
      </x:c>
      <x:c r="G620" s="46" t="n">
        <x:v>1</x:v>
      </x:c>
      <x:c r="H620" s="61" t="n">
        <x:v>67.19576923076923</x:v>
      </x:c>
      <x:c r="I620" s="52" t="n">
        <x:v>0.9615384615384616</x:v>
      </x:c>
      <x:c r="J620" s="52" t="n">
        <x:v>0.5277213347146779</x:v>
      </x:c>
      <x:c r="K620" s="60" t="n">
        <x:v>5171.34</x:v>
      </x:c>
      <x:c r="L620" s="60" t="n">
        <x:v>69.93</x:v>
      </x:c>
      <x:c r="M620" s="50" t="n">
        <x:v>75</x:v>
      </x:c>
      <x:c r="N620" s="50" t="n">
        <x:v>3</x:v>
      </x:c>
      <x:c r="O620" s="50" t="n">
        <x:v>154</x:v>
      </x:c>
      <x:c r="P620" s="50" t="n">
        <x:v>22</x:v>
      </x:c>
    </x:row>
    <x:row r="621" ht="36" customHeight="1">
      <x:c r="A621" s="53" t="n">
        <x:v>602</x:v>
      </x:c>
      <x:c r="B621" s="53" t="n">
        <x:v>2</x:v>
      </x:c>
      <x:c r="C621" s="40" t="str">
        <x:v>Large-Basket Occasional Shoppers</x:v>
      </x:c>
      <x:c r="D621" s="60" t="n">
        <x:v>1850.07</x:v>
      </x:c>
      <x:c r="E621" s="50" t="n">
        <x:v>53</x:v>
      </x:c>
      <x:c r="F621" s="46" t="n">
        <x:v>4.8181818181818175</x:v>
      </x:c>
      <x:c r="G621" s="46" t="n">
        <x:v>34</x:v>
      </x:c>
      <x:c r="H621" s="61" t="n">
        <x:v>34.90698113207547</x:v>
      </x:c>
      <x:c r="I621" s="52" t="n">
        <x:v>0.9245283018867924</x:v>
      </x:c>
      <x:c r="J621" s="52" t="n">
        <x:v>0.6208305631678801</x:v>
      </x:c>
      <x:c r="K621" s="60" t="n">
        <x:v>1794.52</x:v>
      </x:c>
      <x:c r="L621" s="60" t="n">
        <x:v>55.55</x:v>
      </x:c>
      <x:c r="M621" s="50" t="n">
        <x:v>49</x:v>
      </x:c>
      <x:c r="N621" s="50" t="n">
        <x:v>4</x:v>
      </x:c>
      <x:c r="O621" s="50" t="n">
        <x:v>98</x:v>
      </x:c>
      <x:c r="P621" s="50" t="n">
        <x:v>11</x:v>
      </x:c>
    </x:row>
    <x:row r="622" ht="36" customHeight="1">
      <x:c r="A622" s="53" t="n">
        <x:v>603</x:v>
      </x:c>
      <x:c r="B622" s="53" t="n">
        <x:v>1</x:v>
      </x:c>
      <x:c r="C622" s="40" t="str">
        <x:v>High-Value Frequent Shoppers</x:v>
      </x:c>
      <x:c r="D622" s="60" t="n">
        <x:v>3219.5</x:v>
      </x:c>
      <x:c r="E622" s="50" t="n">
        <x:v>180</x:v>
      </x:c>
      <x:c r="F622" s="46" t="n">
        <x:v>8.571428571428571</x:v>
      </x:c>
      <x:c r="G622" s="46" t="n">
        <x:v>1</x:v>
      </x:c>
      <x:c r="H622" s="61" t="n">
        <x:v>17.886111111111113</x:v>
      </x:c>
      <x:c r="I622" s="52" t="n">
        <x:v>0.8</x:v>
      </x:c>
      <x:c r="J622" s="52" t="n">
        <x:v>0.5762168038515297</x:v>
      </x:c>
      <x:c r="K622" s="60" t="n">
        <x:v>3033.81</x:v>
      </x:c>
      <x:c r="L622" s="60" t="n">
        <x:v>185.69</x:v>
      </x:c>
      <x:c r="M622" s="50" t="n">
        <x:v>144</x:v>
      </x:c>
      <x:c r="N622" s="50" t="n">
        <x:v>36</x:v>
      </x:c>
      <x:c r="O622" s="50" t="n">
        <x:v>142</x:v>
      </x:c>
      <x:c r="P622" s="50" t="n">
        <x:v>21</x:v>
      </x:c>
    </x:row>
    <x:row r="623" ht="36" customHeight="1">
      <x:c r="A623" s="53" t="n">
        <x:v>604</x:v>
      </x:c>
      <x:c r="B623" s="53" t="n">
        <x:v>2</x:v>
      </x:c>
      <x:c r="C623" s="40" t="str">
        <x:v>Large-Basket Occasional Shoppers</x:v>
      </x:c>
      <x:c r="D623" s="60" t="n">
        <x:v>2311.65</x:v>
      </x:c>
      <x:c r="E623" s="50" t="n">
        <x:v>56</x:v>
      </x:c>
      <x:c r="F623" s="46" t="n">
        <x:v>2.434782608695652</x:v>
      </x:c>
      <x:c r="G623" s="46" t="n">
        <x:v>0</x:v>
      </x:c>
      <x:c r="H623" s="61" t="n">
        <x:v>41.27946428571429</x:v>
      </x:c>
      <x:c r="I623" s="52" t="n">
        <x:v>0.875</x:v>
      </x:c>
      <x:c r="J623" s="52" t="n">
        <x:v>0.3940908009430493</x:v>
      </x:c>
      <x:c r="K623" s="60" t="n">
        <x:v>2209.87</x:v>
      </x:c>
      <x:c r="L623" s="60" t="n">
        <x:v>101.78</x:v>
      </x:c>
      <x:c r="M623" s="50" t="n">
        <x:v>49</x:v>
      </x:c>
      <x:c r="N623" s="50" t="n">
        <x:v>7</x:v>
      </x:c>
      <x:c r="O623" s="50" t="n">
        <x:v>106</x:v>
      </x:c>
      <x:c r="P623" s="50" t="n">
        <x:v>23</x:v>
      </x:c>
    </x:row>
    <x:row r="624" ht="36" customHeight="1">
      <x:c r="A624" s="53" t="n">
        <x:v>605</x:v>
      </x:c>
      <x:c r="B624" s="53" t="n">
        <x:v>1</x:v>
      </x:c>
      <x:c r="C624" s="40" t="str">
        <x:v>High-Value Frequent Shoppers</x:v>
      </x:c>
      <x:c r="D624" s="60" t="n">
        <x:v>5856.38</x:v>
      </x:c>
      <x:c r="E624" s="50" t="n">
        <x:v>128</x:v>
      </x:c>
      <x:c r="F624" s="46" t="n">
        <x:v>6.095238095238095</x:v>
      </x:c>
      <x:c r="G624" s="46" t="n">
        <x:v>3</x:v>
      </x:c>
      <x:c r="H624" s="61" t="n">
        <x:v>45.75296875</x:v>
      </x:c>
      <x:c r="I624" s="52" t="n">
        <x:v>0.9375</x:v>
      </x:c>
      <x:c r="J624" s="52" t="n">
        <x:v>0.6133789132535798</x:v>
      </x:c>
      <x:c r="K624" s="60" t="n">
        <x:v>5737.38</x:v>
      </x:c>
      <x:c r="L624" s="60" t="n">
        <x:v>119</x:v>
      </x:c>
      <x:c r="M624" s="50" t="n">
        <x:v>120</x:v>
      </x:c>
      <x:c r="N624" s="50" t="n">
        <x:v>8</x:v>
      </x:c>
      <x:c r="O624" s="50" t="n">
        <x:v>154</x:v>
      </x:c>
      <x:c r="P624" s="50" t="n">
        <x:v>21</x:v>
      </x:c>
    </x:row>
    <x:row r="625" ht="36" customHeight="1">
      <x:c r="A625" s="53" t="n">
        <x:v>606</x:v>
      </x:c>
      <x:c r="B625" s="53" t="n">
        <x:v>1</x:v>
      </x:c>
      <x:c r="C625" s="40" t="str">
        <x:v>High-Value Frequent Shoppers</x:v>
      </x:c>
      <x:c r="D625" s="60" t="n">
        <x:v>3323.12</x:v>
      </x:c>
      <x:c r="E625" s="50" t="n">
        <x:v>97</x:v>
      </x:c>
      <x:c r="F625" s="46" t="n">
        <x:v>4.409090909090909</x:v>
      </x:c>
      <x:c r="G625" s="46" t="n">
        <x:v>3</x:v>
      </x:c>
      <x:c r="H625" s="61" t="n">
        <x:v>34.258969072164945</x:v>
      </x:c>
      <x:c r="I625" s="52" t="n">
        <x:v>0.8556701030927835</x:v>
      </x:c>
      <x:c r="J625" s="52" t="n">
        <x:v>0.403422085269265</x:v>
      </x:c>
      <x:c r="K625" s="60" t="n">
        <x:v>3075.84</x:v>
      </x:c>
      <x:c r="L625" s="60" t="n">
        <x:v>247.28</x:v>
      </x:c>
      <x:c r="M625" s="50" t="n">
        <x:v>83</x:v>
      </x:c>
      <x:c r="N625" s="50" t="n">
        <x:v>14</x:v>
      </x:c>
      <x:c r="O625" s="50" t="n">
        <x:v>149</x:v>
      </x:c>
      <x:c r="P625" s="50" t="n">
        <x:v>22</x:v>
      </x:c>
    </x:row>
    <x:row r="626" ht="36" customHeight="1">
      <x:c r="A626" s="53" t="n">
        <x:v>607</x:v>
      </x:c>
      <x:c r="B626" s="53" t="n">
        <x:v>1</x:v>
      </x:c>
      <x:c r="C626" s="40" t="str">
        <x:v>High-Value Frequent Shoppers</x:v>
      </x:c>
      <x:c r="D626" s="60" t="n">
        <x:v>3203.01</x:v>
      </x:c>
      <x:c r="E626" s="50" t="n">
        <x:v>215</x:v>
      </x:c>
      <x:c r="F626" s="46" t="n">
        <x:v>11.31578947368421</x:v>
      </x:c>
      <x:c r="G626" s="46" t="n">
        <x:v>5</x:v>
      </x:c>
      <x:c r="H626" s="61" t="n">
        <x:v>14.897720930232556</x:v>
      </x:c>
      <x:c r="I626" s="52" t="n">
        <x:v>0.8651162790697674</x:v>
      </x:c>
      <x:c r="J626" s="52" t="n">
        <x:v>0.6916150745704821</x:v>
      </x:c>
      <x:c r="K626" s="60" t="n">
        <x:v>3069.54</x:v>
      </x:c>
      <x:c r="L626" s="60" t="n">
        <x:v>133.47</x:v>
      </x:c>
      <x:c r="M626" s="50" t="n">
        <x:v>186</x:v>
      </x:c>
      <x:c r="N626" s="50" t="n">
        <x:v>29</x:v>
      </x:c>
      <x:c r="O626" s="50" t="n">
        <x:v>139</x:v>
      </x:c>
      <x:c r="P626" s="50" t="n">
        <x:v>19</x:v>
      </x:c>
    </x:row>
    <x:row r="627" ht="36" customHeight="1">
      <x:c r="A627" s="53" t="n">
        <x:v>608</x:v>
      </x:c>
      <x:c r="B627" s="53" t="n">
        <x:v>1</x:v>
      </x:c>
      <x:c r="C627" s="40" t="str">
        <x:v>High-Value Frequent Shoppers</x:v>
      </x:c>
      <x:c r="D627" s="60" t="n">
        <x:v>5148.98</x:v>
      </x:c>
      <x:c r="E627" s="50" t="n">
        <x:v>217</x:v>
      </x:c>
      <x:c r="F627" s="46" t="n">
        <x:v>10.333333333333332</x:v>
      </x:c>
      <x:c r="G627" s="46" t="n">
        <x:v>0</x:v>
      </x:c>
      <x:c r="H627" s="61" t="n">
        <x:v>23.728018433179724</x:v>
      </x:c>
      <x:c r="I627" s="52" t="n">
        <x:v>0.7465437788018433</x:v>
      </x:c>
      <x:c r="J627" s="52" t="n">
        <x:v>0.3622037762819043</x:v>
      </x:c>
      <x:c r="K627" s="60" t="n">
        <x:v>4472</x:v>
      </x:c>
      <x:c r="L627" s="60" t="n">
        <x:v>676.98</x:v>
      </x:c>
      <x:c r="M627" s="50" t="n">
        <x:v>162</x:v>
      </x:c>
      <x:c r="N627" s="50" t="n">
        <x:v>55</x:v>
      </x:c>
      <x:c r="O627" s="50" t="n">
        <x:v>158</x:v>
      </x:c>
      <x:c r="P627" s="50" t="n">
        <x:v>21</x:v>
      </x:c>
    </x:row>
    <x:row r="628" ht="36" customHeight="1">
      <x:c r="A628" s="53" t="n">
        <x:v>609</x:v>
      </x:c>
      <x:c r="B628" s="53" t="n">
        <x:v>1</x:v>
      </x:c>
      <x:c r="C628" s="40" t="str">
        <x:v>High-Value Frequent Shoppers</x:v>
      </x:c>
      <x:c r="D628" s="60" t="n">
        <x:v>1665.89</x:v>
      </x:c>
      <x:c r="E628" s="50" t="n">
        <x:v>162</x:v>
      </x:c>
      <x:c r="F628" s="46" t="n">
        <x:v>6.75</x:v>
      </x:c>
      <x:c r="G628" s="46" t="n">
        <x:v>0</x:v>
      </x:c>
      <x:c r="H628" s="61" t="n">
        <x:v>10.283271604938273</x:v>
      </x:c>
      <x:c r="I628" s="52" t="n">
        <x:v>0.7716049382716049</x:v>
      </x:c>
      <x:c r="J628" s="52" t="n">
        <x:v>0.5335706439200667</x:v>
      </x:c>
      <x:c r="K628" s="60" t="n">
        <x:v>1466.69</x:v>
      </x:c>
      <x:c r="L628" s="60" t="n">
        <x:v>199.2</x:v>
      </x:c>
      <x:c r="M628" s="50" t="n">
        <x:v>125</x:v>
      </x:c>
      <x:c r="N628" s="50" t="n">
        <x:v>37</x:v>
      </x:c>
      <x:c r="O628" s="50" t="n">
        <x:v>101</x:v>
      </x:c>
      <x:c r="P628" s="50" t="n">
        <x:v>24</x:v>
      </x:c>
    </x:row>
    <x:row r="629" ht="36" customHeight="1">
      <x:c r="A629" s="53" t="n">
        <x:v>610</x:v>
      </x:c>
      <x:c r="B629" s="53" t="n">
        <x:v>3</x:v>
      </x:c>
      <x:c r="C629" s="40" t="str">
        <x:v>Low-Value Low-Engagement Shoppers</x:v>
      </x:c>
      <x:c r="D629" s="60" t="n">
        <x:v>573.06</x:v>
      </x:c>
      <x:c r="E629" s="50" t="n">
        <x:v>24</x:v>
      </x:c>
      <x:c r="F629" s="46" t="n">
        <x:v>1.7142857142857144</x:v>
      </x:c>
      <x:c r="G629" s="46" t="n">
        <x:v>35</x:v>
      </x:c>
      <x:c r="H629" s="61" t="n">
        <x:v>23.8775</x:v>
      </x:c>
      <x:c r="I629" s="52" t="n">
        <x:v>0.8333333333333333</x:v>
      </x:c>
      <x:c r="J629" s="52" t="n">
        <x:v>0.5527867937039751</x:v>
      </x:c>
      <x:c r="K629" s="60" t="n">
        <x:v>545.26</x:v>
      </x:c>
      <x:c r="L629" s="60" t="n">
        <x:v>27.8</x:v>
      </x:c>
      <x:c r="M629" s="50" t="n">
        <x:v>20</x:v>
      </x:c>
      <x:c r="N629" s="50" t="n">
        <x:v>4</x:v>
      </x:c>
      <x:c r="O629" s="50" t="n">
        <x:v>67</x:v>
      </x:c>
      <x:c r="P629" s="50" t="n">
        <x:v>14</x:v>
      </x:c>
    </x:row>
    <x:row r="630" ht="36" customHeight="1">
      <x:c r="A630" s="53" t="n">
        <x:v>611</x:v>
      </x:c>
      <x:c r="B630" s="53" t="n">
        <x:v>2</x:v>
      </x:c>
      <x:c r="C630" s="40" t="str">
        <x:v>Large-Basket Occasional Shoppers</x:v>
      </x:c>
      <x:c r="D630" s="60" t="n">
        <x:v>2316.24</x:v>
      </x:c>
      <x:c r="E630" s="50" t="n">
        <x:v>73</x:v>
      </x:c>
      <x:c r="F630" s="46" t="n">
        <x:v>3.65</x:v>
      </x:c>
      <x:c r="G630" s="46" t="n">
        <x:v>2</x:v>
      </x:c>
      <x:c r="H630" s="61" t="n">
        <x:v>31.72931506849315</x:v>
      </x:c>
      <x:c r="I630" s="52" t="n">
        <x:v>0.9041095890410958</x:v>
      </x:c>
      <x:c r="J630" s="52" t="n">
        <x:v>0.7411753531585673</x:v>
      </x:c>
      <x:c r="K630" s="60" t="n">
        <x:v>2214.28</x:v>
      </x:c>
      <x:c r="L630" s="60" t="n">
        <x:v>101.96</x:v>
      </x:c>
      <x:c r="M630" s="50" t="n">
        <x:v>66</x:v>
      </x:c>
      <x:c r="N630" s="50" t="n">
        <x:v>7</x:v>
      </x:c>
      <x:c r="O630" s="50" t="n">
        <x:v>111</x:v>
      </x:c>
      <x:c r="P630" s="50" t="n">
        <x:v>20</x:v>
      </x:c>
    </x:row>
    <x:row r="631" ht="36" customHeight="1">
      <x:c r="A631" s="53" t="n">
        <x:v>612</x:v>
      </x:c>
      <x:c r="B631" s="53" t="n">
        <x:v>1</x:v>
      </x:c>
      <x:c r="C631" s="40" t="str">
        <x:v>High-Value Frequent Shoppers</x:v>
      </x:c>
      <x:c r="D631" s="60" t="n">
        <x:v>3978.72</x:v>
      </x:c>
      <x:c r="E631" s="50" t="n">
        <x:v>144</x:v>
      </x:c>
      <x:c r="F631" s="46" t="n">
        <x:v>6.545454545454546</x:v>
      </x:c>
      <x:c r="G631" s="46" t="n">
        <x:v>0</x:v>
      </x:c>
      <x:c r="H631" s="61" t="n">
        <x:v>27.63</x:v>
      </x:c>
      <x:c r="I631" s="52" t="n">
        <x:v>0.8680555555555555</x:v>
      </x:c>
      <x:c r="J631" s="52" t="n">
        <x:v>0.546635601399445</x:v>
      </x:c>
      <x:c r="K631" s="60" t="n">
        <x:v>3769.27</x:v>
      </x:c>
      <x:c r="L631" s="60" t="n">
        <x:v>209.45</x:v>
      </x:c>
      <x:c r="M631" s="50" t="n">
        <x:v>125</x:v>
      </x:c>
      <x:c r="N631" s="50" t="n">
        <x:v>19</x:v>
      </x:c>
      <x:c r="O631" s="50" t="n">
        <x:v>118</x:v>
      </x:c>
      <x:c r="P631" s="50" t="n">
        <x:v>22</x:v>
      </x:c>
    </x:row>
    <x:row r="632" ht="36" customHeight="1">
      <x:c r="A632" s="53" t="n">
        <x:v>613</x:v>
      </x:c>
      <x:c r="B632" s="53" t="n">
        <x:v>2</x:v>
      </x:c>
      <x:c r="C632" s="40" t="str">
        <x:v>Large-Basket Occasional Shoppers</x:v>
      </x:c>
      <x:c r="D632" s="60" t="n">
        <x:v>347.31</x:v>
      </x:c>
      <x:c r="E632" s="50" t="n">
        <x:v>11</x:v>
      </x:c>
      <x:c r="F632" s="46" t="n">
        <x:v>2.75</x:v>
      </x:c>
      <x:c r="G632" s="46" t="n">
        <x:v>11</x:v>
      </x:c>
      <x:c r="H632" s="61" t="n">
        <x:v>31.573636363636364</x:v>
      </x:c>
      <x:c r="I632" s="52" t="n">
        <x:v>1</x:v>
      </x:c>
      <x:c r="J632" s="52" t="n">
        <x:v>0.6026028619964872</x:v>
      </x:c>
      <x:c r="K632" s="60" t="n">
        <x:v>347.31</x:v>
      </x:c>
      <x:c r="L632" s="60" t="n">
        <x:v>0</x:v>
      </x:c>
      <x:c r="M632" s="50" t="n">
        <x:v>11</x:v>
      </x:c>
      <x:c r="N632" s="50" t="n">
        <x:v>0</x:v>
      </x:c>
      <x:c r="O632" s="50" t="n">
        <x:v>63</x:v>
      </x:c>
      <x:c r="P632" s="50" t="n">
        <x:v>4</x:v>
      </x:c>
    </x:row>
    <x:row r="633" ht="36" customHeight="1">
      <x:c r="A633" s="53" t="n">
        <x:v>614</x:v>
      </x:c>
      <x:c r="B633" s="53" t="n">
        <x:v>2</x:v>
      </x:c>
      <x:c r="C633" s="40" t="str">
        <x:v>Large-Basket Occasional Shoppers</x:v>
      </x:c>
      <x:c r="D633" s="60" t="n">
        <x:v>2757.24</x:v>
      </x:c>
      <x:c r="E633" s="50" t="n">
        <x:v>122</x:v>
      </x:c>
      <x:c r="F633" s="46" t="n">
        <x:v>5.545454545454546</x:v>
      </x:c>
      <x:c r="G633" s="46" t="n">
        <x:v>3</x:v>
      </x:c>
      <x:c r="H633" s="61" t="n">
        <x:v>22.600327868852457</x:v>
      </x:c>
      <x:c r="I633" s="52" t="n">
        <x:v>0.9672131147540984</x:v>
      </x:c>
      <x:c r="J633" s="52" t="n">
        <x:v>0.5665992079035557</x:v>
      </x:c>
      <x:c r="K633" s="60" t="n">
        <x:v>2745.27</x:v>
      </x:c>
      <x:c r="L633" s="60" t="n">
        <x:v>11.97</x:v>
      </x:c>
      <x:c r="M633" s="50" t="n">
        <x:v>118</x:v>
      </x:c>
      <x:c r="N633" s="50" t="n">
        <x:v>4</x:v>
      </x:c>
      <x:c r="O633" s="50" t="n">
        <x:v>104</x:v>
      </x:c>
      <x:c r="P633" s="50" t="n">
        <x:v>22</x:v>
      </x:c>
    </x:row>
    <x:row r="634" ht="36" customHeight="1">
      <x:c r="A634" s="53" t="n">
        <x:v>615</x:v>
      </x:c>
      <x:c r="B634" s="53" t="n">
        <x:v>3</x:v>
      </x:c>
      <x:c r="C634" s="40" t="str">
        <x:v>Low-Value Low-Engagement Shoppers</x:v>
      </x:c>
      <x:c r="D634" s="60" t="n">
        <x:v>346.4</x:v>
      </x:c>
      <x:c r="E634" s="50" t="n">
        <x:v>24</x:v>
      </x:c>
      <x:c r="F634" s="46" t="n">
        <x:v>2.1818181818181817</x:v>
      </x:c>
      <x:c r="G634" s="46" t="n">
        <x:v>13</x:v>
      </x:c>
      <x:c r="H634" s="61" t="n">
        <x:v>14.433333333333332</x:v>
      </x:c>
      <x:c r="I634" s="52" t="n">
        <x:v>0.9166666666666666</x:v>
      </x:c>
      <x:c r="J634" s="52" t="n">
        <x:v>0.6858545034642032</x:v>
      </x:c>
      <x:c r="K634" s="60" t="n">
        <x:v>340.54</x:v>
      </x:c>
      <x:c r="L634" s="60" t="n">
        <x:v>5.86</x:v>
      </x:c>
      <x:c r="M634" s="50" t="n">
        <x:v>22</x:v>
      </x:c>
      <x:c r="N634" s="50" t="n">
        <x:v>2</x:v>
      </x:c>
      <x:c r="O634" s="50" t="n">
        <x:v>58</x:v>
      </x:c>
      <x:c r="P634" s="50" t="n">
        <x:v>11</x:v>
      </x:c>
    </x:row>
    <x:row r="635" ht="36" customHeight="1">
      <x:c r="A635" s="53" t="n">
        <x:v>616</x:v>
      </x:c>
      <x:c r="B635" s="53" t="n">
        <x:v>2</x:v>
      </x:c>
      <x:c r="C635" s="40" t="str">
        <x:v>Large-Basket Occasional Shoppers</x:v>
      </x:c>
      <x:c r="D635" s="60" t="n">
        <x:v>476.14</x:v>
      </x:c>
      <x:c r="E635" s="50" t="n">
        <x:v>10</x:v>
      </x:c>
      <x:c r="F635" s="46" t="n">
        <x:v>1.4285714285714286</x:v>
      </x:c>
      <x:c r="G635" s="46" t="n">
        <x:v>9</x:v>
      </x:c>
      <x:c r="H635" s="61" t="n">
        <x:v>47.614</x:v>
      </x:c>
      <x:c r="I635" s="52" t="n">
        <x:v>0.8</x:v>
      </x:c>
      <x:c r="J635" s="52" t="n">
        <x:v>0.6583357835930608</x:v>
      </x:c>
      <x:c r="K635" s="60" t="n">
        <x:v>438.14</x:v>
      </x:c>
      <x:c r="L635" s="60" t="n">
        <x:v>38</x:v>
      </x:c>
      <x:c r="M635" s="50" t="n">
        <x:v>8</x:v>
      </x:c>
      <x:c r="N635" s="50" t="n">
        <x:v>2</x:v>
      </x:c>
      <x:c r="O635" s="50" t="n">
        <x:v>73</x:v>
      </x:c>
      <x:c r="P635" s="50" t="n">
        <x:v>7</x:v>
      </x:c>
    </x:row>
    <x:row r="636" ht="36" customHeight="1">
      <x:c r="A636" s="53" t="n">
        <x:v>617</x:v>
      </x:c>
      <x:c r="B636" s="53" t="n">
        <x:v>2</x:v>
      </x:c>
      <x:c r="C636" s="40" t="str">
        <x:v>Large-Basket Occasional Shoppers</x:v>
      </x:c>
      <x:c r="D636" s="60" t="n">
        <x:v>1315.54</x:v>
      </x:c>
      <x:c r="E636" s="50" t="n">
        <x:v>27</x:v>
      </x:c>
      <x:c r="F636" s="46" t="n">
        <x:v>1.8</x:v>
      </x:c>
      <x:c r="G636" s="46" t="n">
        <x:v>19</x:v>
      </x:c>
      <x:c r="H636" s="61" t="n">
        <x:v>48.7237037037037</x:v>
      </x:c>
      <x:c r="I636" s="52" t="n">
        <x:v>1</x:v>
      </x:c>
      <x:c r="J636" s="52" t="n">
        <x:v>0.459522325432902</x:v>
      </x:c>
      <x:c r="K636" s="60" t="n">
        <x:v>1315.54</x:v>
      </x:c>
      <x:c r="L636" s="60" t="n">
        <x:v>0</x:v>
      </x:c>
      <x:c r="M636" s="50" t="n">
        <x:v>27</x:v>
      </x:c>
      <x:c r="N636" s="50" t="n">
        <x:v>0</x:v>
      </x:c>
      <x:c r="O636" s="50" t="n">
        <x:v>116</x:v>
      </x:c>
      <x:c r="P636" s="50" t="n">
        <x:v>15</x:v>
      </x:c>
    </x:row>
    <x:row r="637" ht="36" customHeight="1">
      <x:c r="A637" s="53" t="n">
        <x:v>618</x:v>
      </x:c>
      <x:c r="B637" s="53" t="n">
        <x:v>1</x:v>
      </x:c>
      <x:c r="C637" s="40" t="str">
        <x:v>High-Value Frequent Shoppers</x:v>
      </x:c>
      <x:c r="D637" s="60" t="n">
        <x:v>7343.87</x:v>
      </x:c>
      <x:c r="E637" s="50" t="n">
        <x:v>544</x:v>
      </x:c>
      <x:c r="F637" s="46" t="n">
        <x:v>27.2</x:v>
      </x:c>
      <x:c r="G637" s="46" t="n">
        <x:v>1</x:v>
      </x:c>
      <x:c r="H637" s="61" t="n">
        <x:v>13.499761029411763</x:v>
      </x:c>
      <x:c r="I637" s="52" t="n">
        <x:v>0.7334558823529411</x:v>
      </x:c>
      <x:c r="J637" s="52" t="n">
        <x:v>0.6706137227374667</x:v>
      </x:c>
      <x:c r="K637" s="60" t="n">
        <x:v>6943.06</x:v>
      </x:c>
      <x:c r="L637" s="60" t="n">
        <x:v>400.81</x:v>
      </x:c>
      <x:c r="M637" s="50" t="n">
        <x:v>399</x:v>
      </x:c>
      <x:c r="N637" s="50" t="n">
        <x:v>145</x:v>
      </x:c>
      <x:c r="O637" s="50" t="n">
        <x:v>165</x:v>
      </x:c>
      <x:c r="P637" s="50" t="n">
        <x:v>20</x:v>
      </x:c>
    </x:row>
    <x:row r="638" ht="36" customHeight="1">
      <x:c r="A638" s="53" t="n">
        <x:v>619</x:v>
      </x:c>
      <x:c r="B638" s="53" t="n">
        <x:v>2</x:v>
      </x:c>
      <x:c r="C638" s="40" t="str">
        <x:v>Large-Basket Occasional Shoppers</x:v>
      </x:c>
      <x:c r="D638" s="60" t="n">
        <x:v>168.98</x:v>
      </x:c>
      <x:c r="E638" s="50" t="n">
        <x:v>5</x:v>
      </x:c>
      <x:c r="F638" s="46" t="n">
        <x:v>1.25</x:v>
      </x:c>
      <x:c r="G638" s="46" t="n">
        <x:v>106</x:v>
      </x:c>
      <x:c r="H638" s="61" t="n">
        <x:v>33.796</x:v>
      </x:c>
      <x:c r="I638" s="52" t="n">
        <x:v>1</x:v>
      </x:c>
      <x:c r="J638" s="52" t="n">
        <x:v>0.5705408924133033</x:v>
      </x:c>
      <x:c r="K638" s="60" t="n">
        <x:v>168.98</x:v>
      </x:c>
      <x:c r="L638" s="60" t="n">
        <x:v>0</x:v>
      </x:c>
      <x:c r="M638" s="50" t="n">
        <x:v>5</x:v>
      </x:c>
      <x:c r="N638" s="50" t="n">
        <x:v>0</x:v>
      </x:c>
      <x:c r="O638" s="50" t="n">
        <x:v>37</x:v>
      </x:c>
      <x:c r="P638" s="50" t="n">
        <x:v>4</x:v>
      </x:c>
    </x:row>
    <x:row r="639" ht="36" customHeight="1">
      <x:c r="A639" s="53" t="n">
        <x:v>620</x:v>
      </x:c>
      <x:c r="B639" s="53" t="n">
        <x:v>3</x:v>
      </x:c>
      <x:c r="C639" s="40" t="str">
        <x:v>Low-Value Low-Engagement Shoppers</x:v>
      </x:c>
      <x:c r="D639" s="60" t="n">
        <x:v>304.98</x:v>
      </x:c>
      <x:c r="E639" s="50" t="n">
        <x:v>19</x:v>
      </x:c>
      <x:c r="F639" s="46" t="n">
        <x:v>2.111111111111111</x:v>
      </x:c>
      <x:c r="G639" s="46" t="n">
        <x:v>140</x:v>
      </x:c>
      <x:c r="H639" s="61" t="n">
        <x:v>16.05157894736842</x:v>
      </x:c>
      <x:c r="I639" s="52" t="n">
        <x:v>0.8421052631578947</x:v>
      </x:c>
      <x:c r="J639" s="52" t="n">
        <x:v>0.5222637550003278</x:v>
      </x:c>
      <x:c r="K639" s="60" t="n">
        <x:v>262.32</x:v>
      </x:c>
      <x:c r="L639" s="60" t="n">
        <x:v>42.66</x:v>
      </x:c>
      <x:c r="M639" s="50" t="n">
        <x:v>16</x:v>
      </x:c>
      <x:c r="N639" s="50" t="n">
        <x:v>3</x:v>
      </x:c>
      <x:c r="O639" s="50" t="n">
        <x:v>55</x:v>
      </x:c>
      <x:c r="P639" s="50" t="n">
        <x:v>9</x:v>
      </x:c>
    </x:row>
    <x:row r="640" ht="36" customHeight="1">
      <x:c r="A640" s="53" t="n">
        <x:v>621</x:v>
      </x:c>
      <x:c r="B640" s="53" t="n">
        <x:v>1</x:v>
      </x:c>
      <x:c r="C640" s="40" t="str">
        <x:v>High-Value Frequent Shoppers</x:v>
      </x:c>
      <x:c r="D640" s="60" t="n">
        <x:v>3179.15</x:v>
      </x:c>
      <x:c r="E640" s="50" t="n">
        <x:v>140</x:v>
      </x:c>
      <x:c r="F640" s="46" t="n">
        <x:v>6.666666666666666</x:v>
      </x:c>
      <x:c r="G640" s="46" t="n">
        <x:v>1</x:v>
      </x:c>
      <x:c r="H640" s="61" t="n">
        <x:v>22.708214285714284</x:v>
      </x:c>
      <x:c r="I640" s="52" t="n">
        <x:v>0.8214285714285714</x:v>
      </x:c>
      <x:c r="J640" s="52" t="n">
        <x:v>0.4239214884481701</x:v>
      </x:c>
      <x:c r="K640" s="60" t="n">
        <x:v>2884.3</x:v>
      </x:c>
      <x:c r="L640" s="60" t="n">
        <x:v>294.85</x:v>
      </x:c>
      <x:c r="M640" s="50" t="n">
        <x:v>115</x:v>
      </x:c>
      <x:c r="N640" s="50" t="n">
        <x:v>25</x:v>
      </x:c>
      <x:c r="O640" s="50" t="n">
        <x:v>102</x:v>
      </x:c>
      <x:c r="P640" s="50" t="n">
        <x:v>21</x:v>
      </x:c>
    </x:row>
    <x:row r="641" ht="36" customHeight="1">
      <x:c r="A641" s="53" t="n">
        <x:v>622</x:v>
      </x:c>
      <x:c r="B641" s="53" t="n">
        <x:v>1</x:v>
      </x:c>
      <x:c r="C641" s="40" t="str">
        <x:v>High-Value Frequent Shoppers</x:v>
      </x:c>
      <x:c r="D641" s="60" t="n">
        <x:v>2384.37</x:v>
      </x:c>
      <x:c r="E641" s="50" t="n">
        <x:v>147</x:v>
      </x:c>
      <x:c r="F641" s="46" t="n">
        <x:v>7</x:v>
      </x:c>
      <x:c r="G641" s="46" t="n">
        <x:v>1</x:v>
      </x:c>
      <x:c r="H641" s="61" t="n">
        <x:v>16.22020408163265</x:v>
      </x:c>
      <x:c r="I641" s="52" t="n">
        <x:v>0.7551020408163265</x:v>
      </x:c>
      <x:c r="J641" s="52" t="n">
        <x:v>0.3925061966053926</x:v>
      </x:c>
      <x:c r="K641" s="60" t="n">
        <x:v>1980.03</x:v>
      </x:c>
      <x:c r="L641" s="60" t="n">
        <x:v>404.34</x:v>
      </x:c>
      <x:c r="M641" s="50" t="n">
        <x:v>111</x:v>
      </x:c>
      <x:c r="N641" s="50" t="n">
        <x:v>36</x:v>
      </x:c>
      <x:c r="O641" s="50" t="n">
        <x:v>129</x:v>
      </x:c>
      <x:c r="P641" s="50" t="n">
        <x:v>21</x:v>
      </x:c>
    </x:row>
    <x:row r="642" ht="36" customHeight="1">
      <x:c r="A642" s="53" t="n">
        <x:v>623</x:v>
      </x:c>
      <x:c r="B642" s="53" t="n">
        <x:v>1</x:v>
      </x:c>
      <x:c r="C642" s="40" t="str">
        <x:v>High-Value Frequent Shoppers</x:v>
      </x:c>
      <x:c r="D642" s="60" t="n">
        <x:v>3899.16</x:v>
      </x:c>
      <x:c r="E642" s="50" t="n">
        <x:v>124</x:v>
      </x:c>
      <x:c r="F642" s="46" t="n">
        <x:v>6.2</x:v>
      </x:c>
      <x:c r="G642" s="46" t="n">
        <x:v>0</x:v>
      </x:c>
      <x:c r="H642" s="61" t="n">
        <x:v>31.444838709677416</x:v>
      </x:c>
      <x:c r="I642" s="52" t="n">
        <x:v>0.8306451612903225</x:v>
      </x:c>
      <x:c r="J642" s="52" t="n">
        <x:v>0.547853896736733</x:v>
      </x:c>
      <x:c r="K642" s="60" t="n">
        <x:v>3636.6</x:v>
      </x:c>
      <x:c r="L642" s="60" t="n">
        <x:v>262.56</x:v>
      </x:c>
      <x:c r="M642" s="50" t="n">
        <x:v>103</x:v>
      </x:c>
      <x:c r="N642" s="50" t="n">
        <x:v>21</x:v>
      </x:c>
      <x:c r="O642" s="50" t="n">
        <x:v>132</x:v>
      </x:c>
      <x:c r="P642" s="50" t="n">
        <x:v>20</x:v>
      </x:c>
    </x:row>
    <x:row r="643" ht="36" customHeight="1">
      <x:c r="A643" s="53" t="n">
        <x:v>624</x:v>
      </x:c>
      <x:c r="B643" s="53" t="n">
        <x:v>1</x:v>
      </x:c>
      <x:c r="C643" s="40" t="str">
        <x:v>High-Value Frequent Shoppers</x:v>
      </x:c>
      <x:c r="D643" s="60" t="n">
        <x:v>6003.47</x:v>
      </x:c>
      <x:c r="E643" s="50" t="n">
        <x:v>160</x:v>
      </x:c>
      <x:c r="F643" s="46" t="n">
        <x:v>6.666666666666666</x:v>
      </x:c>
      <x:c r="G643" s="46" t="n">
        <x:v>6</x:v>
      </x:c>
      <x:c r="H643" s="61" t="n">
        <x:v>37.5216875</x:v>
      </x:c>
      <x:c r="I643" s="52" t="n">
        <x:v>0.9</x:v>
      </x:c>
      <x:c r="J643" s="52" t="n">
        <x:v>0.6450985846518763</x:v>
      </x:c>
      <x:c r="K643" s="60" t="n">
        <x:v>5880.28</x:v>
      </x:c>
      <x:c r="L643" s="60" t="n">
        <x:v>123.19</x:v>
      </x:c>
      <x:c r="M643" s="50" t="n">
        <x:v>144</x:v>
      </x:c>
      <x:c r="N643" s="50" t="n">
        <x:v>16</x:v>
      </x:c>
      <x:c r="O643" s="50" t="n">
        <x:v>143</x:v>
      </x:c>
      <x:c r="P643" s="50" t="n">
        <x:v>24</x:v>
      </x:c>
    </x:row>
    <x:row r="644" ht="36" customHeight="1">
      <x:c r="A644" s="53" t="n">
        <x:v>625</x:v>
      </x:c>
      <x:c r="B644" s="53" t="n">
        <x:v>2</x:v>
      </x:c>
      <x:c r="C644" s="40" t="str">
        <x:v>Large-Basket Occasional Shoppers</x:v>
      </x:c>
      <x:c r="D644" s="60" t="n">
        <x:v>1233.92</x:v>
      </x:c>
      <x:c r="E644" s="50" t="n">
        <x:v>34</x:v>
      </x:c>
      <x:c r="F644" s="46" t="n">
        <x:v>2</x:v>
      </x:c>
      <x:c r="G644" s="46" t="n">
        <x:v>2</x:v>
      </x:c>
      <x:c r="H644" s="61" t="n">
        <x:v>36.29176470588235</x:v>
      </x:c>
      <x:c r="I644" s="52" t="n">
        <x:v>0.9411764705882352</x:v>
      </x:c>
      <x:c r="J644" s="52" t="n">
        <x:v>0.4598353215767634</x:v>
      </x:c>
      <x:c r="K644" s="60" t="n">
        <x:v>1206.92</x:v>
      </x:c>
      <x:c r="L644" s="60" t="n">
        <x:v>27</x:v>
      </x:c>
      <x:c r="M644" s="50" t="n">
        <x:v>32</x:v>
      </x:c>
      <x:c r="N644" s="50" t="n">
        <x:v>2</x:v>
      </x:c>
      <x:c r="O644" s="50" t="n">
        <x:v>113</x:v>
      </x:c>
      <x:c r="P644" s="50" t="n">
        <x:v>17</x:v>
      </x:c>
    </x:row>
    <x:row r="645" ht="36" customHeight="1">
      <x:c r="A645" s="53" t="n">
        <x:v>626</x:v>
      </x:c>
      <x:c r="B645" s="53" t="n">
        <x:v>3</x:v>
      </x:c>
      <x:c r="C645" s="40" t="str">
        <x:v>Low-Value Low-Engagement Shoppers</x:v>
      </x:c>
      <x:c r="D645" s="60" t="n">
        <x:v>649.33</x:v>
      </x:c>
      <x:c r="E645" s="50" t="n">
        <x:v>25</x:v>
      </x:c>
      <x:c r="F645" s="46" t="n">
        <x:v>2.083333333333333</x:v>
      </x:c>
      <x:c r="G645" s="46" t="n">
        <x:v>12</x:v>
      </x:c>
      <x:c r="H645" s="61" t="n">
        <x:v>25.9732</x:v>
      </x:c>
      <x:c r="I645" s="52" t="n">
        <x:v>0.8</x:v>
      </x:c>
      <x:c r="J645" s="52" t="n">
        <x:v>0.4709623766035759</x:v>
      </x:c>
      <x:c r="K645" s="60" t="n">
        <x:v>615.22</x:v>
      </x:c>
      <x:c r="L645" s="60" t="n">
        <x:v>34.11</x:v>
      </x:c>
      <x:c r="M645" s="50" t="n">
        <x:v>20</x:v>
      </x:c>
      <x:c r="N645" s="50" t="n">
        <x:v>5</x:v>
      </x:c>
      <x:c r="O645" s="50" t="n">
        <x:v>68</x:v>
      </x:c>
      <x:c r="P645" s="50" t="n">
        <x:v>12</x:v>
      </x:c>
    </x:row>
    <x:row r="646" ht="36" customHeight="1">
      <x:c r="A646" s="53" t="n">
        <x:v>627</x:v>
      </x:c>
      <x:c r="B646" s="53" t="n">
        <x:v>2</x:v>
      </x:c>
      <x:c r="C646" s="40" t="str">
        <x:v>Large-Basket Occasional Shoppers</x:v>
      </x:c>
      <x:c r="D646" s="60" t="n">
        <x:v>1785.46</x:v>
      </x:c>
      <x:c r="E646" s="50" t="n">
        <x:v>45</x:v>
      </x:c>
      <x:c r="F646" s="46" t="n">
        <x:v>2.5</x:v>
      </x:c>
      <x:c r="G646" s="46" t="n">
        <x:v>4</x:v>
      </x:c>
      <x:c r="H646" s="61" t="n">
        <x:v>39.67688888888889</x:v>
      </x:c>
      <x:c r="I646" s="52" t="n">
        <x:v>0.9333333333333332</x:v>
      </x:c>
      <x:c r="J646" s="52" t="n">
        <x:v>0.2742038466277597</x:v>
      </x:c>
      <x:c r="K646" s="60" t="n">
        <x:v>1760.5</x:v>
      </x:c>
      <x:c r="L646" s="60" t="n">
        <x:v>24.96</x:v>
      </x:c>
      <x:c r="M646" s="50" t="n">
        <x:v>42</x:v>
      </x:c>
      <x:c r="N646" s="50" t="n">
        <x:v>3</x:v>
      </x:c>
      <x:c r="O646" s="50" t="n">
        <x:v>105</x:v>
      </x:c>
      <x:c r="P646" s="50" t="n">
        <x:v>18</x:v>
      </x:c>
    </x:row>
    <x:row r="647" ht="36" customHeight="1">
      <x:c r="A647" s="53" t="n">
        <x:v>628</x:v>
      </x:c>
      <x:c r="B647" s="53" t="n">
        <x:v>2</x:v>
      </x:c>
      <x:c r="C647" s="40" t="str">
        <x:v>Large-Basket Occasional Shoppers</x:v>
      </x:c>
      <x:c r="D647" s="60" t="n">
        <x:v>1147.99</x:v>
      </x:c>
      <x:c r="E647" s="50" t="n">
        <x:v>18</x:v>
      </x:c>
      <x:c r="F647" s="46" t="n">
        <x:v>1.2857142857142856</x:v>
      </x:c>
      <x:c r="G647" s="46" t="n">
        <x:v>4</x:v>
      </x:c>
      <x:c r="H647" s="61" t="n">
        <x:v>63.77722222222222</x:v>
      </x:c>
      <x:c r="I647" s="52" t="n">
        <x:v>1</x:v>
      </x:c>
      <x:c r="J647" s="52" t="n">
        <x:v>0.4512757079765503</x:v>
      </x:c>
      <x:c r="K647" s="60" t="n">
        <x:v>1147.99</x:v>
      </x:c>
      <x:c r="L647" s="60" t="n">
        <x:v>0</x:v>
      </x:c>
      <x:c r="M647" s="50" t="n">
        <x:v>18</x:v>
      </x:c>
      <x:c r="N647" s="50" t="n">
        <x:v>0</x:v>
      </x:c>
      <x:c r="O647" s="50" t="n">
        <x:v>104</x:v>
      </x:c>
      <x:c r="P647" s="50" t="n">
        <x:v>14</x:v>
      </x:c>
    </x:row>
    <x:row r="648" ht="36" customHeight="1">
      <x:c r="A648" s="53" t="n">
        <x:v>629</x:v>
      </x:c>
      <x:c r="B648" s="53" t="n">
        <x:v>3</x:v>
      </x:c>
      <x:c r="C648" s="40" t="str">
        <x:v>Low-Value Low-Engagement Shoppers</x:v>
      </x:c>
      <x:c r="D648" s="60" t="n">
        <x:v>377.49</x:v>
      </x:c>
      <x:c r="E648" s="50" t="n">
        <x:v>27</x:v>
      </x:c>
      <x:c r="F648" s="46" t="n">
        <x:v>1.8</x:v>
      </x:c>
      <x:c r="G648" s="46" t="n">
        <x:v>81</x:v>
      </x:c>
      <x:c r="H648" s="61" t="n">
        <x:v>13.981111111111112</x:v>
      </x:c>
      <x:c r="I648" s="52" t="n">
        <x:v>0.8148148148148148</x:v>
      </x:c>
      <x:c r="J648" s="52" t="n">
        <x:v>0.4596413150017218</x:v>
      </x:c>
      <x:c r="K648" s="60" t="n">
        <x:v>341.36</x:v>
      </x:c>
      <x:c r="L648" s="60" t="n">
        <x:v>36.13</x:v>
      </x:c>
      <x:c r="M648" s="50" t="n">
        <x:v>22</x:v>
      </x:c>
      <x:c r="N648" s="50" t="n">
        <x:v>5</x:v>
      </x:c>
      <x:c r="O648" s="50" t="n">
        <x:v>69</x:v>
      </x:c>
      <x:c r="P648" s="50" t="n">
        <x:v>15</x:v>
      </x:c>
    </x:row>
    <x:row r="649" ht="36" customHeight="1">
      <x:c r="A649" s="53" t="n">
        <x:v>630</x:v>
      </x:c>
      <x:c r="B649" s="53" t="n">
        <x:v>1</x:v>
      </x:c>
      <x:c r="C649" s="40" t="str">
        <x:v>High-Value Frequent Shoppers</x:v>
      </x:c>
      <x:c r="D649" s="60" t="n">
        <x:v>7746.27</x:v>
      </x:c>
      <x:c r="E649" s="50" t="n">
        <x:v>205</x:v>
      </x:c>
      <x:c r="F649" s="46" t="n">
        <x:v>8.541666666666666</x:v>
      </x:c>
      <x:c r="G649" s="46" t="n">
        <x:v>0</x:v>
      </x:c>
      <x:c r="H649" s="61" t="n">
        <x:v>37.78668292682927</x:v>
      </x:c>
      <x:c r="I649" s="52" t="n">
        <x:v>0.9414634146341464</x:v>
      </x:c>
      <x:c r="J649" s="52" t="n">
        <x:v>0.8222254065505075</x:v>
      </x:c>
      <x:c r="K649" s="60" t="n">
        <x:v>7637.63</x:v>
      </x:c>
      <x:c r="L649" s="60" t="n">
        <x:v>108.64</x:v>
      </x:c>
      <x:c r="M649" s="50" t="n">
        <x:v>193</x:v>
      </x:c>
      <x:c r="N649" s="50" t="n">
        <x:v>12</x:v>
      </x:c>
      <x:c r="O649" s="50" t="n">
        <x:v>143</x:v>
      </x:c>
      <x:c r="P649" s="50" t="n">
        <x:v>24</x:v>
      </x:c>
    </x:row>
    <x:row r="650" ht="36" customHeight="1">
      <x:c r="A650" s="53" t="n">
        <x:v>631</x:v>
      </x:c>
      <x:c r="B650" s="53" t="n">
        <x:v>1</x:v>
      </x:c>
      <x:c r="C650" s="40" t="str">
        <x:v>High-Value Frequent Shoppers</x:v>
      </x:c>
      <x:c r="D650" s="60" t="n">
        <x:v>9277.72</x:v>
      </x:c>
      <x:c r="E650" s="50" t="n">
        <x:v>483</x:v>
      </x:c>
      <x:c r="F650" s="46" t="n">
        <x:v>20.125</x:v>
      </x:c>
      <x:c r="G650" s="46" t="n">
        <x:v>0</x:v>
      </x:c>
      <x:c r="H650" s="61" t="n">
        <x:v>19.20853002070393</x:v>
      </x:c>
      <x:c r="I650" s="52" t="n">
        <x:v>0.8674948240165631</x:v>
      </x:c>
      <x:c r="J650" s="52" t="n">
        <x:v>0.5932729161906157</x:v>
      </x:c>
      <x:c r="K650" s="60" t="n">
        <x:v>8839.64</x:v>
      </x:c>
      <x:c r="L650" s="60" t="n">
        <x:v>438.08</x:v>
      </x:c>
      <x:c r="M650" s="50" t="n">
        <x:v>419</x:v>
      </x:c>
      <x:c r="N650" s="50" t="n">
        <x:v>64</x:v>
      </x:c>
      <x:c r="O650" s="50" t="n">
        <x:v>182</x:v>
      </x:c>
      <x:c r="P650" s="50" t="n">
        <x:v>24</x:v>
      </x:c>
    </x:row>
    <x:row r="651" ht="36" customHeight="1">
      <x:c r="A651" s="53" t="n">
        <x:v>632</x:v>
      </x:c>
      <x:c r="B651" s="53" t="n">
        <x:v>1</x:v>
      </x:c>
      <x:c r="C651" s="40" t="str">
        <x:v>High-Value Frequent Shoppers</x:v>
      </x:c>
      <x:c r="D651" s="60" t="n">
        <x:v>3370.68</x:v>
      </x:c>
      <x:c r="E651" s="50" t="n">
        <x:v>94</x:v>
      </x:c>
      <x:c r="F651" s="46" t="n">
        <x:v>4.7</x:v>
      </x:c>
      <x:c r="G651" s="46" t="n">
        <x:v>2</x:v>
      </x:c>
      <x:c r="H651" s="61" t="n">
        <x:v>35.85829787234042</x:v>
      </x:c>
      <x:c r="I651" s="52" t="n">
        <x:v>0.904255319148936</x:v>
      </x:c>
      <x:c r="J651" s="52" t="n">
        <x:v>0.5592017041071831</x:v>
      </x:c>
      <x:c r="K651" s="60" t="n">
        <x:v>3262.05</x:v>
      </x:c>
      <x:c r="L651" s="60" t="n">
        <x:v>108.63</x:v>
      </x:c>
      <x:c r="M651" s="50" t="n">
        <x:v>85</x:v>
      </x:c>
      <x:c r="N651" s="50" t="n">
        <x:v>9</x:v>
      </x:c>
      <x:c r="O651" s="50" t="n">
        <x:v>159</x:v>
      </x:c>
      <x:c r="P651" s="50" t="n">
        <x:v>20</x:v>
      </x:c>
    </x:row>
    <x:row r="652" ht="36" customHeight="1">
      <x:c r="A652" s="53" t="n">
        <x:v>633</x:v>
      </x:c>
      <x:c r="B652" s="53" t="n">
        <x:v>1</x:v>
      </x:c>
      <x:c r="C652" s="40" t="str">
        <x:v>High-Value Frequent Shoppers</x:v>
      </x:c>
      <x:c r="D652" s="60" t="n">
        <x:v>5493.89</x:v>
      </x:c>
      <x:c r="E652" s="50" t="n">
        <x:v>167</x:v>
      </x:c>
      <x:c r="F652" s="46" t="n">
        <x:v>7.952380952380952</x:v>
      </x:c>
      <x:c r="G652" s="46" t="n">
        <x:v>0</x:v>
      </x:c>
      <x:c r="H652" s="61" t="n">
        <x:v>32.89754491017964</x:v>
      </x:c>
      <x:c r="I652" s="52" t="n">
        <x:v>0.940119760479042</x:v>
      </x:c>
      <x:c r="J652" s="52" t="n">
        <x:v>0.6934339784742686</x:v>
      </x:c>
      <x:c r="K652" s="60" t="n">
        <x:v>5323.82</x:v>
      </x:c>
      <x:c r="L652" s="60" t="n">
        <x:v>170.07</x:v>
      </x:c>
      <x:c r="M652" s="50" t="n">
        <x:v>157</x:v>
      </x:c>
      <x:c r="N652" s="50" t="n">
        <x:v>10</x:v>
      </x:c>
      <x:c r="O652" s="50" t="n">
        <x:v>151</x:v>
      </x:c>
      <x:c r="P652" s="50" t="n">
        <x:v>21</x:v>
      </x:c>
    </x:row>
    <x:row r="653" ht="36" customHeight="1">
      <x:c r="A653" s="53" t="n">
        <x:v>634</x:v>
      </x:c>
      <x:c r="B653" s="53" t="n">
        <x:v>2</x:v>
      </x:c>
      <x:c r="C653" s="40" t="str">
        <x:v>Large-Basket Occasional Shoppers</x:v>
      </x:c>
      <x:c r="D653" s="60" t="n">
        <x:v>1555.15</x:v>
      </x:c>
      <x:c r="E653" s="50" t="n">
        <x:v>35</x:v>
      </x:c>
      <x:c r="F653" s="46" t="n">
        <x:v>3.888888888888889</x:v>
      </x:c>
      <x:c r="G653" s="46" t="n">
        <x:v>242</x:v>
      </x:c>
      <x:c r="H653" s="61" t="n">
        <x:v>44.43285714285714</x:v>
      </x:c>
      <x:c r="I653" s="52" t="n">
        <x:v>0.7428571428571428</x:v>
      </x:c>
      <x:c r="J653" s="52" t="n">
        <x:v>0.4400218628428125</x:v>
      </x:c>
      <x:c r="K653" s="60" t="n">
        <x:v>1463.21</x:v>
      </x:c>
      <x:c r="L653" s="60" t="n">
        <x:v>91.94</x:v>
      </x:c>
      <x:c r="M653" s="50" t="n">
        <x:v>26</x:v>
      </x:c>
      <x:c r="N653" s="50" t="n">
        <x:v>9</x:v>
      </x:c>
      <x:c r="O653" s="50" t="n">
        <x:v>98</x:v>
      </x:c>
      <x:c r="P653" s="50" t="n">
        <x:v>9</x:v>
      </x:c>
    </x:row>
    <x:row r="654" ht="36" customHeight="1">
      <x:c r="A654" s="53" t="n">
        <x:v>635</x:v>
      </x:c>
      <x:c r="B654" s="53" t="n">
        <x:v>3</x:v>
      </x:c>
      <x:c r="C654" s="40" t="str">
        <x:v>Low-Value Low-Engagement Shoppers</x:v>
      </x:c>
      <x:c r="D654" s="60" t="n">
        <x:v>362.9</x:v>
      </x:c>
      <x:c r="E654" s="50" t="n">
        <x:v>34</x:v>
      </x:c>
      <x:c r="F654" s="46" t="n">
        <x:v>2.6153846153846154</x:v>
      </x:c>
      <x:c r="G654" s="46" t="n">
        <x:v>56</x:v>
      </x:c>
      <x:c r="H654" s="61" t="n">
        <x:v>10.673529411764704</x:v>
      </x:c>
      <x:c r="I654" s="52" t="n">
        <x:v>0.8529411764705882</x:v>
      </x:c>
      <x:c r="J654" s="52" t="n">
        <x:v>0.5893634610085422</x:v>
      </x:c>
      <x:c r="K654" s="60" t="n">
        <x:v>340.15</x:v>
      </x:c>
      <x:c r="L654" s="60" t="n">
        <x:v>22.75</x:v>
      </x:c>
      <x:c r="M654" s="50" t="n">
        <x:v>29</x:v>
      </x:c>
      <x:c r="N654" s="50" t="n">
        <x:v>5</x:v>
      </x:c>
      <x:c r="O654" s="50" t="n">
        <x:v>41</x:v>
      </x:c>
      <x:c r="P654" s="50" t="n">
        <x:v>13</x:v>
      </x:c>
    </x:row>
    <x:row r="655" ht="36" customHeight="1">
      <x:c r="A655" s="53" t="n">
        <x:v>636</x:v>
      </x:c>
      <x:c r="B655" s="53" t="n">
        <x:v>1</x:v>
      </x:c>
      <x:c r="C655" s="40" t="str">
        <x:v>High-Value Frequent Shoppers</x:v>
      </x:c>
      <x:c r="D655" s="60" t="n">
        <x:v>9045.17</x:v>
      </x:c>
      <x:c r="E655" s="50" t="n">
        <x:v>227</x:v>
      </x:c>
      <x:c r="F655" s="46" t="n">
        <x:v>10.318181818181818</x:v>
      </x:c>
      <x:c r="G655" s="46" t="n">
        <x:v>1</x:v>
      </x:c>
      <x:c r="H655" s="61" t="n">
        <x:v>39.84656387665199</x:v>
      </x:c>
      <x:c r="I655" s="52" t="n">
        <x:v>0.9603524229074888</x:v>
      </x:c>
      <x:c r="J655" s="52" t="n">
        <x:v>0.5226303098780896</x:v>
      </x:c>
      <x:c r="K655" s="60" t="n">
        <x:v>8977.72</x:v>
      </x:c>
      <x:c r="L655" s="60" t="n">
        <x:v>67.45</x:v>
      </x:c>
      <x:c r="M655" s="50" t="n">
        <x:v>218</x:v>
      </x:c>
      <x:c r="N655" s="50" t="n">
        <x:v>9</x:v>
      </x:c>
      <x:c r="O655" s="50" t="n">
        <x:v>181</x:v>
      </x:c>
      <x:c r="P655" s="50" t="n">
        <x:v>22</x:v>
      </x:c>
    </x:row>
    <x:row r="656" ht="36" customHeight="1">
      <x:c r="A656" s="53" t="n">
        <x:v>637</x:v>
      </x:c>
      <x:c r="B656" s="53" t="n">
        <x:v>1</x:v>
      </x:c>
      <x:c r="C656" s="40" t="str">
        <x:v>High-Value Frequent Shoppers</x:v>
      </x:c>
      <x:c r="D656" s="60" t="n">
        <x:v>2510.04</x:v>
      </x:c>
      <x:c r="E656" s="50" t="n">
        <x:v>113</x:v>
      </x:c>
      <x:c r="F656" s="46" t="n">
        <x:v>5.3809523809523805</x:v>
      </x:c>
      <x:c r="G656" s="46" t="n">
        <x:v>3</x:v>
      </x:c>
      <x:c r="H656" s="61" t="n">
        <x:v>22.21274336283185</x:v>
      </x:c>
      <x:c r="I656" s="52" t="n">
        <x:v>0.8761061946902654</x:v>
      </x:c>
      <x:c r="J656" s="52" t="n">
        <x:v>0.5803413491418463</x:v>
      </x:c>
      <x:c r="K656" s="60" t="n">
        <x:v>2439.84</x:v>
      </x:c>
      <x:c r="L656" s="60" t="n">
        <x:v>70.2</x:v>
      </x:c>
      <x:c r="M656" s="50" t="n">
        <x:v>99</x:v>
      </x:c>
      <x:c r="N656" s="50" t="n">
        <x:v>14</x:v>
      </x:c>
      <x:c r="O656" s="50" t="n">
        <x:v>127</x:v>
      </x:c>
      <x:c r="P656" s="50" t="n">
        <x:v>21</x:v>
      </x:c>
    </x:row>
    <x:row r="657" ht="36" customHeight="1">
      <x:c r="A657" s="53" t="n">
        <x:v>638</x:v>
      </x:c>
      <x:c r="B657" s="53" t="n">
        <x:v>1</x:v>
      </x:c>
      <x:c r="C657" s="40" t="str">
        <x:v>High-Value Frequent Shoppers</x:v>
      </x:c>
      <x:c r="D657" s="60" t="n">
        <x:v>8039.29</x:v>
      </x:c>
      <x:c r="E657" s="50" t="n">
        <x:v>164</x:v>
      </x:c>
      <x:c r="F657" s="46" t="n">
        <x:v>7.809523809523809</x:v>
      </x:c>
      <x:c r="G657" s="46" t="n">
        <x:v>4</x:v>
      </x:c>
      <x:c r="H657" s="61" t="n">
        <x:v>49.02006097560976</x:v>
      </x:c>
      <x:c r="I657" s="52" t="n">
        <x:v>0.9207317073170732</x:v>
      </x:c>
      <x:c r="J657" s="52" t="n">
        <x:v>0.515851524201764</x:v>
      </x:c>
      <x:c r="K657" s="60" t="n">
        <x:v>7950.31</x:v>
      </x:c>
      <x:c r="L657" s="60" t="n">
        <x:v>88.98</x:v>
      </x:c>
      <x:c r="M657" s="50" t="n">
        <x:v>151</x:v>
      </x:c>
      <x:c r="N657" s="50" t="n">
        <x:v>13</x:v>
      </x:c>
      <x:c r="O657" s="50" t="n">
        <x:v>179</x:v>
      </x:c>
      <x:c r="P657" s="50" t="n">
        <x:v>21</x:v>
      </x:c>
    </x:row>
    <x:row r="658" ht="36" customHeight="1">
      <x:c r="A658" s="53" t="n">
        <x:v>639</x:v>
      </x:c>
      <x:c r="B658" s="53" t="n">
        <x:v>3</x:v>
      </x:c>
      <x:c r="C658" s="40" t="str">
        <x:v>Low-Value Low-Engagement Shoppers</x:v>
      </x:c>
      <x:c r="D658" s="60" t="n">
        <x:v>759.83</x:v>
      </x:c>
      <x:c r="E658" s="50" t="n">
        <x:v>78</x:v>
      </x:c>
      <x:c r="F658" s="46" t="n">
        <x:v>6</x:v>
      </x:c>
      <x:c r="G658" s="46" t="n">
        <x:v>91</x:v>
      </x:c>
      <x:c r="H658" s="61" t="n">
        <x:v>9.741410256410257</x:v>
      </x:c>
      <x:c r="I658" s="52" t="n">
        <x:v>0.4615384615384615</x:v>
      </x:c>
      <x:c r="J658" s="52" t="n">
        <x:v>0.4636695050208599</x:v>
      </x:c>
      <x:c r="K658" s="60" t="n">
        <x:v>647.13</x:v>
      </x:c>
      <x:c r="L658" s="60" t="n">
        <x:v>112.7</x:v>
      </x:c>
      <x:c r="M658" s="50" t="n">
        <x:v>36</x:v>
      </x:c>
      <x:c r="N658" s="50" t="n">
        <x:v>42</x:v>
      </x:c>
      <x:c r="O658" s="50" t="n">
        <x:v>71</x:v>
      </x:c>
      <x:c r="P658" s="50" t="n">
        <x:v>13</x:v>
      </x:c>
    </x:row>
    <x:row r="659" ht="36" customHeight="1">
      <x:c r="A659" s="53" t="n">
        <x:v>640</x:v>
      </x:c>
      <x:c r="B659" s="53" t="n">
        <x:v>2</x:v>
      </x:c>
      <x:c r="C659" s="40" t="str">
        <x:v>Large-Basket Occasional Shoppers</x:v>
      </x:c>
      <x:c r="D659" s="60" t="n">
        <x:v>2253.25</x:v>
      </x:c>
      <x:c r="E659" s="50" t="n">
        <x:v>92</x:v>
      </x:c>
      <x:c r="F659" s="46" t="n">
        <x:v>5.75</x:v>
      </x:c>
      <x:c r="G659" s="46" t="n">
        <x:v>31</x:v>
      </x:c>
      <x:c r="H659" s="61" t="n">
        <x:v>24.49184782608696</x:v>
      </x:c>
      <x:c r="I659" s="52" t="n">
        <x:v>0.8913043478260869</x:v>
      </x:c>
      <x:c r="J659" s="52" t="n">
        <x:v>0.6033418395650726</x:v>
      </x:c>
      <x:c r="K659" s="60" t="n">
        <x:v>2140.13</x:v>
      </x:c>
      <x:c r="L659" s="60" t="n">
        <x:v>113.12</x:v>
      </x:c>
      <x:c r="M659" s="50" t="n">
        <x:v>82</x:v>
      </x:c>
      <x:c r="N659" s="50" t="n">
        <x:v>10</x:v>
      </x:c>
      <x:c r="O659" s="50" t="n">
        <x:v>118</x:v>
      </x:c>
      <x:c r="P659" s="50" t="n">
        <x:v>16</x:v>
      </x:c>
    </x:row>
    <x:row r="660" ht="36" customHeight="1">
      <x:c r="A660" s="53" t="n">
        <x:v>641</x:v>
      </x:c>
      <x:c r="B660" s="53" t="n">
        <x:v>1</x:v>
      </x:c>
      <x:c r="C660" s="40" t="str">
        <x:v>High-Value Frequent Shoppers</x:v>
      </x:c>
      <x:c r="D660" s="60" t="n">
        <x:v>13221.75</x:v>
      </x:c>
      <x:c r="E660" s="50" t="n">
        <x:v>353</x:v>
      </x:c>
      <x:c r="F660" s="46" t="n">
        <x:v>14.708333333333332</x:v>
      </x:c>
      <x:c r="G660" s="46" t="n">
        <x:v>2</x:v>
      </x:c>
      <x:c r="H660" s="61" t="n">
        <x:v>37.45538243626062</x:v>
      </x:c>
      <x:c r="I660" s="52" t="n">
        <x:v>0.7960339943342776</x:v>
      </x:c>
      <x:c r="J660" s="52" t="n">
        <x:v>0.4535904853744776</x:v>
      </x:c>
      <x:c r="K660" s="60" t="n">
        <x:v>12566.75</x:v>
      </x:c>
      <x:c r="L660" s="60" t="n">
        <x:v>655</x:v>
      </x:c>
      <x:c r="M660" s="50" t="n">
        <x:v>281</x:v>
      </x:c>
      <x:c r="N660" s="50" t="n">
        <x:v>72</x:v>
      </x:c>
      <x:c r="O660" s="50" t="n">
        <x:v>195</x:v>
      </x:c>
      <x:c r="P660" s="50" t="n">
        <x:v>24</x:v>
      </x:c>
    </x:row>
    <x:row r="661" ht="36" customHeight="1">
      <x:c r="A661" s="53" t="n">
        <x:v>642</x:v>
      </x:c>
      <x:c r="B661" s="53" t="n">
        <x:v>2</x:v>
      </x:c>
      <x:c r="C661" s="40" t="str">
        <x:v>Large-Basket Occasional Shoppers</x:v>
      </x:c>
      <x:c r="D661" s="60" t="n">
        <x:v>2208.34</x:v>
      </x:c>
      <x:c r="E661" s="50" t="n">
        <x:v>64</x:v>
      </x:c>
      <x:c r="F661" s="46" t="n">
        <x:v>3.555555555555556</x:v>
      </x:c>
      <x:c r="G661" s="46" t="n">
        <x:v>124</x:v>
      </x:c>
      <x:c r="H661" s="61" t="n">
        <x:v>34.5053125</x:v>
      </x:c>
      <x:c r="I661" s="52" t="n">
        <x:v>0.796875</x:v>
      </x:c>
      <x:c r="J661" s="52" t="n">
        <x:v>0.3533740275501055</x:v>
      </x:c>
      <x:c r="K661" s="60" t="n">
        <x:v>2058.97</x:v>
      </x:c>
      <x:c r="L661" s="60" t="n">
        <x:v>149.37</x:v>
      </x:c>
      <x:c r="M661" s="50" t="n">
        <x:v>51</x:v>
      </x:c>
      <x:c r="N661" s="50" t="n">
        <x:v>13</x:v>
      </x:c>
      <x:c r="O661" s="50" t="n">
        <x:v>137</x:v>
      </x:c>
      <x:c r="P661" s="50" t="n">
        <x:v>18</x:v>
      </x:c>
    </x:row>
    <x:row r="662" ht="36" customHeight="1">
      <x:c r="A662" s="53" t="n">
        <x:v>643</x:v>
      </x:c>
      <x:c r="B662" s="53" t="n">
        <x:v>2</x:v>
      </x:c>
      <x:c r="C662" s="40" t="str">
        <x:v>Large-Basket Occasional Shoppers</x:v>
      </x:c>
      <x:c r="D662" s="60" t="n">
        <x:v>1415.59</x:v>
      </x:c>
      <x:c r="E662" s="50" t="n">
        <x:v>31</x:v>
      </x:c>
      <x:c r="F662" s="46" t="n">
        <x:v>2.066666666666667</x:v>
      </x:c>
      <x:c r="G662" s="46" t="n">
        <x:v>7</x:v>
      </x:c>
      <x:c r="H662" s="61" t="n">
        <x:v>45.6641935483871</x:v>
      </x:c>
      <x:c r="I662" s="52" t="n">
        <x:v>1</x:v>
      </x:c>
      <x:c r="J662" s="52" t="n">
        <x:v>0.7419379905198539</x:v>
      </x:c>
      <x:c r="K662" s="60" t="n">
        <x:v>1415.59</x:v>
      </x:c>
      <x:c r="L662" s="60" t="n">
        <x:v>0</x:v>
      </x:c>
      <x:c r="M662" s="50" t="n">
        <x:v>31</x:v>
      </x:c>
      <x:c r="N662" s="50" t="n">
        <x:v>0</x:v>
      </x:c>
      <x:c r="O662" s="50" t="n">
        <x:v>99</x:v>
      </x:c>
      <x:c r="P662" s="50" t="n">
        <x:v>15</x:v>
      </x:c>
    </x:row>
    <x:row r="663" ht="36" customHeight="1">
      <x:c r="A663" s="53" t="n">
        <x:v>644</x:v>
      </x:c>
      <x:c r="B663" s="53" t="n">
        <x:v>1</x:v>
      </x:c>
      <x:c r="C663" s="40" t="str">
        <x:v>High-Value Frequent Shoppers</x:v>
      </x:c>
      <x:c r="D663" s="60" t="n">
        <x:v>3772.03</x:v>
      </x:c>
      <x:c r="E663" s="50" t="n">
        <x:v>214</x:v>
      </x:c>
      <x:c r="F663" s="46" t="n">
        <x:v>10.19047619047619</x:v>
      </x:c>
      <x:c r="G663" s="46" t="n">
        <x:v>1</x:v>
      </x:c>
      <x:c r="H663" s="61" t="n">
        <x:v>17.626308411214954</x:v>
      </x:c>
      <x:c r="I663" s="52" t="n">
        <x:v>0.925233644859813</x:v>
      </x:c>
      <x:c r="J663" s="52" t="n">
        <x:v>0.4892140306413257</x:v>
      </x:c>
      <x:c r="K663" s="60" t="n">
        <x:v>3503.24</x:v>
      </x:c>
      <x:c r="L663" s="60" t="n">
        <x:v>268.79</x:v>
      </x:c>
      <x:c r="M663" s="50" t="n">
        <x:v>198</x:v>
      </x:c>
      <x:c r="N663" s="50" t="n">
        <x:v>16</x:v>
      </x:c>
      <x:c r="O663" s="50" t="n">
        <x:v>149</x:v>
      </x:c>
      <x:c r="P663" s="50" t="n">
        <x:v>21</x:v>
      </x:c>
    </x:row>
    <x:row r="664" ht="36" customHeight="1">
      <x:c r="A664" s="53" t="n">
        <x:v>645</x:v>
      </x:c>
      <x:c r="B664" s="53" t="n">
        <x:v>3</x:v>
      </x:c>
      <x:c r="C664" s="40" t="str">
        <x:v>Low-Value Low-Engagement Shoppers</x:v>
      </x:c>
      <x:c r="D664" s="60" t="n">
        <x:v>429.06</x:v>
      </x:c>
      <x:c r="E664" s="50" t="n">
        <x:v>48</x:v>
      </x:c>
      <x:c r="F664" s="46" t="n">
        <x:v>3</x:v>
      </x:c>
      <x:c r="G664" s="46" t="n">
        <x:v>169</x:v>
      </x:c>
      <x:c r="H664" s="61" t="n">
        <x:v>8.93875</x:v>
      </x:c>
      <x:c r="I664" s="52" t="n">
        <x:v>0.7708333333333333</x:v>
      </x:c>
      <x:c r="J664" s="52" t="n">
        <x:v>0.448561972684473</x:v>
      </x:c>
      <x:c r="K664" s="60" t="n">
        <x:v>328.12</x:v>
      </x:c>
      <x:c r="L664" s="60" t="n">
        <x:v>100.94</x:v>
      </x:c>
      <x:c r="M664" s="50" t="n">
        <x:v>37</x:v>
      </x:c>
      <x:c r="N664" s="50" t="n">
        <x:v>11</x:v>
      </x:c>
      <x:c r="O664" s="50" t="n">
        <x:v>63</x:v>
      </x:c>
      <x:c r="P664" s="50" t="n">
        <x:v>16</x:v>
      </x:c>
    </x:row>
    <x:row r="665" ht="36" customHeight="1">
      <x:c r="A665" s="53" t="n">
        <x:v>646</x:v>
      </x:c>
      <x:c r="B665" s="53" t="n">
        <x:v>2</x:v>
      </x:c>
      <x:c r="C665" s="40" t="str">
        <x:v>Large-Basket Occasional Shoppers</x:v>
      </x:c>
      <x:c r="D665" s="60" t="n">
        <x:v>1691.72</x:v>
      </x:c>
      <x:c r="E665" s="50" t="n">
        <x:v>41</x:v>
      </x:c>
      <x:c r="F665" s="46" t="n">
        <x:v>2.411764705882353</x:v>
      </x:c>
      <x:c r="G665" s="46" t="n">
        <x:v>21</x:v>
      </x:c>
      <x:c r="H665" s="61" t="n">
        <x:v>41.26146341463415</x:v>
      </x:c>
      <x:c r="I665" s="52" t="n">
        <x:v>0.951219512195122</x:v>
      </x:c>
      <x:c r="J665" s="52" t="n">
        <x:v>0.6463835622916321</x:v>
      </x:c>
      <x:c r="K665" s="60" t="n">
        <x:v>1680.86</x:v>
      </x:c>
      <x:c r="L665" s="60" t="n">
        <x:v>10.86</x:v>
      </x:c>
      <x:c r="M665" s="50" t="n">
        <x:v>39</x:v>
      </x:c>
      <x:c r="N665" s="50" t="n">
        <x:v>2</x:v>
      </x:c>
      <x:c r="O665" s="50" t="n">
        <x:v>138</x:v>
      </x:c>
      <x:c r="P665" s="50" t="n">
        <x:v>17</x:v>
      </x:c>
    </x:row>
    <x:row r="666" ht="36" customHeight="1">
      <x:c r="A666" s="53" t="n">
        <x:v>647</x:v>
      </x:c>
      <x:c r="B666" s="53" t="n">
        <x:v>1</x:v>
      </x:c>
      <x:c r="C666" s="40" t="str">
        <x:v>High-Value Frequent Shoppers</x:v>
      </x:c>
      <x:c r="D666" s="60" t="n">
        <x:v>6326.74</x:v>
      </x:c>
      <x:c r="E666" s="50" t="n">
        <x:v>129</x:v>
      </x:c>
      <x:c r="F666" s="46" t="n">
        <x:v>5.863636363636364</x:v>
      </x:c>
      <x:c r="G666" s="46" t="n">
        <x:v>0</x:v>
      </x:c>
      <x:c r="H666" s="61" t="n">
        <x:v>49.044496124031006</x:v>
      </x:c>
      <x:c r="I666" s="52" t="n">
        <x:v>0.9069767441860463</x:v>
      </x:c>
      <x:c r="J666" s="52" t="n">
        <x:v>0.5820722836721597</x:v>
      </x:c>
      <x:c r="K666" s="60" t="n">
        <x:v>6219.65</x:v>
      </x:c>
      <x:c r="L666" s="60" t="n">
        <x:v>107.09</x:v>
      </x:c>
      <x:c r="M666" s="50" t="n">
        <x:v>117</x:v>
      </x:c>
      <x:c r="N666" s="50" t="n">
        <x:v>12</x:v>
      </x:c>
      <x:c r="O666" s="50" t="n">
        <x:v>159</x:v>
      </x:c>
      <x:c r="P666" s="50" t="n">
        <x:v>22</x:v>
      </x:c>
    </x:row>
    <x:row r="667" ht="36" customHeight="1">
      <x:c r="A667" s="53" t="n">
        <x:v>648</x:v>
      </x:c>
      <x:c r="B667" s="53" t="n">
        <x:v>2</x:v>
      </x:c>
      <x:c r="C667" s="40" t="str">
        <x:v>Large-Basket Occasional Shoppers</x:v>
      </x:c>
      <x:c r="D667" s="60" t="n">
        <x:v>1910.4</x:v>
      </x:c>
      <x:c r="E667" s="50" t="n">
        <x:v>73</x:v>
      </x:c>
      <x:c r="F667" s="46" t="n">
        <x:v>3.476190476190476</x:v>
      </x:c>
      <x:c r="G667" s="46" t="n">
        <x:v>5</x:v>
      </x:c>
      <x:c r="H667" s="61" t="n">
        <x:v>26.16986301369863</x:v>
      </x:c>
      <x:c r="I667" s="52" t="n">
        <x:v>0.6986301369863013</x:v>
      </x:c>
      <x:c r="J667" s="52" t="n">
        <x:v>0.343556323283082</x:v>
      </x:c>
      <x:c r="K667" s="60" t="n">
        <x:v>1737.82</x:v>
      </x:c>
      <x:c r="L667" s="60" t="n">
        <x:v>172.58</x:v>
      </x:c>
      <x:c r="M667" s="50" t="n">
        <x:v>51</x:v>
      </x:c>
      <x:c r="N667" s="50" t="n">
        <x:v>22</x:v>
      </x:c>
      <x:c r="O667" s="50" t="n">
        <x:v>120</x:v>
      </x:c>
      <x:c r="P667" s="50" t="n">
        <x:v>21</x:v>
      </x:c>
    </x:row>
    <x:row r="668" ht="36" customHeight="1">
      <x:c r="A668" s="53" t="n">
        <x:v>649</x:v>
      </x:c>
      <x:c r="B668" s="53" t="n">
        <x:v>2</x:v>
      </x:c>
      <x:c r="C668" s="40" t="str">
        <x:v>Large-Basket Occasional Shoppers</x:v>
      </x:c>
      <x:c r="D668" s="60" t="n">
        <x:v>1553.45</x:v>
      </x:c>
      <x:c r="E668" s="50" t="n">
        <x:v>55</x:v>
      </x:c>
      <x:c r="F668" s="46" t="n">
        <x:v>4.230769230769231</x:v>
      </x:c>
      <x:c r="G668" s="46" t="n">
        <x:v>155</x:v>
      </x:c>
      <x:c r="H668" s="61" t="n">
        <x:v>28.24454545454545</x:v>
      </x:c>
      <x:c r="I668" s="52" t="n">
        <x:v>0.8727272727272727</x:v>
      </x:c>
      <x:c r="J668" s="52" t="n">
        <x:v>0.569789822652805</x:v>
      </x:c>
      <x:c r="K668" s="60" t="n">
        <x:v>1512.7</x:v>
      </x:c>
      <x:c r="L668" s="60" t="n">
        <x:v>40.75</x:v>
      </x:c>
      <x:c r="M668" s="50" t="n">
        <x:v>48</x:v>
      </x:c>
      <x:c r="N668" s="50" t="n">
        <x:v>7</x:v>
      </x:c>
      <x:c r="O668" s="50" t="n">
        <x:v>125</x:v>
      </x:c>
      <x:c r="P668" s="50" t="n">
        <x:v>13</x:v>
      </x:c>
    </x:row>
    <x:row r="669" ht="36" customHeight="1">
      <x:c r="A669" s="53" t="n">
        <x:v>650</x:v>
      </x:c>
      <x:c r="B669" s="53" t="n">
        <x:v>2</x:v>
      </x:c>
      <x:c r="C669" s="40" t="str">
        <x:v>Large-Basket Occasional Shoppers</x:v>
      </x:c>
      <x:c r="D669" s="60" t="n">
        <x:v>1415.65</x:v>
      </x:c>
      <x:c r="E669" s="50" t="n">
        <x:v>78</x:v>
      </x:c>
      <x:c r="F669" s="46" t="n">
        <x:v>3.9</x:v>
      </x:c>
      <x:c r="G669" s="46" t="n">
        <x:v>16</x:v>
      </x:c>
      <x:c r="H669" s="61" t="n">
        <x:v>18.14935897435897</x:v>
      </x:c>
      <x:c r="I669" s="52" t="n">
        <x:v>0.8333333333333333</x:v>
      </x:c>
      <x:c r="J669" s="52" t="n">
        <x:v>0.5494013350757602</x:v>
      </x:c>
      <x:c r="K669" s="60" t="n">
        <x:v>1368.66</x:v>
      </x:c>
      <x:c r="L669" s="60" t="n">
        <x:v>46.99</x:v>
      </x:c>
      <x:c r="M669" s="50" t="n">
        <x:v>65</x:v>
      </x:c>
      <x:c r="N669" s="50" t="n">
        <x:v>13</x:v>
      </x:c>
      <x:c r="O669" s="50" t="n">
        <x:v>116</x:v>
      </x:c>
      <x:c r="P669" s="50" t="n">
        <x:v>20</x:v>
      </x:c>
    </x:row>
    <x:row r="670" ht="36" customHeight="1">
      <x:c r="A670" s="53" t="n">
        <x:v>651</x:v>
      </x:c>
      <x:c r="B670" s="53" t="n">
        <x:v>2</x:v>
      </x:c>
      <x:c r="C670" s="40" t="str">
        <x:v>Large-Basket Occasional Shoppers</x:v>
      </x:c>
      <x:c r="D670" s="60" t="n">
        <x:v>370.53</x:v>
      </x:c>
      <x:c r="E670" s="50" t="n">
        <x:v>8</x:v>
      </x:c>
      <x:c r="F670" s="46" t="n">
        <x:v>1.6</x:v>
      </x:c>
      <x:c r="G670" s="46" t="n">
        <x:v>180</x:v>
      </x:c>
      <x:c r="H670" s="61" t="n">
        <x:v>46.31625</x:v>
      </x:c>
      <x:c r="I670" s="52" t="n">
        <x:v>1</x:v>
      </x:c>
      <x:c r="J670" s="52" t="n">
        <x:v>0.5814643888484063</x:v>
      </x:c>
      <x:c r="K670" s="60" t="n">
        <x:v>370.53</x:v>
      </x:c>
      <x:c r="L670" s="60" t="n">
        <x:v>0</x:v>
      </x:c>
      <x:c r="M670" s="50" t="n">
        <x:v>8</x:v>
      </x:c>
      <x:c r="N670" s="50" t="n">
        <x:v>0</x:v>
      </x:c>
      <x:c r="O670" s="50" t="n">
        <x:v>52</x:v>
      </x:c>
      <x:c r="P670" s="50" t="n">
        <x:v>5</x:v>
      </x:c>
    </x:row>
    <x:row r="671" ht="36" customHeight="1">
      <x:c r="A671" s="53" t="n">
        <x:v>652</x:v>
      </x:c>
      <x:c r="B671" s="53" t="n">
        <x:v>2</x:v>
      </x:c>
      <x:c r="C671" s="40" t="str">
        <x:v>Large-Basket Occasional Shoppers</x:v>
      </x:c>
      <x:c r="D671" s="60" t="n">
        <x:v>1800.09</x:v>
      </x:c>
      <x:c r="E671" s="50" t="n">
        <x:v>48</x:v>
      </x:c>
      <x:c r="F671" s="46" t="n">
        <x:v>2.2857142857142856</x:v>
      </x:c>
      <x:c r="G671" s="46" t="n">
        <x:v>0</x:v>
      </x:c>
      <x:c r="H671" s="61" t="n">
        <x:v>37.501875</x:v>
      </x:c>
      <x:c r="I671" s="52" t="n">
        <x:v>0.9791666666666666</x:v>
      </x:c>
      <x:c r="J671" s="52" t="n">
        <x:v>0.4095906315795321</x:v>
      </x:c>
      <x:c r="K671" s="60" t="n">
        <x:v>1790.1</x:v>
      </x:c>
      <x:c r="L671" s="60" t="n">
        <x:v>9.99</x:v>
      </x:c>
      <x:c r="M671" s="50" t="n">
        <x:v>47</x:v>
      </x:c>
      <x:c r="N671" s="50" t="n">
        <x:v>1</x:v>
      </x:c>
      <x:c r="O671" s="50" t="n">
        <x:v>95</x:v>
      </x:c>
      <x:c r="P671" s="50" t="n">
        <x:v>21</x:v>
      </x:c>
    </x:row>
    <x:row r="672" ht="36" customHeight="1">
      <x:c r="A672" s="53" t="n">
        <x:v>653</x:v>
      </x:c>
      <x:c r="B672" s="53" t="n">
        <x:v>1</x:v>
      </x:c>
      <x:c r="C672" s="40" t="str">
        <x:v>High-Value Frequent Shoppers</x:v>
      </x:c>
      <x:c r="D672" s="60" t="n">
        <x:v>10822.55</x:v>
      </x:c>
      <x:c r="E672" s="50" t="n">
        <x:v>228</x:v>
      </x:c>
      <x:c r="F672" s="46" t="n">
        <x:v>10.363636363636363</x:v>
      </x:c>
      <x:c r="G672" s="46" t="n">
        <x:v>9</x:v>
      </x:c>
      <x:c r="H672" s="61" t="n">
        <x:v>47.46732456140352</x:v>
      </x:c>
      <x:c r="I672" s="52" t="n">
        <x:v>0.9078947368421052</x:v>
      </x:c>
      <x:c r="J672" s="52" t="n">
        <x:v>0.5303334241930044</x:v>
      </x:c>
      <x:c r="K672" s="60" t="n">
        <x:v>10439.79</x:v>
      </x:c>
      <x:c r="L672" s="60" t="n">
        <x:v>382.76</x:v>
      </x:c>
      <x:c r="M672" s="50" t="n">
        <x:v>207</x:v>
      </x:c>
      <x:c r="N672" s="50" t="n">
        <x:v>21</x:v>
      </x:c>
      <x:c r="O672" s="50" t="n">
        <x:v>195</x:v>
      </x:c>
      <x:c r="P672" s="50" t="n">
        <x:v>22</x:v>
      </x:c>
    </x:row>
    <x:row r="673" ht="36" customHeight="1">
      <x:c r="A673" s="53" t="n">
        <x:v>654</x:v>
      </x:c>
      <x:c r="B673" s="53" t="n">
        <x:v>1</x:v>
      </x:c>
      <x:c r="C673" s="40" t="str">
        <x:v>High-Value Frequent Shoppers</x:v>
      </x:c>
      <x:c r="D673" s="60" t="n">
        <x:v>2330.08</x:v>
      </x:c>
      <x:c r="E673" s="50" t="n">
        <x:v>146</x:v>
      </x:c>
      <x:c r="F673" s="46" t="n">
        <x:v>6.636363636363637</x:v>
      </x:c>
      <x:c r="G673" s="46" t="n">
        <x:v>4</x:v>
      </x:c>
      <x:c r="H673" s="61" t="n">
        <x:v>15.95945205479452</x:v>
      </x:c>
      <x:c r="I673" s="52" t="n">
        <x:v>0.8767123287671232</x:v>
      </x:c>
      <x:c r="J673" s="52" t="n">
        <x:v>0.4679281398063585</x:v>
      </x:c>
      <x:c r="K673" s="60" t="n">
        <x:v>2190.62</x:v>
      </x:c>
      <x:c r="L673" s="60" t="n">
        <x:v>139.46</x:v>
      </x:c>
      <x:c r="M673" s="50" t="n">
        <x:v>128</x:v>
      </x:c>
      <x:c r="N673" s="50" t="n">
        <x:v>18</x:v>
      </x:c>
      <x:c r="O673" s="50" t="n">
        <x:v>118</x:v>
      </x:c>
      <x:c r="P673" s="50" t="n">
        <x:v>22</x:v>
      </x:c>
    </x:row>
    <x:row r="674" ht="36" customHeight="1">
      <x:c r="A674" s="53" t="n">
        <x:v>655</x:v>
      </x:c>
      <x:c r="B674" s="53" t="n">
        <x:v>1</x:v>
      </x:c>
      <x:c r="C674" s="40" t="str">
        <x:v>High-Value Frequent Shoppers</x:v>
      </x:c>
      <x:c r="D674" s="60" t="n">
        <x:v>1991.29</x:v>
      </x:c>
      <x:c r="E674" s="50" t="n">
        <x:v>61</x:v>
      </x:c>
      <x:c r="F674" s="46" t="n">
        <x:v>3.388888888888889</x:v>
      </x:c>
      <x:c r="G674" s="46" t="n">
        <x:v>1</x:v>
      </x:c>
      <x:c r="H674" s="61" t="n">
        <x:v>32.64409836065573</x:v>
      </x:c>
      <x:c r="I674" s="52" t="n">
        <x:v>0.8032786885245901</x:v>
      </x:c>
      <x:c r="J674" s="52" t="n">
        <x:v>0.4914301784270498</x:v>
      </x:c>
      <x:c r="K674" s="60" t="n">
        <x:v>1803.38</x:v>
      </x:c>
      <x:c r="L674" s="60" t="n">
        <x:v>187.91</x:v>
      </x:c>
      <x:c r="M674" s="50" t="n">
        <x:v>49</x:v>
      </x:c>
      <x:c r="N674" s="50" t="n">
        <x:v>12</x:v>
      </x:c>
      <x:c r="O674" s="50" t="n">
        <x:v>134</x:v>
      </x:c>
      <x:c r="P674" s="50" t="n">
        <x:v>18</x:v>
      </x:c>
    </x:row>
    <x:row r="675" ht="36" customHeight="1">
      <x:c r="A675" s="53" t="n">
        <x:v>656</x:v>
      </x:c>
      <x:c r="B675" s="53" t="n">
        <x:v>2</x:v>
      </x:c>
      <x:c r="C675" s="40" t="str">
        <x:v>Large-Basket Occasional Shoppers</x:v>
      </x:c>
      <x:c r="D675" s="60" t="n">
        <x:v>5040.28</x:v>
      </x:c>
      <x:c r="E675" s="50" t="n">
        <x:v>95</x:v>
      </x:c>
      <x:c r="F675" s="46" t="n">
        <x:v>4.523809523809524</x:v>
      </x:c>
      <x:c r="G675" s="46" t="n">
        <x:v>16</x:v>
      </x:c>
      <x:c r="H675" s="61" t="n">
        <x:v>53.05557894736842</x:v>
      </x:c>
      <x:c r="I675" s="52" t="n">
        <x:v>0.9368421052631578</x:v>
      </x:c>
      <x:c r="J675" s="52" t="n">
        <x:v>0.4679263850421008</x:v>
      </x:c>
      <x:c r="K675" s="60" t="n">
        <x:v>4980.25</x:v>
      </x:c>
      <x:c r="L675" s="60" t="n">
        <x:v>60.03</x:v>
      </x:c>
      <x:c r="M675" s="50" t="n">
        <x:v>89</x:v>
      </x:c>
      <x:c r="N675" s="50" t="n">
        <x:v>6</x:v>
      </x:c>
      <x:c r="O675" s="50" t="n">
        <x:v>141</x:v>
      </x:c>
      <x:c r="P675" s="50" t="n">
        <x:v>21</x:v>
      </x:c>
    </x:row>
    <x:row r="676" ht="36" customHeight="1">
      <x:c r="A676" s="53" t="n">
        <x:v>657</x:v>
      </x:c>
      <x:c r="B676" s="53" t="n">
        <x:v>3</x:v>
      </x:c>
      <x:c r="C676" s="40" t="str">
        <x:v>Low-Value Low-Engagement Shoppers</x:v>
      </x:c>
      <x:c r="D676" s="60" t="n">
        <x:v>119.8</x:v>
      </x:c>
      <x:c r="E676" s="50" t="n">
        <x:v>20</x:v>
      </x:c>
      <x:c r="F676" s="46" t="n">
        <x:v>1.4285714285714286</x:v>
      </x:c>
      <x:c r="G676" s="46" t="n">
        <x:v>8</x:v>
      </x:c>
      <x:c r="H676" s="61" t="n">
        <x:v>5.99</x:v>
      </x:c>
      <x:c r="I676" s="52" t="n">
        <x:v>0.15</x:v>
      </x:c>
      <x:c r="J676" s="52" t="n">
        <x:v>0.1025041736227045</x:v>
      </x:c>
      <x:c r="K676" s="60" t="n">
        <x:v>34</x:v>
      </x:c>
      <x:c r="L676" s="60" t="n">
        <x:v>85.8</x:v>
      </x:c>
      <x:c r="M676" s="50" t="n">
        <x:v>3</x:v>
      </x:c>
      <x:c r="N676" s="50" t="n">
        <x:v>17</x:v>
      </x:c>
      <x:c r="O676" s="50" t="n">
        <x:v>15</x:v>
      </x:c>
      <x:c r="P676" s="50" t="n">
        <x:v>14</x:v>
      </x:c>
    </x:row>
    <x:row r="677" ht="36" customHeight="1">
      <x:c r="A677" s="53" t="n">
        <x:v>658</x:v>
      </x:c>
      <x:c r="B677" s="53" t="n">
        <x:v>2</x:v>
      </x:c>
      <x:c r="C677" s="40" t="str">
        <x:v>Large-Basket Occasional Shoppers</x:v>
      </x:c>
      <x:c r="D677" s="60" t="n">
        <x:v>1052.48</x:v>
      </x:c>
      <x:c r="E677" s="50" t="n">
        <x:v>49</x:v>
      </x:c>
      <x:c r="F677" s="46" t="n">
        <x:v>2.7222222222222223</x:v>
      </x:c>
      <x:c r="G677" s="46" t="n">
        <x:v>8</x:v>
      </x:c>
      <x:c r="H677" s="61" t="n">
        <x:v>21.47918367346939</x:v>
      </x:c>
      <x:c r="I677" s="52" t="n">
        <x:v>0.9183673469387756</x:v>
      </x:c>
      <x:c r="J677" s="52" t="n">
        <x:v>0.5352690787473396</x:v>
      </x:c>
      <x:c r="K677" s="60" t="n">
        <x:v>1025.78</x:v>
      </x:c>
      <x:c r="L677" s="60" t="n">
        <x:v>26.7</x:v>
      </x:c>
      <x:c r="M677" s="50" t="n">
        <x:v>45</x:v>
      </x:c>
      <x:c r="N677" s="50" t="n">
        <x:v>4</x:v>
      </x:c>
      <x:c r="O677" s="50" t="n">
        <x:v>102</x:v>
      </x:c>
      <x:c r="P677" s="50" t="n">
        <x:v>18</x:v>
      </x:c>
    </x:row>
    <x:row r="678" ht="36" customHeight="1">
      <x:c r="A678" s="53" t="n">
        <x:v>659</x:v>
      </x:c>
      <x:c r="B678" s="53" t="n">
        <x:v>3</x:v>
      </x:c>
      <x:c r="C678" s="40" t="str">
        <x:v>Low-Value Low-Engagement Shoppers</x:v>
      </x:c>
      <x:c r="D678" s="60" t="n">
        <x:v>760.89</x:v>
      </x:c>
      <x:c r="E678" s="50" t="n">
        <x:v>32</x:v>
      </x:c>
      <x:c r="F678" s="46" t="n">
        <x:v>2</x:v>
      </x:c>
      <x:c r="G678" s="46" t="n">
        <x:v>26</x:v>
      </x:c>
      <x:c r="H678" s="61" t="n">
        <x:v>23.7778125</x:v>
      </x:c>
      <x:c r="I678" s="52" t="n">
        <x:v>0.8125</x:v>
      </x:c>
      <x:c r="J678" s="52" t="n">
        <x:v>0.4194167356648135</x:v>
      </x:c>
      <x:c r="K678" s="60" t="n">
        <x:v>713.19</x:v>
      </x:c>
      <x:c r="L678" s="60" t="n">
        <x:v>47.7</x:v>
      </x:c>
      <x:c r="M678" s="50" t="n">
        <x:v>26</x:v>
      </x:c>
      <x:c r="N678" s="50" t="n">
        <x:v>6</x:v>
      </x:c>
      <x:c r="O678" s="50" t="n">
        <x:v>79</x:v>
      </x:c>
      <x:c r="P678" s="50" t="n">
        <x:v>16</x:v>
      </x:c>
    </x:row>
    <x:row r="679" ht="36" customHeight="1">
      <x:c r="A679" s="53" t="n">
        <x:v>660</x:v>
      </x:c>
      <x:c r="B679" s="53" t="n">
        <x:v>1</x:v>
      </x:c>
      <x:c r="C679" s="40" t="str">
        <x:v>High-Value Frequent Shoppers</x:v>
      </x:c>
      <x:c r="D679" s="60" t="n">
        <x:v>7954.28</x:v>
      </x:c>
      <x:c r="E679" s="50" t="n">
        <x:v>168</x:v>
      </x:c>
      <x:c r="F679" s="46" t="n">
        <x:v>8</x:v>
      </x:c>
      <x:c r="G679" s="46" t="n">
        <x:v>2</x:v>
      </x:c>
      <x:c r="H679" s="61" t="n">
        <x:v>47.34690476190476</x:v>
      </x:c>
      <x:c r="I679" s="52" t="n">
        <x:v>0.9047619047619048</x:v>
      </x:c>
      <x:c r="J679" s="52" t="n">
        <x:v>0.507627340249526</x:v>
      </x:c>
      <x:c r="K679" s="60" t="n">
        <x:v>7721.18</x:v>
      </x:c>
      <x:c r="L679" s="60" t="n">
        <x:v>233.1</x:v>
      </x:c>
      <x:c r="M679" s="50" t="n">
        <x:v>152</x:v>
      </x:c>
      <x:c r="N679" s="50" t="n">
        <x:v>16</x:v>
      </x:c>
      <x:c r="O679" s="50" t="n">
        <x:v>165</x:v>
      </x:c>
      <x:c r="P679" s="50" t="n">
        <x:v>21</x:v>
      </x:c>
    </x:row>
    <x:row r="680" ht="36" customHeight="1">
      <x:c r="A680" s="53" t="n">
        <x:v>661</x:v>
      </x:c>
      <x:c r="B680" s="53" t="n">
        <x:v>1</x:v>
      </x:c>
      <x:c r="C680" s="40" t="str">
        <x:v>High-Value Frequent Shoppers</x:v>
      </x:c>
      <x:c r="D680" s="60" t="n">
        <x:v>8271.31</x:v>
      </x:c>
      <x:c r="E680" s="50" t="n">
        <x:v>394</x:v>
      </x:c>
      <x:c r="F680" s="46" t="n">
        <x:v>18.76190476190476</x:v>
      </x:c>
      <x:c r="G680" s="46" t="n">
        <x:v>1</x:v>
      </x:c>
      <x:c r="H680" s="61" t="n">
        <x:v>20.993172588832486</x:v>
      </x:c>
      <x:c r="I680" s="52" t="n">
        <x:v>0.8147208121827411</x:v>
      </x:c>
      <x:c r="J680" s="52" t="n">
        <x:v>0.4208075867063379</x:v>
      </x:c>
      <x:c r="K680" s="60" t="n">
        <x:v>7708.52</x:v>
      </x:c>
      <x:c r="L680" s="60" t="n">
        <x:v>562.79</x:v>
      </x:c>
      <x:c r="M680" s="50" t="n">
        <x:v>321</x:v>
      </x:c>
      <x:c r="N680" s="50" t="n">
        <x:v>73</x:v>
      </x:c>
      <x:c r="O680" s="50" t="n">
        <x:v>128</x:v>
      </x:c>
      <x:c r="P680" s="50" t="n">
        <x:v>21</x:v>
      </x:c>
    </x:row>
    <x:row r="681" ht="36" customHeight="1">
      <x:c r="A681" s="53" t="n">
        <x:v>662</x:v>
      </x:c>
      <x:c r="B681" s="53" t="n">
        <x:v>2</x:v>
      </x:c>
      <x:c r="C681" s="40" t="str">
        <x:v>Large-Basket Occasional Shoppers</x:v>
      </x:c>
      <x:c r="D681" s="60" t="n">
        <x:v>1381.73</x:v>
      </x:c>
      <x:c r="E681" s="50" t="n">
        <x:v>39</x:v>
      </x:c>
      <x:c r="F681" s="46" t="n">
        <x:v>2.4375</x:v>
      </x:c>
      <x:c r="G681" s="46" t="n">
        <x:v>18</x:v>
      </x:c>
      <x:c r="H681" s="61" t="n">
        <x:v>35.42897435897436</x:v>
      </x:c>
      <x:c r="I681" s="52" t="n">
        <x:v>0.923076923076923</x:v>
      </x:c>
      <x:c r="J681" s="52" t="n">
        <x:v>0.5239301455421826</x:v>
      </x:c>
      <x:c r="K681" s="60" t="n">
        <x:v>1319.05</x:v>
      </x:c>
      <x:c r="L681" s="60" t="n">
        <x:v>62.68</x:v>
      </x:c>
      <x:c r="M681" s="50" t="n">
        <x:v>36</x:v>
      </x:c>
      <x:c r="N681" s="50" t="n">
        <x:v>3</x:v>
      </x:c>
      <x:c r="O681" s="50" t="n">
        <x:v>70</x:v>
      </x:c>
      <x:c r="P681" s="50" t="n">
        <x:v>16</x:v>
      </x:c>
    </x:row>
    <x:row r="682" ht="36" customHeight="1">
      <x:c r="A682" s="53" t="n">
        <x:v>663</x:v>
      </x:c>
      <x:c r="B682" s="53" t="n">
        <x:v>1</x:v>
      </x:c>
      <x:c r="C682" s="40" t="str">
        <x:v>High-Value Frequent Shoppers</x:v>
      </x:c>
      <x:c r="D682" s="60" t="n">
        <x:v>3199.53</x:v>
      </x:c>
      <x:c r="E682" s="50" t="n">
        <x:v>105</x:v>
      </x:c>
      <x:c r="F682" s="46" t="n">
        <x:v>5</x:v>
      </x:c>
      <x:c r="G682" s="46" t="n">
        <x:v>2</x:v>
      </x:c>
      <x:c r="H682" s="61" t="n">
        <x:v>30.471714285714285</x:v>
      </x:c>
      <x:c r="I682" s="52" t="n">
        <x:v>0.9523809523809524</x:v>
      </x:c>
      <x:c r="J682" s="52" t="n">
        <x:v>0.5717339734273471</x:v>
      </x:c>
      <x:c r="K682" s="60" t="n">
        <x:v>3142.01</x:v>
      </x:c>
      <x:c r="L682" s="60" t="n">
        <x:v>57.52</x:v>
      </x:c>
      <x:c r="M682" s="50" t="n">
        <x:v>100</x:v>
      </x:c>
      <x:c r="N682" s="50" t="n">
        <x:v>5</x:v>
      </x:c>
      <x:c r="O682" s="50" t="n">
        <x:v>145</x:v>
      </x:c>
      <x:c r="P682" s="50" t="n">
        <x:v>21</x:v>
      </x:c>
    </x:row>
    <x:row r="683" ht="36" customHeight="1">
      <x:c r="A683" s="53" t="n">
        <x:v>664</x:v>
      </x:c>
      <x:c r="B683" s="53" t="n">
        <x:v>2</x:v>
      </x:c>
      <x:c r="C683" s="40" t="str">
        <x:v>Large-Basket Occasional Shoppers</x:v>
      </x:c>
      <x:c r="D683" s="60" t="n">
        <x:v>995.08</x:v>
      </x:c>
      <x:c r="E683" s="50" t="n">
        <x:v>31</x:v>
      </x:c>
      <x:c r="F683" s="46" t="n">
        <x:v>1.722222222222222</x:v>
      </x:c>
      <x:c r="G683" s="46" t="n">
        <x:v>20</x:v>
      </x:c>
      <x:c r="H683" s="61" t="n">
        <x:v>32.09935483870968</x:v>
      </x:c>
      <x:c r="I683" s="52" t="n">
        <x:v>0.9677419354838708</x:v>
      </x:c>
      <x:c r="J683" s="52" t="n">
        <x:v>0.5460666479077059</x:v>
      </x:c>
      <x:c r="K683" s="60" t="n">
        <x:v>987.12</x:v>
      </x:c>
      <x:c r="L683" s="60" t="n">
        <x:v>7.96</x:v>
      </x:c>
      <x:c r="M683" s="50" t="n">
        <x:v>30</x:v>
      </x:c>
      <x:c r="N683" s="50" t="n">
        <x:v>1</x:v>
      </x:c>
      <x:c r="O683" s="50" t="n">
        <x:v>108</x:v>
      </x:c>
      <x:c r="P683" s="50" t="n">
        <x:v>18</x:v>
      </x:c>
    </x:row>
    <x:row r="684" ht="36" customHeight="1">
      <x:c r="A684" s="53" t="n">
        <x:v>665</x:v>
      </x:c>
      <x:c r="B684" s="53" t="n">
        <x:v>3</x:v>
      </x:c>
      <x:c r="C684" s="40" t="str">
        <x:v>Low-Value Low-Engagement Shoppers</x:v>
      </x:c>
      <x:c r="D684" s="60" t="n">
        <x:v>715.98</x:v>
      </x:c>
      <x:c r="E684" s="50" t="n">
        <x:v>39</x:v>
      </x:c>
      <x:c r="F684" s="46" t="n">
        <x:v>2.166666666666667</x:v>
      </x:c>
      <x:c r="G684" s="46" t="n">
        <x:v>1</x:v>
      </x:c>
      <x:c r="H684" s="61" t="n">
        <x:v>18.358461538461537</x:v>
      </x:c>
      <x:c r="I684" s="52" t="n">
        <x:v>0.641025641025641</x:v>
      </x:c>
      <x:c r="J684" s="52" t="n">
        <x:v>0.3115869158356378</x:v>
      </x:c>
      <x:c r="K684" s="60" t="n">
        <x:v>509.55</x:v>
      </x:c>
      <x:c r="L684" s="60" t="n">
        <x:v>206.43</x:v>
      </x:c>
      <x:c r="M684" s="50" t="n">
        <x:v>25</x:v>
      </x:c>
      <x:c r="N684" s="50" t="n">
        <x:v>14</x:v>
      </x:c>
      <x:c r="O684" s="50" t="n">
        <x:v>63</x:v>
      </x:c>
      <x:c r="P684" s="50" t="n">
        <x:v>18</x:v>
      </x:c>
    </x:row>
    <x:row r="685" ht="36" customHeight="1">
      <x:c r="A685" s="53" t="n">
        <x:v>666</x:v>
      </x:c>
      <x:c r="B685" s="53" t="n">
        <x:v>3</x:v>
      </x:c>
      <x:c r="C685" s="40" t="str">
        <x:v>Low-Value Low-Engagement Shoppers</x:v>
      </x:c>
      <x:c r="D685" s="60" t="n">
        <x:v>1020.7</x:v>
      </x:c>
      <x:c r="E685" s="50" t="n">
        <x:v>99</x:v>
      </x:c>
      <x:c r="F685" s="46" t="n">
        <x:v>4.5</x:v>
      </x:c>
      <x:c r="G685" s="46" t="n">
        <x:v>2</x:v>
      </x:c>
      <x:c r="H685" s="61" t="n">
        <x:v>10.31010101010101</x:v>
      </x:c>
      <x:c r="I685" s="52" t="n">
        <x:v>0.8181818181818181</x:v>
      </x:c>
      <x:c r="J685" s="52" t="n">
        <x:v>0.4718526501420593</x:v>
      </x:c>
      <x:c r="K685" s="60" t="n">
        <x:v>928.09</x:v>
      </x:c>
      <x:c r="L685" s="60" t="n">
        <x:v>92.61</x:v>
      </x:c>
      <x:c r="M685" s="50" t="n">
        <x:v>81</x:v>
      </x:c>
      <x:c r="N685" s="50" t="n">
        <x:v>18</x:v>
      </x:c>
      <x:c r="O685" s="50" t="n">
        <x:v>96</x:v>
      </x:c>
      <x:c r="P685" s="50" t="n">
        <x:v>22</x:v>
      </x:c>
    </x:row>
    <x:row r="686" ht="36" customHeight="1">
      <x:c r="A686" s="53" t="n">
        <x:v>667</x:v>
      </x:c>
      <x:c r="B686" s="53" t="n">
        <x:v>2</x:v>
      </x:c>
      <x:c r="C686" s="40" t="str">
        <x:v>Large-Basket Occasional Shoppers</x:v>
      </x:c>
      <x:c r="D686" s="60" t="n">
        <x:v>1121.2</x:v>
      </x:c>
      <x:c r="E686" s="50" t="n">
        <x:v>66</x:v>
      </x:c>
      <x:c r="F686" s="46" t="n">
        <x:v>3.882352941176471</x:v>
      </x:c>
      <x:c r="G686" s="46" t="n">
        <x:v>3</x:v>
      </x:c>
      <x:c r="H686" s="61" t="n">
        <x:v>16.98787878787879</x:v>
      </x:c>
      <x:c r="I686" s="52" t="n">
        <x:v>0.9242424242424242</x:v>
      </x:c>
      <x:c r="J686" s="52" t="n">
        <x:v>0.6219229397074562</x:v>
      </x:c>
      <x:c r="K686" s="60" t="n">
        <x:v>1081.87</x:v>
      </x:c>
      <x:c r="L686" s="60" t="n">
        <x:v>39.33</x:v>
      </x:c>
      <x:c r="M686" s="50" t="n">
        <x:v>61</x:v>
      </x:c>
      <x:c r="N686" s="50" t="n">
        <x:v>5</x:v>
      </x:c>
      <x:c r="O686" s="50" t="n">
        <x:v>123</x:v>
      </x:c>
      <x:c r="P686" s="50" t="n">
        <x:v>17</x:v>
      </x:c>
    </x:row>
    <x:row r="687" ht="36" customHeight="1">
      <x:c r="A687" s="53" t="n">
        <x:v>668</x:v>
      </x:c>
      <x:c r="B687" s="53" t="n">
        <x:v>2</x:v>
      </x:c>
      <x:c r="C687" s="40" t="str">
        <x:v>Large-Basket Occasional Shoppers</x:v>
      </x:c>
      <x:c r="D687" s="60" t="n">
        <x:v>1151.04</x:v>
      </x:c>
      <x:c r="E687" s="50" t="n">
        <x:v>57</x:v>
      </x:c>
      <x:c r="F687" s="46" t="n">
        <x:v>3</x:v>
      </x:c>
      <x:c r="G687" s="46" t="n">
        <x:v>0</x:v>
      </x:c>
      <x:c r="H687" s="61" t="n">
        <x:v>20.19368421052632</x:v>
      </x:c>
      <x:c r="I687" s="52" t="n">
        <x:v>0.894736842105263</x:v>
      </x:c>
      <x:c r="J687" s="52" t="n">
        <x:v>0.5931071031415068</x:v>
      </x:c>
      <x:c r="K687" s="60" t="n">
        <x:v>1109.23</x:v>
      </x:c>
      <x:c r="L687" s="60" t="n">
        <x:v>41.81</x:v>
      </x:c>
      <x:c r="M687" s="50" t="n">
        <x:v>51</x:v>
      </x:c>
      <x:c r="N687" s="50" t="n">
        <x:v>6</x:v>
      </x:c>
      <x:c r="O687" s="50" t="n">
        <x:v>101</x:v>
      </x:c>
      <x:c r="P687" s="50" t="n">
        <x:v>19</x:v>
      </x:c>
    </x:row>
    <x:row r="688" ht="36" customHeight="1">
      <x:c r="A688" s="53" t="n">
        <x:v>669</x:v>
      </x:c>
      <x:c r="B688" s="53" t="n">
        <x:v>1</x:v>
      </x:c>
      <x:c r="C688" s="40" t="str">
        <x:v>High-Value Frequent Shoppers</x:v>
      </x:c>
      <x:c r="D688" s="60" t="n">
        <x:v>9164.15</x:v>
      </x:c>
      <x:c r="E688" s="50" t="n">
        <x:v>119</x:v>
      </x:c>
      <x:c r="F688" s="46" t="n">
        <x:v>4.958333333333333</x:v>
      </x:c>
      <x:c r="G688" s="46" t="n">
        <x:v>5</x:v>
      </x:c>
      <x:c r="H688" s="61" t="n">
        <x:v>77.0096638655462</x:v>
      </x:c>
      <x:c r="I688" s="52" t="n">
        <x:v>0.9495798319327732</x:v>
      </x:c>
      <x:c r="J688" s="52" t="n">
        <x:v>0.3243257694385185</x:v>
      </x:c>
      <x:c r="K688" s="60" t="n">
        <x:v>8996.35</x:v>
      </x:c>
      <x:c r="L688" s="60" t="n">
        <x:v>167.8</x:v>
      </x:c>
      <x:c r="M688" s="50" t="n">
        <x:v>113</x:v>
      </x:c>
      <x:c r="N688" s="50" t="n">
        <x:v>6</x:v>
      </x:c>
      <x:c r="O688" s="50" t="n">
        <x:v>171</x:v>
      </x:c>
      <x:c r="P688" s="50" t="n">
        <x:v>24</x:v>
      </x:c>
    </x:row>
    <x:row r="689" ht="36" customHeight="1">
      <x:c r="A689" s="53" t="n">
        <x:v>670</x:v>
      </x:c>
      <x:c r="B689" s="53" t="n">
        <x:v>1</x:v>
      </x:c>
      <x:c r="C689" s="40" t="str">
        <x:v>High-Value Frequent Shoppers</x:v>
      </x:c>
      <x:c r="D689" s="60" t="n">
        <x:v>5685.67</x:v>
      </x:c>
      <x:c r="E689" s="50" t="n">
        <x:v>192</x:v>
      </x:c>
      <x:c r="F689" s="46" t="n">
        <x:v>8</x:v>
      </x:c>
      <x:c r="G689" s="46" t="n">
        <x:v>3</x:v>
      </x:c>
      <x:c r="H689" s="61" t="n">
        <x:v>29.612864583333334</x:v>
      </x:c>
      <x:c r="I689" s="52" t="n">
        <x:v>0.9114583333333331</x:v>
      </x:c>
      <x:c r="J689" s="52" t="n">
        <x:v>0.5357873390471131</x:v>
      </x:c>
      <x:c r="K689" s="60" t="n">
        <x:v>5514.62</x:v>
      </x:c>
      <x:c r="L689" s="60" t="n">
        <x:v>171.05</x:v>
      </x:c>
      <x:c r="M689" s="50" t="n">
        <x:v>175</x:v>
      </x:c>
      <x:c r="N689" s="50" t="n">
        <x:v>17</x:v>
      </x:c>
      <x:c r="O689" s="50" t="n">
        <x:v>176</x:v>
      </x:c>
      <x:c r="P689" s="50" t="n">
        <x:v>24</x:v>
      </x:c>
    </x:row>
    <x:row r="690" ht="36" customHeight="1">
      <x:c r="A690" s="53" t="n">
        <x:v>671</x:v>
      </x:c>
      <x:c r="B690" s="53" t="n">
        <x:v>2</x:v>
      </x:c>
      <x:c r="C690" s="40" t="str">
        <x:v>Large-Basket Occasional Shoppers</x:v>
      </x:c>
      <x:c r="D690" s="60" t="n">
        <x:v>5089.66</x:v>
      </x:c>
      <x:c r="E690" s="50" t="n">
        <x:v>127</x:v>
      </x:c>
      <x:c r="F690" s="46" t="n">
        <x:v>6.047619047619048</x:v>
      </x:c>
      <x:c r="G690" s="46" t="n">
        <x:v>17</x:v>
      </x:c>
      <x:c r="H690" s="61" t="n">
        <x:v>40.07606299212598</x:v>
      </x:c>
      <x:c r="I690" s="52" t="n">
        <x:v>0.8818897637795275</x:v>
      </x:c>
      <x:c r="J690" s="52" t="n">
        <x:v>0.5617958763453746</x:v>
      </x:c>
      <x:c r="K690" s="60" t="n">
        <x:v>4858.65</x:v>
      </x:c>
      <x:c r="L690" s="60" t="n">
        <x:v>231.01</x:v>
      </x:c>
      <x:c r="M690" s="50" t="n">
        <x:v>112</x:v>
      </x:c>
      <x:c r="N690" s="50" t="n">
        <x:v>15</x:v>
      </x:c>
      <x:c r="O690" s="50" t="n">
        <x:v>112</x:v>
      </x:c>
      <x:c r="P690" s="50" t="n">
        <x:v>21</x:v>
      </x:c>
    </x:row>
    <x:row r="691" ht="36" customHeight="1">
      <x:c r="A691" s="53" t="n">
        <x:v>672</x:v>
      </x:c>
      <x:c r="B691" s="53" t="n">
        <x:v>1</x:v>
      </x:c>
      <x:c r="C691" s="40" t="str">
        <x:v>High-Value Frequent Shoppers</x:v>
      </x:c>
      <x:c r="D691" s="60" t="n">
        <x:v>2731.15</x:v>
      </x:c>
      <x:c r="E691" s="50" t="n">
        <x:v>121</x:v>
      </x:c>
      <x:c r="F691" s="46" t="n">
        <x:v>5.5</x:v>
      </x:c>
      <x:c r="G691" s="46" t="n">
        <x:v>1</x:v>
      </x:c>
      <x:c r="H691" s="61" t="n">
        <x:v>22.571487603305783</x:v>
      </x:c>
      <x:c r="I691" s="52" t="n">
        <x:v>0.9008264462809916</x:v>
      </x:c>
      <x:c r="J691" s="52" t="n">
        <x:v>0.672273584387529</x:v>
      </x:c>
      <x:c r="K691" s="60" t="n">
        <x:v>2674.6</x:v>
      </x:c>
      <x:c r="L691" s="60" t="n">
        <x:v>56.55</x:v>
      </x:c>
      <x:c r="M691" s="50" t="n">
        <x:v>109</x:v>
      </x:c>
      <x:c r="N691" s="50" t="n">
        <x:v>12</x:v>
      </x:c>
      <x:c r="O691" s="50" t="n">
        <x:v>131</x:v>
      </x:c>
      <x:c r="P691" s="50" t="n">
        <x:v>22</x:v>
      </x:c>
    </x:row>
    <x:row r="692" ht="36" customHeight="1">
      <x:c r="A692" s="53" t="n">
        <x:v>673</x:v>
      </x:c>
      <x:c r="B692" s="53" t="n">
        <x:v>3</x:v>
      </x:c>
      <x:c r="C692" s="40" t="str">
        <x:v>Low-Value Low-Engagement Shoppers</x:v>
      </x:c>
      <x:c r="D692" s="60" t="n">
        <x:v>704.61</x:v>
      </x:c>
      <x:c r="E692" s="50" t="n">
        <x:v>50</x:v>
      </x:c>
      <x:c r="F692" s="46" t="n">
        <x:v>2.7777777777777777</x:v>
      </x:c>
      <x:c r="G692" s="46" t="n">
        <x:v>0</x:v>
      </x:c>
      <x:c r="H692" s="61" t="n">
        <x:v>14.0922</x:v>
      </x:c>
      <x:c r="I692" s="52" t="n">
        <x:v>0.66</x:v>
      </x:c>
      <x:c r="J692" s="52" t="n">
        <x:v>0.5117582776287591</x:v>
      </x:c>
      <x:c r="K692" s="60" t="n">
        <x:v>597.14</x:v>
      </x:c>
      <x:c r="L692" s="60" t="n">
        <x:v>107.47</x:v>
      </x:c>
      <x:c r="M692" s="50" t="n">
        <x:v>33</x:v>
      </x:c>
      <x:c r="N692" s="50" t="n">
        <x:v>17</x:v>
      </x:c>
      <x:c r="O692" s="50" t="n">
        <x:v>65</x:v>
      </x:c>
      <x:c r="P692" s="50" t="n">
        <x:v>18</x:v>
      </x:c>
    </x:row>
    <x:row r="693" ht="36" customHeight="1">
      <x:c r="A693" s="53" t="n">
        <x:v>674</x:v>
      </x:c>
      <x:c r="B693" s="53" t="n">
        <x:v>1</x:v>
      </x:c>
      <x:c r="C693" s="40" t="str">
        <x:v>High-Value Frequent Shoppers</x:v>
      </x:c>
      <x:c r="D693" s="60" t="n">
        <x:v>4727.57</x:v>
      </x:c>
      <x:c r="E693" s="50" t="n">
        <x:v>138</x:v>
      </x:c>
      <x:c r="F693" s="46" t="n">
        <x:v>6</x:v>
      </x:c>
      <x:c r="G693" s="46" t="n">
        <x:v>0</x:v>
      </x:c>
      <x:c r="H693" s="61" t="n">
        <x:v>34.25775362318841</x:v>
      </x:c>
      <x:c r="I693" s="52" t="n">
        <x:v>0.7463768115942028</x:v>
      </x:c>
      <x:c r="J693" s="52" t="n">
        <x:v>0.4660893439970217</x:v>
      </x:c>
      <x:c r="K693" s="60" t="n">
        <x:v>4474.4</x:v>
      </x:c>
      <x:c r="L693" s="60" t="n">
        <x:v>253.17</x:v>
      </x:c>
      <x:c r="M693" s="50" t="n">
        <x:v>103</x:v>
      </x:c>
      <x:c r="N693" s="50" t="n">
        <x:v>35</x:v>
      </x:c>
      <x:c r="O693" s="50" t="n">
        <x:v>149</x:v>
      </x:c>
      <x:c r="P693" s="50" t="n">
        <x:v>23</x:v>
      </x:c>
    </x:row>
    <x:row r="694" ht="36" customHeight="1">
      <x:c r="A694" s="53" t="n">
        <x:v>675</x:v>
      </x:c>
      <x:c r="B694" s="53" t="n">
        <x:v>1</x:v>
      </x:c>
      <x:c r="C694" s="40" t="str">
        <x:v>High-Value Frequent Shoppers</x:v>
      </x:c>
      <x:c r="D694" s="60" t="n">
        <x:v>4832.38</x:v>
      </x:c>
      <x:c r="E694" s="50" t="n">
        <x:v>223</x:v>
      </x:c>
      <x:c r="F694" s="46" t="n">
        <x:v>10.61904761904762</x:v>
      </x:c>
      <x:c r="G694" s="46" t="n">
        <x:v>0</x:v>
      </x:c>
      <x:c r="H694" s="61" t="n">
        <x:v>21.669865470852017</x:v>
      </x:c>
      <x:c r="I694" s="52" t="n">
        <x:v>0.7040358744394618</x:v>
      </x:c>
      <x:c r="J694" s="52" t="n">
        <x:v>0.478882041561301</x:v>
      </x:c>
      <x:c r="K694" s="60" t="n">
        <x:v>4014.41</x:v>
      </x:c>
      <x:c r="L694" s="60" t="n">
        <x:v>817.97</x:v>
      </x:c>
      <x:c r="M694" s="50" t="n">
        <x:v>157</x:v>
      </x:c>
      <x:c r="N694" s="50" t="n">
        <x:v>66</x:v>
      </x:c>
      <x:c r="O694" s="50" t="n">
        <x:v>117</x:v>
      </x:c>
      <x:c r="P694" s="50" t="n">
        <x:v>21</x:v>
      </x:c>
    </x:row>
    <x:row r="695" ht="36" customHeight="1">
      <x:c r="A695" s="53" t="n">
        <x:v>676</x:v>
      </x:c>
      <x:c r="B695" s="53" t="n">
        <x:v>1</x:v>
      </x:c>
      <x:c r="C695" s="40" t="str">
        <x:v>High-Value Frequent Shoppers</x:v>
      </x:c>
      <x:c r="D695" s="60" t="n">
        <x:v>10741.1</x:v>
      </x:c>
      <x:c r="E695" s="50" t="n">
        <x:v>376</x:v>
      </x:c>
      <x:c r="F695" s="46" t="n">
        <x:v>15.666666666666666</x:v>
      </x:c>
      <x:c r="G695" s="46" t="n">
        <x:v>3</x:v>
      </x:c>
      <x:c r="H695" s="61" t="n">
        <x:v>28.566755319148932</x:v>
      </x:c>
      <x:c r="I695" s="52" t="n">
        <x:v>0.9069148936170212</x:v>
      </x:c>
      <x:c r="J695" s="52" t="n">
        <x:v>0.4536648946569718</x:v>
      </x:c>
      <x:c r="K695" s="60" t="n">
        <x:v>10372.8</x:v>
      </x:c>
      <x:c r="L695" s="60" t="n">
        <x:v>368.3</x:v>
      </x:c>
      <x:c r="M695" s="50" t="n">
        <x:v>341</x:v>
      </x:c>
      <x:c r="N695" s="50" t="n">
        <x:v>35</x:v>
      </x:c>
      <x:c r="O695" s="50" t="n">
        <x:v>191</x:v>
      </x:c>
      <x:c r="P695" s="50" t="n">
        <x:v>24</x:v>
      </x:c>
    </x:row>
    <x:row r="696" ht="36" customHeight="1">
      <x:c r="A696" s="53" t="n">
        <x:v>677</x:v>
      </x:c>
      <x:c r="B696" s="53" t="n">
        <x:v>2</x:v>
      </x:c>
      <x:c r="C696" s="40" t="str">
        <x:v>Large-Basket Occasional Shoppers</x:v>
      </x:c>
      <x:c r="D696" s="60" t="n">
        <x:v>1600.99</x:v>
      </x:c>
      <x:c r="E696" s="50" t="n">
        <x:v>45</x:v>
      </x:c>
      <x:c r="F696" s="46" t="n">
        <x:v>2.3684210526315788</x:v>
      </x:c>
      <x:c r="G696" s="46" t="n">
        <x:v>1</x:v>
      </x:c>
      <x:c r="H696" s="61" t="n">
        <x:v>35.57755555555556</x:v>
      </x:c>
      <x:c r="I696" s="52" t="n">
        <x:v>0.8</x:v>
      </x:c>
      <x:c r="J696" s="52" t="n">
        <x:v>0.3779473950493132</x:v>
      </x:c>
      <x:c r="K696" s="60" t="n">
        <x:v>1487.63</x:v>
      </x:c>
      <x:c r="L696" s="60" t="n">
        <x:v>113.36</x:v>
      </x:c>
      <x:c r="M696" s="50" t="n">
        <x:v>36</x:v>
      </x:c>
      <x:c r="N696" s="50" t="n">
        <x:v>9</x:v>
      </x:c>
      <x:c r="O696" s="50" t="n">
        <x:v>133</x:v>
      </x:c>
      <x:c r="P696" s="50" t="n">
        <x:v>19</x:v>
      </x:c>
    </x:row>
    <x:row r="697" ht="36" customHeight="1">
      <x:c r="A697" s="53" t="n">
        <x:v>678</x:v>
      </x:c>
      <x:c r="B697" s="53" t="n">
        <x:v>3</x:v>
      </x:c>
      <x:c r="C697" s="40" t="str">
        <x:v>Low-Value Low-Engagement Shoppers</x:v>
      </x:c>
      <x:c r="D697" s="60" t="n">
        <x:v>459.17</x:v>
      </x:c>
      <x:c r="E697" s="50" t="n">
        <x:v>57</x:v>
      </x:c>
      <x:c r="F697" s="46" t="n">
        <x:v>3.8</x:v>
      </x:c>
      <x:c r="G697" s="46" t="n">
        <x:v>167</x:v>
      </x:c>
      <x:c r="H697" s="61" t="n">
        <x:v>8.055614035087718</x:v>
      </x:c>
      <x:c r="I697" s="52" t="n">
        <x:v>0.7894736842105263</x:v>
      </x:c>
      <x:c r="J697" s="52" t="n">
        <x:v>0.6127142452686368</x:v>
      </x:c>
      <x:c r="K697" s="60" t="n">
        <x:v>378.47</x:v>
      </x:c>
      <x:c r="L697" s="60" t="n">
        <x:v>80.7</x:v>
      </x:c>
      <x:c r="M697" s="50" t="n">
        <x:v>45</x:v>
      </x:c>
      <x:c r="N697" s="50" t="n">
        <x:v>12</x:v>
      </x:c>
      <x:c r="O697" s="50" t="n">
        <x:v>54</x:v>
      </x:c>
      <x:c r="P697" s="50" t="n">
        <x:v>15</x:v>
      </x:c>
    </x:row>
    <x:row r="698" ht="36" customHeight="1">
      <x:c r="A698" s="53" t="n">
        <x:v>679</x:v>
      </x:c>
      <x:c r="B698" s="53" t="n">
        <x:v>1</x:v>
      </x:c>
      <x:c r="C698" s="40" t="str">
        <x:v>High-Value Frequent Shoppers</x:v>
      </x:c>
      <x:c r="D698" s="60" t="n">
        <x:v>6494.31</x:v>
      </x:c>
      <x:c r="E698" s="50" t="n">
        <x:v>261</x:v>
      </x:c>
      <x:c r="F698" s="46" t="n">
        <x:v>11.34782608695652</x:v>
      </x:c>
      <x:c r="G698" s="46" t="n">
        <x:v>2</x:v>
      </x:c>
      <x:c r="H698" s="61" t="n">
        <x:v>24.88241379310345</x:v>
      </x:c>
      <x:c r="I698" s="52" t="n">
        <x:v>0.7011494252873564</x:v>
      </x:c>
      <x:c r="J698" s="52" t="n">
        <x:v>0.4582996500013088</x:v>
      </x:c>
      <x:c r="K698" s="60" t="n">
        <x:v>6079.42</x:v>
      </x:c>
      <x:c r="L698" s="60" t="n">
        <x:v>414.89</x:v>
      </x:c>
      <x:c r="M698" s="50" t="n">
        <x:v>183</x:v>
      </x:c>
      <x:c r="N698" s="50" t="n">
        <x:v>78</x:v>
      </x:c>
      <x:c r="O698" s="50" t="n">
        <x:v>192</x:v>
      </x:c>
      <x:c r="P698" s="50" t="n">
        <x:v>23</x:v>
      </x:c>
    </x:row>
    <x:row r="699" ht="36" customHeight="1">
      <x:c r="A699" s="53" t="n">
        <x:v>680</x:v>
      </x:c>
      <x:c r="B699" s="53" t="n">
        <x:v>2</x:v>
      </x:c>
      <x:c r="C699" s="40" t="str">
        <x:v>Large-Basket Occasional Shoppers</x:v>
      </x:c>
      <x:c r="D699" s="60" t="n">
        <x:v>3513.02</x:v>
      </x:c>
      <x:c r="E699" s="50" t="n">
        <x:v>96</x:v>
      </x:c>
      <x:c r="F699" s="46" t="n">
        <x:v>4.8</x:v>
      </x:c>
      <x:c r="G699" s="46" t="n">
        <x:v>11</x:v>
      </x:c>
      <x:c r="H699" s="61" t="n">
        <x:v>36.593958333333326</x:v>
      </x:c>
      <x:c r="I699" s="52" t="n">
        <x:v>0.9270833333333331</x:v>
      </x:c>
      <x:c r="J699" s="52" t="n">
        <x:v>0.5683628331179441</x:v>
      </x:c>
      <x:c r="K699" s="60" t="n">
        <x:v>3473.01</x:v>
      </x:c>
      <x:c r="L699" s="60" t="n">
        <x:v>40.01</x:v>
      </x:c>
      <x:c r="M699" s="50" t="n">
        <x:v>89</x:v>
      </x:c>
      <x:c r="N699" s="50" t="n">
        <x:v>7</x:v>
      </x:c>
      <x:c r="O699" s="50" t="n">
        <x:v>132</x:v>
      </x:c>
      <x:c r="P699" s="50" t="n">
        <x:v>20</x:v>
      </x:c>
    </x:row>
    <x:row r="700" ht="36" customHeight="1">
      <x:c r="A700" s="53" t="n">
        <x:v>681</x:v>
      </x:c>
      <x:c r="B700" s="53" t="n">
        <x:v>2</x:v>
      </x:c>
      <x:c r="C700" s="40" t="str">
        <x:v>Large-Basket Occasional Shoppers</x:v>
      </x:c>
      <x:c r="D700" s="60" t="n">
        <x:v>2773.19</x:v>
      </x:c>
      <x:c r="E700" s="50" t="n">
        <x:v>66</x:v>
      </x:c>
      <x:c r="F700" s="46" t="n">
        <x:v>2.75</x:v>
      </x:c>
      <x:c r="G700" s="46" t="n">
        <x:v>0</x:v>
      </x:c>
      <x:c r="H700" s="61" t="n">
        <x:v>42.0180303030303</x:v>
      </x:c>
      <x:c r="I700" s="52" t="n">
        <x:v>0.8484848484848484</x:v>
      </x:c>
      <x:c r="J700" s="52" t="n">
        <x:v>0.3978775345360397</x:v>
      </x:c>
      <x:c r="K700" s="60" t="n">
        <x:v>2687.93</x:v>
      </x:c>
      <x:c r="L700" s="60" t="n">
        <x:v>85.26</x:v>
      </x:c>
      <x:c r="M700" s="50" t="n">
        <x:v>56</x:v>
      </x:c>
      <x:c r="N700" s="50" t="n">
        <x:v>10</x:v>
      </x:c>
      <x:c r="O700" s="50" t="n">
        <x:v>89</x:v>
      </x:c>
      <x:c r="P700" s="50" t="n">
        <x:v>24</x:v>
      </x:c>
    </x:row>
    <x:row r="701" ht="36" customHeight="1">
      <x:c r="A701" s="53" t="n">
        <x:v>682</x:v>
      </x:c>
      <x:c r="B701" s="53" t="n">
        <x:v>1</x:v>
      </x:c>
      <x:c r="C701" s="40" t="str">
        <x:v>High-Value Frequent Shoppers</x:v>
      </x:c>
      <x:c r="D701" s="60" t="n">
        <x:v>4438.29</x:v>
      </x:c>
      <x:c r="E701" s="50" t="n">
        <x:v>217</x:v>
      </x:c>
      <x:c r="F701" s="46" t="n">
        <x:v>15.5</x:v>
      </x:c>
      <x:c r="G701" s="46" t="n">
        <x:v>142</x:v>
      </x:c>
      <x:c r="H701" s="61" t="n">
        <x:v>20.45294930875576</x:v>
      </x:c>
      <x:c r="I701" s="52" t="n">
        <x:v>0.8940092165898617</x:v>
      </x:c>
      <x:c r="J701" s="52" t="n">
        <x:v>0.6715559370838768</x:v>
      </x:c>
      <x:c r="K701" s="60" t="n">
        <x:v>4294.79</x:v>
      </x:c>
      <x:c r="L701" s="60" t="n">
        <x:v>143.5</x:v>
      </x:c>
      <x:c r="M701" s="50" t="n">
        <x:v>194</x:v>
      </x:c>
      <x:c r="N701" s="50" t="n">
        <x:v>23</x:v>
      </x:c>
      <x:c r="O701" s="50" t="n">
        <x:v>159</x:v>
      </x:c>
      <x:c r="P701" s="50" t="n">
        <x:v>14</x:v>
      </x:c>
    </x:row>
    <x:row r="702" ht="36" customHeight="1">
      <x:c r="A702" s="53" t="n">
        <x:v>683</x:v>
      </x:c>
      <x:c r="B702" s="53" t="n">
        <x:v>3</x:v>
      </x:c>
      <x:c r="C702" s="40" t="str">
        <x:v>Low-Value Low-Engagement Shoppers</x:v>
      </x:c>
      <x:c r="D702" s="60" t="n">
        <x:v>170.05</x:v>
      </x:c>
      <x:c r="E702" s="50" t="n">
        <x:v>9</x:v>
      </x:c>
      <x:c r="F702" s="46" t="n">
        <x:v>1.2857142857142856</x:v>
      </x:c>
      <x:c r="G702" s="46" t="n">
        <x:v>114</x:v>
      </x:c>
      <x:c r="H702" s="61" t="n">
        <x:v>18.89444444444445</x:v>
      </x:c>
      <x:c r="I702" s="52" t="n">
        <x:v>0.8888888888888888</x:v>
      </x:c>
      <x:c r="J702" s="52" t="n">
        <x:v>0.4414583945898265</x:v>
      </x:c>
      <x:c r="K702" s="60" t="n">
        <x:v>167.66</x:v>
      </x:c>
      <x:c r="L702" s="60" t="n">
        <x:v>2.39</x:v>
      </x:c>
      <x:c r="M702" s="50" t="n">
        <x:v>8</x:v>
      </x:c>
      <x:c r="N702" s="50" t="n">
        <x:v>1</x:v>
      </x:c>
      <x:c r="O702" s="50" t="n">
        <x:v>37</x:v>
      </x:c>
      <x:c r="P702" s="50" t="n">
        <x:v>7</x:v>
      </x:c>
    </x:row>
    <x:row r="703" ht="36" customHeight="1">
      <x:c r="A703" s="53" t="n">
        <x:v>684</x:v>
      </x:c>
      <x:c r="B703" s="53" t="n">
        <x:v>1</x:v>
      </x:c>
      <x:c r="C703" s="40" t="str">
        <x:v>High-Value Frequent Shoppers</x:v>
      </x:c>
      <x:c r="D703" s="60" t="n">
        <x:v>2052.67</x:v>
      </x:c>
      <x:c r="E703" s="50" t="n">
        <x:v>107</x:v>
      </x:c>
      <x:c r="F703" s="46" t="n">
        <x:v>5.095238095238095</x:v>
      </x:c>
      <x:c r="G703" s="46" t="n">
        <x:v>0</x:v>
      </x:c>
      <x:c r="H703" s="61" t="n">
        <x:v>19.18383177570093</x:v>
      </x:c>
      <x:c r="I703" s="52" t="n">
        <x:v>0.8598130841121495</x:v>
      </x:c>
      <x:c r="J703" s="52" t="n">
        <x:v>0.505132339830562</x:v>
      </x:c>
      <x:c r="K703" s="60" t="n">
        <x:v>1948.05</x:v>
      </x:c>
      <x:c r="L703" s="60" t="n">
        <x:v>104.62</x:v>
      </x:c>
      <x:c r="M703" s="50" t="n">
        <x:v>92</x:v>
      </x:c>
      <x:c r="N703" s="50" t="n">
        <x:v>15</x:v>
      </x:c>
      <x:c r="O703" s="50" t="n">
        <x:v>136</x:v>
      </x:c>
      <x:c r="P703" s="50" t="n">
        <x:v>21</x:v>
      </x:c>
    </x:row>
    <x:row r="704" ht="36" customHeight="1">
      <x:c r="A704" s="53" t="n">
        <x:v>685</x:v>
      </x:c>
      <x:c r="B704" s="53" t="n">
        <x:v>1</x:v>
      </x:c>
      <x:c r="C704" s="40" t="str">
        <x:v>High-Value Frequent Shoppers</x:v>
      </x:c>
      <x:c r="D704" s="60" t="n">
        <x:v>6019.77</x:v>
      </x:c>
      <x:c r="E704" s="50" t="n">
        <x:v>201</x:v>
      </x:c>
      <x:c r="F704" s="46" t="n">
        <x:v>9.571428571428571</x:v>
      </x:c>
      <x:c r="G704" s="46" t="n">
        <x:v>3</x:v>
      </x:c>
      <x:c r="H704" s="61" t="n">
        <x:v>29.94910447761194</x:v>
      </x:c>
      <x:c r="I704" s="52" t="n">
        <x:v>0.781094527363184</x:v>
      </x:c>
      <x:c r="J704" s="52" t="n">
        <x:v>0.3889583821308787</x:v>
      </x:c>
      <x:c r="K704" s="60" t="n">
        <x:v>5505.86</x:v>
      </x:c>
      <x:c r="L704" s="60" t="n">
        <x:v>513.91</x:v>
      </x:c>
      <x:c r="M704" s="50" t="n">
        <x:v>157</x:v>
      </x:c>
      <x:c r="N704" s="50" t="n">
        <x:v>44</x:v>
      </x:c>
      <x:c r="O704" s="50" t="n">
        <x:v>148</x:v>
      </x:c>
      <x:c r="P704" s="50" t="n">
        <x:v>21</x:v>
      </x:c>
    </x:row>
    <x:row r="705" ht="36" customHeight="1">
      <x:c r="A705" s="53" t="n">
        <x:v>686</x:v>
      </x:c>
      <x:c r="B705" s="53" t="n">
        <x:v>3</x:v>
      </x:c>
      <x:c r="C705" s="40" t="str">
        <x:v>Low-Value Low-Engagement Shoppers</x:v>
      </x:c>
      <x:c r="D705" s="60" t="n">
        <x:v>534.57</x:v>
      </x:c>
      <x:c r="E705" s="50" t="n">
        <x:v>21</x:v>
      </x:c>
      <x:c r="F705" s="46" t="n">
        <x:v>1.9090909090909087</x:v>
      </x:c>
      <x:c r="G705" s="46" t="n">
        <x:v>55</x:v>
      </x:c>
      <x:c r="H705" s="61" t="n">
        <x:v>25.455714285714283</x:v>
      </x:c>
      <x:c r="I705" s="52" t="n">
        <x:v>0.8095238095238095</x:v>
      </x:c>
      <x:c r="J705" s="52" t="n">
        <x:v>0.5724414015002712</x:v>
      </x:c>
      <x:c r="K705" s="60" t="n">
        <x:v>491.19</x:v>
      </x:c>
      <x:c r="L705" s="60" t="n">
        <x:v>43.38</x:v>
      </x:c>
      <x:c r="M705" s="50" t="n">
        <x:v>17</x:v>
      </x:c>
      <x:c r="N705" s="50" t="n">
        <x:v>4</x:v>
      </x:c>
      <x:c r="O705" s="50" t="n">
        <x:v>71</x:v>
      </x:c>
      <x:c r="P705" s="50" t="n">
        <x:v>11</x:v>
      </x:c>
    </x:row>
    <x:row r="706" ht="36" customHeight="1">
      <x:c r="A706" s="53" t="n">
        <x:v>687</x:v>
      </x:c>
      <x:c r="B706" s="53" t="n">
        <x:v>2</x:v>
      </x:c>
      <x:c r="C706" s="40" t="str">
        <x:v>Large-Basket Occasional Shoppers</x:v>
      </x:c>
      <x:c r="D706" s="60" t="n">
        <x:v>3205.8</x:v>
      </x:c>
      <x:c r="E706" s="50" t="n">
        <x:v>69</x:v>
      </x:c>
      <x:c r="F706" s="46" t="n">
        <x:v>3</x:v>
      </x:c>
      <x:c r="G706" s="46" t="n">
        <x:v>3</x:v>
      </x:c>
      <x:c r="H706" s="61" t="n">
        <x:v>46.46086956521739</x:v>
      </x:c>
      <x:c r="I706" s="52" t="n">
        <x:v>0.9565217391304348</x:v>
      </x:c>
      <x:c r="J706" s="52" t="n">
        <x:v>0.5622964626614261</x:v>
      </x:c>
      <x:c r="K706" s="60" t="n">
        <x:v>3175.8</x:v>
      </x:c>
      <x:c r="L706" s="60" t="n">
        <x:v>30</x:v>
      </x:c>
      <x:c r="M706" s="50" t="n">
        <x:v>66</x:v>
      </x:c>
      <x:c r="N706" s="50" t="n">
        <x:v>3</x:v>
      </x:c>
      <x:c r="O706" s="50" t="n">
        <x:v>120</x:v>
      </x:c>
      <x:c r="P706" s="50" t="n">
        <x:v>23</x:v>
      </x:c>
    </x:row>
    <x:row r="707" ht="36" customHeight="1">
      <x:c r="A707" s="53" t="n">
        <x:v>688</x:v>
      </x:c>
      <x:c r="B707" s="53" t="n">
        <x:v>2</x:v>
      </x:c>
      <x:c r="C707" s="40" t="str">
        <x:v>Large-Basket Occasional Shoppers</x:v>
      </x:c>
      <x:c r="D707" s="60" t="n">
        <x:v>3207.61</x:v>
      </x:c>
      <x:c r="E707" s="50" t="n">
        <x:v>28</x:v>
      </x:c>
      <x:c r="F707" s="46" t="n">
        <x:v>1.75</x:v>
      </x:c>
      <x:c r="G707" s="46" t="n">
        <x:v>19</x:v>
      </x:c>
      <x:c r="H707" s="61" t="n">
        <x:v>114.5575</x:v>
      </x:c>
      <x:c r="I707" s="52" t="n">
        <x:v>1</x:v>
      </x:c>
      <x:c r="J707" s="52" t="n">
        <x:v>0.433313276863459</x:v>
      </x:c>
      <x:c r="K707" s="60" t="n">
        <x:v>3207.61</x:v>
      </x:c>
      <x:c r="L707" s="60" t="n">
        <x:v>0</x:v>
      </x:c>
      <x:c r="M707" s="50" t="n">
        <x:v>28</x:v>
      </x:c>
      <x:c r="N707" s="50" t="n">
        <x:v>0</x:v>
      </x:c>
      <x:c r="O707" s="50" t="n">
        <x:v>146</x:v>
      </x:c>
      <x:c r="P707" s="50" t="n">
        <x:v>16</x:v>
      </x:c>
    </x:row>
    <x:row r="708" ht="36" customHeight="1">
      <x:c r="A708" s="53" t="n">
        <x:v>689</x:v>
      </x:c>
      <x:c r="B708" s="53" t="n">
        <x:v>3</x:v>
      </x:c>
      <x:c r="C708" s="40" t="str">
        <x:v>Low-Value Low-Engagement Shoppers</x:v>
      </x:c>
      <x:c r="D708" s="60" t="n">
        <x:v>28.96</x:v>
      </x:c>
      <x:c r="E708" s="50" t="n">
        <x:v>3</x:v>
      </x:c>
      <x:c r="F708" s="46" t="n">
        <x:v>1.5</x:v>
      </x:c>
      <x:c r="G708" s="46" t="n">
        <x:v>324</x:v>
      </x:c>
      <x:c r="H708" s="61" t="n">
        <x:v>9.65333333333333</x:v>
      </x:c>
      <x:c r="I708" s="52" t="n">
        <x:v>0.6666666666666666</x:v>
      </x:c>
      <x:c r="J708" s="52" t="n">
        <x:v>0.5037983425414364</x:v>
      </x:c>
      <x:c r="K708" s="60" t="n">
        <x:v>26.97</x:v>
      </x:c>
      <x:c r="L708" s="60" t="n">
        <x:v>1.99</x:v>
      </x:c>
      <x:c r="M708" s="50" t="n">
        <x:v>2</x:v>
      </x:c>
      <x:c r="N708" s="50" t="n">
        <x:v>1</x:v>
      </x:c>
      <x:c r="O708" s="50" t="n">
        <x:v>11</x:v>
      </x:c>
      <x:c r="P708" s="50" t="n">
        <x:v>2</x:v>
      </x:c>
    </x:row>
    <x:row r="709" ht="36" customHeight="1">
      <x:c r="A709" s="53" t="n">
        <x:v>690</x:v>
      </x:c>
      <x:c r="B709" s="53" t="n">
        <x:v>1</x:v>
      </x:c>
      <x:c r="C709" s="40" t="str">
        <x:v>High-Value Frequent Shoppers</x:v>
      </x:c>
      <x:c r="D709" s="60" t="n">
        <x:v>4963.14</x:v>
      </x:c>
      <x:c r="E709" s="50" t="n">
        <x:v>272</x:v>
      </x:c>
      <x:c r="F709" s="46" t="n">
        <x:v>11.333333333333332</x:v>
      </x:c>
      <x:c r="G709" s="46" t="n">
        <x:v>1</x:v>
      </x:c>
      <x:c r="H709" s="61" t="n">
        <x:v>18.24683823529412</x:v>
      </x:c>
      <x:c r="I709" s="52" t="n">
        <x:v>0.7279411764705882</x:v>
      </x:c>
      <x:c r="J709" s="52" t="n">
        <x:v>0.3675435309098675</x:v>
      </x:c>
      <x:c r="K709" s="60" t="n">
        <x:v>4087.87</x:v>
      </x:c>
      <x:c r="L709" s="60" t="n">
        <x:v>875.27</x:v>
      </x:c>
      <x:c r="M709" s="50" t="n">
        <x:v>198</x:v>
      </x:c>
      <x:c r="N709" s="50" t="n">
        <x:v>74</x:v>
      </x:c>
      <x:c r="O709" s="50" t="n">
        <x:v>163</x:v>
      </x:c>
      <x:c r="P709" s="50" t="n">
        <x:v>24</x:v>
      </x:c>
    </x:row>
    <x:row r="710" ht="36" customHeight="1">
      <x:c r="A710" s="53" t="n">
        <x:v>691</x:v>
      </x:c>
      <x:c r="B710" s="53" t="n">
        <x:v>2</x:v>
      </x:c>
      <x:c r="C710" s="40" t="str">
        <x:v>Large-Basket Occasional Shoppers</x:v>
      </x:c>
      <x:c r="D710" s="60" t="n">
        <x:v>2511.33</x:v>
      </x:c>
      <x:c r="E710" s="50" t="n">
        <x:v>54</x:v>
      </x:c>
      <x:c r="F710" s="46" t="n">
        <x:v>2.571428571428572</x:v>
      </x:c>
      <x:c r="G710" s="46" t="n">
        <x:v>7</x:v>
      </x:c>
      <x:c r="H710" s="61" t="n">
        <x:v>46.50611111111111</x:v>
      </x:c>
      <x:c r="I710" s="52" t="n">
        <x:v>0.8703703703703703</x:v>
      </x:c>
      <x:c r="J710" s="52" t="n">
        <x:v>0.4064858063257317</x:v>
      </x:c>
      <x:c r="K710" s="60" t="n">
        <x:v>2355.44</x:v>
      </x:c>
      <x:c r="L710" s="60" t="n">
        <x:v>155.89</x:v>
      </x:c>
      <x:c r="M710" s="50" t="n">
        <x:v>47</x:v>
      </x:c>
      <x:c r="N710" s="50" t="n">
        <x:v>7</x:v>
      </x:c>
      <x:c r="O710" s="50" t="n">
        <x:v>131</x:v>
      </x:c>
      <x:c r="P710" s="50" t="n">
        <x:v>21</x:v>
      </x:c>
    </x:row>
    <x:row r="711" ht="36" customHeight="1">
      <x:c r="A711" s="53" t="n">
        <x:v>692</x:v>
      </x:c>
      <x:c r="B711" s="53" t="n">
        <x:v>1</x:v>
      </x:c>
      <x:c r="C711" s="40" t="str">
        <x:v>High-Value Frequent Shoppers</x:v>
      </x:c>
      <x:c r="D711" s="60" t="n">
        <x:v>3891.14</x:v>
      </x:c>
      <x:c r="E711" s="50" t="n">
        <x:v>124</x:v>
      </x:c>
      <x:c r="F711" s="46" t="n">
        <x:v>5.636363636363637</x:v>
      </x:c>
      <x:c r="G711" s="46" t="n">
        <x:v>1</x:v>
      </x:c>
      <x:c r="H711" s="61" t="n">
        <x:v>31.38016129032258</x:v>
      </x:c>
      <x:c r="I711" s="52" t="n">
        <x:v>0.9838709677419354</x:v>
      </x:c>
      <x:c r="J711" s="52" t="n">
        <x:v>0.3598431308048541</x:v>
      </x:c>
      <x:c r="K711" s="60" t="n">
        <x:v>3869.19</x:v>
      </x:c>
      <x:c r="L711" s="60" t="n">
        <x:v>21.95</x:v>
      </x:c>
      <x:c r="M711" s="50" t="n">
        <x:v>122</x:v>
      </x:c>
      <x:c r="N711" s="50" t="n">
        <x:v>2</x:v>
      </x:c>
      <x:c r="O711" s="50" t="n">
        <x:v>138</x:v>
      </x:c>
      <x:c r="P711" s="50" t="n">
        <x:v>22</x:v>
      </x:c>
    </x:row>
    <x:row r="712" ht="36" customHeight="1">
      <x:c r="A712" s="53" t="n">
        <x:v>693</x:v>
      </x:c>
      <x:c r="B712" s="53" t="n">
        <x:v>1</x:v>
      </x:c>
      <x:c r="C712" s="40" t="str">
        <x:v>High-Value Frequent Shoppers</x:v>
      </x:c>
      <x:c r="D712" s="60" t="n">
        <x:v>6378.8</x:v>
      </x:c>
      <x:c r="E712" s="50" t="n">
        <x:v>209</x:v>
      </x:c>
      <x:c r="F712" s="46" t="n">
        <x:v>9.086956521739127</x:v>
      </x:c>
      <x:c r="G712" s="46" t="n">
        <x:v>15</x:v>
      </x:c>
      <x:c r="H712" s="61" t="n">
        <x:v>30.520574162679424</x:v>
      </x:c>
      <x:c r="I712" s="52" t="n">
        <x:v>0.9521531100478468</x:v>
      </x:c>
      <x:c r="J712" s="52" t="n">
        <x:v>0.4407427729353483</x:v>
      </x:c>
      <x:c r="K712" s="60" t="n">
        <x:v>6284.74</x:v>
      </x:c>
      <x:c r="L712" s="60" t="n">
        <x:v>94.06</x:v>
      </x:c>
      <x:c r="M712" s="50" t="n">
        <x:v>199</x:v>
      </x:c>
      <x:c r="N712" s="50" t="n">
        <x:v>10</x:v>
      </x:c>
      <x:c r="O712" s="50" t="n">
        <x:v>197</x:v>
      </x:c>
      <x:c r="P712" s="50" t="n">
        <x:v>23</x:v>
      </x:c>
    </x:row>
    <x:row r="713" ht="36" customHeight="1">
      <x:c r="A713" s="53" t="n">
        <x:v>694</x:v>
      </x:c>
      <x:c r="B713" s="53" t="n">
        <x:v>1</x:v>
      </x:c>
      <x:c r="C713" s="40" t="str">
        <x:v>High-Value Frequent Shoppers</x:v>
      </x:c>
      <x:c r="D713" s="60" t="n">
        <x:v>1756.64</x:v>
      </x:c>
      <x:c r="E713" s="50" t="n">
        <x:v>154</x:v>
      </x:c>
      <x:c r="F713" s="46" t="n">
        <x:v>8.555555555555555</x:v>
      </x:c>
      <x:c r="G713" s="46" t="n">
        <x:v>0</x:v>
      </x:c>
      <x:c r="H713" s="61" t="n">
        <x:v>11.406753246753246</x:v>
      </x:c>
      <x:c r="I713" s="52" t="n">
        <x:v>0.7792207792207791</x:v>
      </x:c>
      <x:c r="J713" s="52" t="n">
        <x:v>0.3067560797886874</x:v>
      </x:c>
      <x:c r="K713" s="60" t="n">
        <x:v>1558.74</x:v>
      </x:c>
      <x:c r="L713" s="60" t="n">
        <x:v>197.9</x:v>
      </x:c>
      <x:c r="M713" s="50" t="n">
        <x:v>120</x:v>
      </x:c>
      <x:c r="N713" s="50" t="n">
        <x:v>34</x:v>
      </x:c>
      <x:c r="O713" s="50" t="n">
        <x:v>96</x:v>
      </x:c>
      <x:c r="P713" s="50" t="n">
        <x:v>18</x:v>
      </x:c>
    </x:row>
    <x:row r="714" ht="36" customHeight="1">
      <x:c r="A714" s="53" t="n">
        <x:v>695</x:v>
      </x:c>
      <x:c r="B714" s="53" t="n">
        <x:v>1</x:v>
      </x:c>
      <x:c r="C714" s="40" t="str">
        <x:v>High-Value Frequent Shoppers</x:v>
      </x:c>
      <x:c r="D714" s="60" t="n">
        <x:v>8523.93</x:v>
      </x:c>
      <x:c r="E714" s="50" t="n">
        <x:v>225</x:v>
      </x:c>
      <x:c r="F714" s="46" t="n">
        <x:v>10.714285714285714</x:v>
      </x:c>
      <x:c r="G714" s="46" t="n">
        <x:v>1</x:v>
      </x:c>
      <x:c r="H714" s="61" t="n">
        <x:v>37.88413333333333</x:v>
      </x:c>
      <x:c r="I714" s="52" t="n">
        <x:v>0.8311111111111111</x:v>
      </x:c>
      <x:c r="J714" s="52" t="n">
        <x:v>0.4889516924704918</x:v>
      </x:c>
      <x:c r="K714" s="60" t="n">
        <x:v>8054.93</x:v>
      </x:c>
      <x:c r="L714" s="60" t="n">
        <x:v>469</x:v>
      </x:c>
      <x:c r="M714" s="50" t="n">
        <x:v>187</x:v>
      </x:c>
      <x:c r="N714" s="50" t="n">
        <x:v>38</x:v>
      </x:c>
      <x:c r="O714" s="50" t="n">
        <x:v>180</x:v>
      </x:c>
      <x:c r="P714" s="50" t="n">
        <x:v>21</x:v>
      </x:c>
    </x:row>
    <x:row r="715" ht="36" customHeight="1">
      <x:c r="A715" s="53" t="n">
        <x:v>696</x:v>
      </x:c>
      <x:c r="B715" s="53" t="n">
        <x:v>1</x:v>
      </x:c>
      <x:c r="C715" s="40" t="str">
        <x:v>High-Value Frequent Shoppers</x:v>
      </x:c>
      <x:c r="D715" s="60" t="n">
        <x:v>14715.53</x:v>
      </x:c>
      <x:c r="E715" s="50" t="n">
        <x:v>326</x:v>
      </x:c>
      <x:c r="F715" s="46" t="n">
        <x:v>15.523809523809524</x:v>
      </x:c>
      <x:c r="G715" s="46" t="n">
        <x:v>3</x:v>
      </x:c>
      <x:c r="H715" s="61" t="n">
        <x:v>45.13966257668712</x:v>
      </x:c>
      <x:c r="I715" s="52" t="n">
        <x:v>0.8773006134969324</x:v>
      </x:c>
      <x:c r="J715" s="52" t="n">
        <x:v>0.5336240013101804</x:v>
      </x:c>
      <x:c r="K715" s="60" t="n">
        <x:v>14193.44</x:v>
      </x:c>
      <x:c r="L715" s="60" t="n">
        <x:v>522.09</x:v>
      </x:c>
      <x:c r="M715" s="50" t="n">
        <x:v>286</x:v>
      </x:c>
      <x:c r="N715" s="50" t="n">
        <x:v>40</x:v>
      </x:c>
      <x:c r="O715" s="50" t="n">
        <x:v>210</x:v>
      </x:c>
      <x:c r="P715" s="50" t="n">
        <x:v>21</x:v>
      </x:c>
    </x:row>
    <x:row r="716" ht="36" customHeight="1">
      <x:c r="A716" s="53" t="n">
        <x:v>697</x:v>
      </x:c>
      <x:c r="B716" s="53" t="n">
        <x:v>2</x:v>
      </x:c>
      <x:c r="C716" s="40" t="str">
        <x:v>Large-Basket Occasional Shoppers</x:v>
      </x:c>
      <x:c r="D716" s="60" t="n">
        <x:v>2823.59</x:v>
      </x:c>
      <x:c r="E716" s="50" t="n">
        <x:v>62</x:v>
      </x:c>
      <x:c r="F716" s="46" t="n">
        <x:v>2.952380952380953</x:v>
      </x:c>
      <x:c r="G716" s="46" t="n">
        <x:v>12</x:v>
      </x:c>
      <x:c r="H716" s="61" t="n">
        <x:v>45.54177419354839</x:v>
      </x:c>
      <x:c r="I716" s="52" t="n">
        <x:v>0.9032258064516128</x:v>
      </x:c>
      <x:c r="J716" s="52" t="n">
        <x:v>0.4640652502665046</x:v>
      </x:c>
      <x:c r="K716" s="60" t="n">
        <x:v>2780.97</x:v>
      </x:c>
      <x:c r="L716" s="60" t="n">
        <x:v>42.62</x:v>
      </x:c>
      <x:c r="M716" s="50" t="n">
        <x:v>56</x:v>
      </x:c>
      <x:c r="N716" s="50" t="n">
        <x:v>6</x:v>
      </x:c>
      <x:c r="O716" s="50" t="n">
        <x:v>145</x:v>
      </x:c>
      <x:c r="P716" s="50" t="n">
        <x:v>21</x:v>
      </x:c>
    </x:row>
    <x:row r="717" ht="36" customHeight="1">
      <x:c r="A717" s="53" t="n">
        <x:v>698</x:v>
      </x:c>
      <x:c r="B717" s="53" t="n">
        <x:v>3</x:v>
      </x:c>
      <x:c r="C717" s="40" t="str">
        <x:v>Low-Value Low-Engagement Shoppers</x:v>
      </x:c>
      <x:c r="D717" s="60" t="n">
        <x:v>1204.49</x:v>
      </x:c>
      <x:c r="E717" s="50" t="n">
        <x:v>127</x:v>
      </x:c>
      <x:c r="F717" s="46" t="n">
        <x:v>5.7727272727272725</x:v>
      </x:c>
      <x:c r="G717" s="46" t="n">
        <x:v>2</x:v>
      </x:c>
      <x:c r="H717" s="61" t="n">
        <x:v>9.484173228346457</x:v>
      </x:c>
      <x:c r="I717" s="52" t="n">
        <x:v>0.7952755905511811</x:v>
      </x:c>
      <x:c r="J717" s="52" t="n">
        <x:v>0.4593811488679856</x:v>
      </x:c>
      <x:c r="K717" s="60" t="n">
        <x:v>1076.03</x:v>
      </x:c>
      <x:c r="L717" s="60" t="n">
        <x:v>128.46</x:v>
      </x:c>
      <x:c r="M717" s="50" t="n">
        <x:v>101</x:v>
      </x:c>
      <x:c r="N717" s="50" t="n">
        <x:v>26</x:v>
      </x:c>
      <x:c r="O717" s="50" t="n">
        <x:v>126</x:v>
      </x:c>
      <x:c r="P717" s="50" t="n">
        <x:v>22</x:v>
      </x:c>
    </x:row>
    <x:row r="718" ht="36" customHeight="1">
      <x:c r="A718" s="53" t="n">
        <x:v>699</x:v>
      </x:c>
      <x:c r="B718" s="53" t="n">
        <x:v>1</x:v>
      </x:c>
      <x:c r="C718" s="40" t="str">
        <x:v>High-Value Frequent Shoppers</x:v>
      </x:c>
      <x:c r="D718" s="60" t="n">
        <x:v>10353</x:v>
      </x:c>
      <x:c r="E718" s="50" t="n">
        <x:v>150</x:v>
      </x:c>
      <x:c r="F718" s="46" t="n">
        <x:v>6.521739130434783</x:v>
      </x:c>
      <x:c r="G718" s="46" t="n">
        <x:v>5</x:v>
      </x:c>
      <x:c r="H718" s="61" t="n">
        <x:v>69.02</x:v>
      </x:c>
      <x:c r="I718" s="52" t="n">
        <x:v>0.9666666666666666</x:v>
      </x:c>
      <x:c r="J718" s="52" t="n">
        <x:v>0.4993740944653723</x:v>
      </x:c>
      <x:c r="K718" s="60" t="n">
        <x:v>10310.63</x:v>
      </x:c>
      <x:c r="L718" s="60" t="n">
        <x:v>42.37</x:v>
      </x:c>
      <x:c r="M718" s="50" t="n">
        <x:v>145</x:v>
      </x:c>
      <x:c r="N718" s="50" t="n">
        <x:v>5</x:v>
      </x:c>
      <x:c r="O718" s="50" t="n">
        <x:v>170</x:v>
      </x:c>
      <x:c r="P718" s="50" t="n">
        <x:v>23</x:v>
      </x:c>
    </x:row>
    <x:row r="719" ht="36" customHeight="1">
      <x:c r="A719" s="53" t="n">
        <x:v>700</x:v>
      </x:c>
      <x:c r="B719" s="53" t="n">
        <x:v>2</x:v>
      </x:c>
      <x:c r="C719" s="40" t="str">
        <x:v>Large-Basket Occasional Shoppers</x:v>
      </x:c>
      <x:c r="D719" s="60" t="n">
        <x:v>2981.04</x:v>
      </x:c>
      <x:c r="E719" s="50" t="n">
        <x:v>39</x:v>
      </x:c>
      <x:c r="F719" s="46" t="n">
        <x:v>2.6</x:v>
      </x:c>
      <x:c r="G719" s="46" t="n">
        <x:v>6</x:v>
      </x:c>
      <x:c r="H719" s="61" t="n">
        <x:v>76.43692307692307</x:v>
      </x:c>
      <x:c r="I719" s="52" t="n">
        <x:v>0.7435897435897435</x:v>
      </x:c>
      <x:c r="J719" s="52" t="n">
        <x:v>0.4967326838955532</x:v>
      </x:c>
      <x:c r="K719" s="60" t="n">
        <x:v>2838.02</x:v>
      </x:c>
      <x:c r="L719" s="60" t="n">
        <x:v>143.02</x:v>
      </x:c>
      <x:c r="M719" s="50" t="n">
        <x:v>29</x:v>
      </x:c>
      <x:c r="N719" s="50" t="n">
        <x:v>10</x:v>
      </x:c>
      <x:c r="O719" s="50" t="n">
        <x:v>126</x:v>
      </x:c>
      <x:c r="P719" s="50" t="n">
        <x:v>15</x:v>
      </x:c>
    </x:row>
    <x:row r="720" ht="36" customHeight="1">
      <x:c r="A720" s="53" t="n">
        <x:v>701</x:v>
      </x:c>
      <x:c r="B720" s="53" t="n">
        <x:v>2</x:v>
      </x:c>
      <x:c r="C720" s="40" t="str">
        <x:v>Large-Basket Occasional Shoppers</x:v>
      </x:c>
      <x:c r="D720" s="60" t="n">
        <x:v>2593.56</x:v>
      </x:c>
      <x:c r="E720" s="50" t="n">
        <x:v>39</x:v>
      </x:c>
      <x:c r="F720" s="46" t="n">
        <x:v>2.294117647058824</x:v>
      </x:c>
      <x:c r="G720" s="46" t="n">
        <x:v>9</x:v>
      </x:c>
      <x:c r="H720" s="61" t="n">
        <x:v>66.50153846153846</x:v>
      </x:c>
      <x:c r="I720" s="52" t="n">
        <x:v>0.923076923076923</x:v>
      </x:c>
      <x:c r="J720" s="52" t="n">
        <x:v>0.3631610604728635</x:v>
      </x:c>
      <x:c r="K720" s="60" t="n">
        <x:v>2499.98</x:v>
      </x:c>
      <x:c r="L720" s="60" t="n">
        <x:v>93.58</x:v>
      </x:c>
      <x:c r="M720" s="50" t="n">
        <x:v>36</x:v>
      </x:c>
      <x:c r="N720" s="50" t="n">
        <x:v>3</x:v>
      </x:c>
      <x:c r="O720" s="50" t="n">
        <x:v>134</x:v>
      </x:c>
      <x:c r="P720" s="50" t="n">
        <x:v>17</x:v>
      </x:c>
    </x:row>
    <x:row r="721" ht="36" customHeight="1">
      <x:c r="A721" s="53" t="n">
        <x:v>702</x:v>
      </x:c>
      <x:c r="B721" s="53" t="n">
        <x:v>1</x:v>
      </x:c>
      <x:c r="C721" s="40" t="str">
        <x:v>High-Value Frequent Shoppers</x:v>
      </x:c>
      <x:c r="D721" s="60" t="n">
        <x:v>8205.68</x:v>
      </x:c>
      <x:c r="E721" s="50" t="n">
        <x:v>276</x:v>
      </x:c>
      <x:c r="F721" s="46" t="n">
        <x:v>12.545454545454543</x:v>
      </x:c>
      <x:c r="G721" s="46" t="n">
        <x:v>3</x:v>
      </x:c>
      <x:c r="H721" s="61" t="n">
        <x:v>29.73072463768116</x:v>
      </x:c>
      <x:c r="I721" s="52" t="n">
        <x:v>0.8623188405797101</x:v>
      </x:c>
      <x:c r="J721" s="52" t="n">
        <x:v>0.5055485956069454</x:v>
      </x:c>
      <x:c r="K721" s="60" t="n">
        <x:v>7836.05</x:v>
      </x:c>
      <x:c r="L721" s="60" t="n">
        <x:v>369.63</x:v>
      </x:c>
      <x:c r="M721" s="50" t="n">
        <x:v>238</x:v>
      </x:c>
      <x:c r="N721" s="50" t="n">
        <x:v>38</x:v>
      </x:c>
      <x:c r="O721" s="50" t="n">
        <x:v>167</x:v>
      </x:c>
      <x:c r="P721" s="50" t="n">
        <x:v>22</x:v>
      </x:c>
    </x:row>
    <x:row r="722" ht="36" customHeight="1">
      <x:c r="A722" s="53" t="n">
        <x:v>703</x:v>
      </x:c>
      <x:c r="B722" s="53" t="n">
        <x:v>1</x:v>
      </x:c>
      <x:c r="C722" s="40" t="str">
        <x:v>High-Value Frequent Shoppers</x:v>
      </x:c>
      <x:c r="D722" s="60" t="n">
        <x:v>9475.69</x:v>
      </x:c>
      <x:c r="E722" s="50" t="n">
        <x:v>218</x:v>
      </x:c>
      <x:c r="F722" s="46" t="n">
        <x:v>9.909090909090908</x:v>
      </x:c>
      <x:c r="G722" s="46" t="n">
        <x:v>3</x:v>
      </x:c>
      <x:c r="H722" s="61" t="n">
        <x:v>43.46646788990826</x:v>
      </x:c>
      <x:c r="I722" s="52" t="n">
        <x:v>0.9082568807339448</x:v>
      </x:c>
      <x:c r="J722" s="52" t="n">
        <x:v>0.5505614894535384</x:v>
      </x:c>
      <x:c r="K722" s="60" t="n">
        <x:v>9127.07</x:v>
      </x:c>
      <x:c r="L722" s="60" t="n">
        <x:v>348.62</x:v>
      </x:c>
      <x:c r="M722" s="50" t="n">
        <x:v>198</x:v>
      </x:c>
      <x:c r="N722" s="50" t="n">
        <x:v>20</x:v>
      </x:c>
      <x:c r="O722" s="50" t="n">
        <x:v>157</x:v>
      </x:c>
      <x:c r="P722" s="50" t="n">
        <x:v>22</x:v>
      </x:c>
    </x:row>
    <x:row r="723" ht="36" customHeight="1">
      <x:c r="A723" s="53" t="n">
        <x:v>704</x:v>
      </x:c>
      <x:c r="B723" s="53" t="n">
        <x:v>3</x:v>
      </x:c>
      <x:c r="C723" s="40" t="str">
        <x:v>Low-Value Low-Engagement Shoppers</x:v>
      </x:c>
      <x:c r="D723" s="60" t="n">
        <x:v>76.53</x:v>
      </x:c>
      <x:c r="E723" s="50" t="n">
        <x:v>9</x:v>
      </x:c>
      <x:c r="F723" s="46" t="n">
        <x:v>1.8</x:v>
      </x:c>
      <x:c r="G723" s="46" t="n">
        <x:v>187</x:v>
      </x:c>
      <x:c r="H723" s="61" t="n">
        <x:v>8.503333333333332</x:v>
      </x:c>
      <x:c r="I723" s="52" t="n">
        <x:v>0.8888888888888888</x:v>
      </x:c>
      <x:c r="J723" s="52" t="n">
        <x:v>0.606298183718803</x:v>
      </x:c>
      <x:c r="K723" s="60" t="n">
        <x:v>66.53</x:v>
      </x:c>
      <x:c r="L723" s="60" t="n">
        <x:v>10</x:v>
      </x:c>
      <x:c r="M723" s="50" t="n">
        <x:v>8</x:v>
      </x:c>
      <x:c r="N723" s="50" t="n">
        <x:v>1</x:v>
      </x:c>
      <x:c r="O723" s="50" t="n">
        <x:v>19</x:v>
      </x:c>
      <x:c r="P723" s="50" t="n">
        <x:v>5</x:v>
      </x:c>
    </x:row>
    <x:row r="724" ht="36" customHeight="1">
      <x:c r="A724" s="53" t="n">
        <x:v>705</x:v>
      </x:c>
      <x:c r="B724" s="53" t="n">
        <x:v>3</x:v>
      </x:c>
      <x:c r="C724" s="40" t="str">
        <x:v>Low-Value Low-Engagement Shoppers</x:v>
      </x:c>
      <x:c r="D724" s="60" t="n">
        <x:v>1385.93</x:v>
      </x:c>
      <x:c r="E724" s="50" t="n">
        <x:v>93</x:v>
      </x:c>
      <x:c r="F724" s="46" t="n">
        <x:v>4.65</x:v>
      </x:c>
      <x:c r="G724" s="46" t="n">
        <x:v>18</x:v>
      </x:c>
      <x:c r="H724" s="61" t="n">
        <x:v>14.902473118279568</x:v>
      </x:c>
      <x:c r="I724" s="52" t="n">
        <x:v>0.8817204301075268</x:v>
      </x:c>
      <x:c r="J724" s="52" t="n">
        <x:v>0.4613075696463746</x:v>
      </x:c>
      <x:c r="K724" s="60" t="n">
        <x:v>1317.85</x:v>
      </x:c>
      <x:c r="L724" s="60" t="n">
        <x:v>68.08</x:v>
      </x:c>
      <x:c r="M724" s="50" t="n">
        <x:v>82</x:v>
      </x:c>
      <x:c r="N724" s="50" t="n">
        <x:v>11</x:v>
      </x:c>
      <x:c r="O724" s="50" t="n">
        <x:v>73</x:v>
      </x:c>
      <x:c r="P724" s="50" t="n">
        <x:v>20</x:v>
      </x:c>
    </x:row>
    <x:row r="725" ht="36" customHeight="1">
      <x:c r="A725" s="53" t="n">
        <x:v>706</x:v>
      </x:c>
      <x:c r="B725" s="53" t="n">
        <x:v>1</x:v>
      </x:c>
      <x:c r="C725" s="40" t="str">
        <x:v>High-Value Frequent Shoppers</x:v>
      </x:c>
      <x:c r="D725" s="60" t="n">
        <x:v>4024.6</x:v>
      </x:c>
      <x:c r="E725" s="50" t="n">
        <x:v>133</x:v>
      </x:c>
      <x:c r="F725" s="46" t="n">
        <x:v>5.541666666666666</x:v>
      </x:c>
      <x:c r="G725" s="46" t="n">
        <x:v>0</x:v>
      </x:c>
      <x:c r="H725" s="61" t="n">
        <x:v>30.260150375939848</x:v>
      </x:c>
      <x:c r="I725" s="52" t="n">
        <x:v>0.8721804511278195</x:v>
      </x:c>
      <x:c r="J725" s="52" t="n">
        <x:v>0.5305371962431049</x:v>
      </x:c>
      <x:c r="K725" s="60" t="n">
        <x:v>3892.63</x:v>
      </x:c>
      <x:c r="L725" s="60" t="n">
        <x:v>131.97</x:v>
      </x:c>
      <x:c r="M725" s="50" t="n">
        <x:v>116</x:v>
      </x:c>
      <x:c r="N725" s="50" t="n">
        <x:v>17</x:v>
      </x:c>
      <x:c r="O725" s="50" t="n">
        <x:v>170</x:v>
      </x:c>
      <x:c r="P725" s="50" t="n">
        <x:v>24</x:v>
      </x:c>
    </x:row>
    <x:row r="726" ht="36" customHeight="1">
      <x:c r="A726" s="53" t="n">
        <x:v>707</x:v>
      </x:c>
      <x:c r="B726" s="53" t="n">
        <x:v>1</x:v>
      </x:c>
      <x:c r="C726" s="40" t="str">
        <x:v>High-Value Frequent Shoppers</x:v>
      </x:c>
      <x:c r="D726" s="60" t="n">
        <x:v>19194.42</x:v>
      </x:c>
      <x:c r="E726" s="50" t="n">
        <x:v>497</x:v>
      </x:c>
      <x:c r="F726" s="46" t="n">
        <x:v>23.666666666666664</x:v>
      </x:c>
      <x:c r="G726" s="46" t="n">
        <x:v>0</x:v>
      </x:c>
      <x:c r="H726" s="61" t="n">
        <x:v>38.62056338028169</x:v>
      </x:c>
      <x:c r="I726" s="52" t="n">
        <x:v>0.89738430583501</x:v>
      </x:c>
      <x:c r="J726" s="52" t="n">
        <x:v>0.4811684854244098</x:v>
      </x:c>
      <x:c r="K726" s="60" t="n">
        <x:v>18418.65</x:v>
      </x:c>
      <x:c r="L726" s="60" t="n">
        <x:v>775.77</x:v>
      </x:c>
      <x:c r="M726" s="50" t="n">
        <x:v>446</x:v>
      </x:c>
      <x:c r="N726" s="50" t="n">
        <x:v>51</x:v>
      </x:c>
      <x:c r="O726" s="50" t="n">
        <x:v>201</x:v>
      </x:c>
      <x:c r="P726" s="50" t="n">
        <x:v>21</x:v>
      </x:c>
    </x:row>
    <x:row r="727" ht="36" customHeight="1">
      <x:c r="A727" s="53" t="n">
        <x:v>708</x:v>
      </x:c>
      <x:c r="B727" s="53" t="n">
        <x:v>2</x:v>
      </x:c>
      <x:c r="C727" s="40" t="str">
        <x:v>Large-Basket Occasional Shoppers</x:v>
      </x:c>
      <x:c r="D727" s="60" t="n">
        <x:v>2828.06</x:v>
      </x:c>
      <x:c r="E727" s="50" t="n">
        <x:v>68</x:v>
      </x:c>
      <x:c r="F727" s="46" t="n">
        <x:v>2.833333333333333</x:v>
      </x:c>
      <x:c r="G727" s="46" t="n">
        <x:v>5</x:v>
      </x:c>
      <x:c r="H727" s="61" t="n">
        <x:v>41.58911764705881</x:v>
      </x:c>
      <x:c r="I727" s="52" t="n">
        <x:v>0.8235294117647058</x:v>
      </x:c>
      <x:c r="J727" s="52" t="n">
        <x:v>0.4120881452302992</x:v>
      </x:c>
      <x:c r="K727" s="60" t="n">
        <x:v>2735.33</x:v>
      </x:c>
      <x:c r="L727" s="60" t="n">
        <x:v>92.73</x:v>
      </x:c>
      <x:c r="M727" s="50" t="n">
        <x:v>56</x:v>
      </x:c>
      <x:c r="N727" s="50" t="n">
        <x:v>12</x:v>
      </x:c>
      <x:c r="O727" s="50" t="n">
        <x:v>138</x:v>
      </x:c>
      <x:c r="P727" s="50" t="n">
        <x:v>24</x:v>
      </x:c>
    </x:row>
    <x:row r="728" ht="36" customHeight="1">
      <x:c r="A728" s="53" t="n">
        <x:v>709</x:v>
      </x:c>
      <x:c r="B728" s="53" t="n">
        <x:v>1</x:v>
      </x:c>
      <x:c r="C728" s="40" t="str">
        <x:v>High-Value Frequent Shoppers</x:v>
      </x:c>
      <x:c r="D728" s="60" t="n">
        <x:v>5534.31</x:v>
      </x:c>
      <x:c r="E728" s="50" t="n">
        <x:v>156</x:v>
      </x:c>
      <x:c r="F728" s="46" t="n">
        <x:v>7.090909090909091</x:v>
      </x:c>
      <x:c r="G728" s="46" t="n">
        <x:v>5</x:v>
      </x:c>
      <x:c r="H728" s="61" t="n">
        <x:v>35.47634615384616</x:v>
      </x:c>
      <x:c r="I728" s="52" t="n">
        <x:v>0.9423076923076924</x:v>
      </x:c>
      <x:c r="J728" s="52" t="n">
        <x:v>0.4662297558322537</x:v>
      </x:c>
      <x:c r="K728" s="60" t="n">
        <x:v>5471.12</x:v>
      </x:c>
      <x:c r="L728" s="60" t="n">
        <x:v>63.19</x:v>
      </x:c>
      <x:c r="M728" s="50" t="n">
        <x:v>147</x:v>
      </x:c>
      <x:c r="N728" s="50" t="n">
        <x:v>9</x:v>
      </x:c>
      <x:c r="O728" s="50" t="n">
        <x:v>162</x:v>
      </x:c>
      <x:c r="P728" s="50" t="n">
        <x:v>22</x:v>
      </x:c>
    </x:row>
    <x:row r="729" ht="36" customHeight="1">
      <x:c r="A729" s="53" t="n">
        <x:v>710</x:v>
      </x:c>
      <x:c r="B729" s="53" t="n">
        <x:v>1</x:v>
      </x:c>
      <x:c r="C729" s="40" t="str">
        <x:v>High-Value Frequent Shoppers</x:v>
      </x:c>
      <x:c r="D729" s="60" t="n">
        <x:v>3724.48</x:v>
      </x:c>
      <x:c r="E729" s="50" t="n">
        <x:v>228</x:v>
      </x:c>
      <x:c r="F729" s="46" t="n">
        <x:v>9.5</x:v>
      </x:c>
      <x:c r="G729" s="46" t="n">
        <x:v>1</x:v>
      </x:c>
      <x:c r="H729" s="61" t="n">
        <x:v>16.33543859649123</x:v>
      </x:c>
      <x:c r="I729" s="52" t="n">
        <x:v>0.837719298245614</x:v>
      </x:c>
      <x:c r="J729" s="52" t="n">
        <x:v>0.4429504252942692</x:v>
      </x:c>
      <x:c r="K729" s="60" t="n">
        <x:v>3425.72</x:v>
      </x:c>
      <x:c r="L729" s="60" t="n">
        <x:v>298.76</x:v>
      </x:c>
      <x:c r="M729" s="50" t="n">
        <x:v>191</x:v>
      </x:c>
      <x:c r="N729" s="50" t="n">
        <x:v>37</x:v>
      </x:c>
      <x:c r="O729" s="50" t="n">
        <x:v>149</x:v>
      </x:c>
      <x:c r="P729" s="50" t="n">
        <x:v>24</x:v>
      </x:c>
    </x:row>
    <x:row r="730" ht="36" customHeight="1">
      <x:c r="A730" s="53" t="n">
        <x:v>711</x:v>
      </x:c>
      <x:c r="B730" s="53" t="n">
        <x:v>3</x:v>
      </x:c>
      <x:c r="C730" s="40" t="str">
        <x:v>Low-Value Low-Engagement Shoppers</x:v>
      </x:c>
      <x:c r="D730" s="60" t="n">
        <x:v>429.79</x:v>
      </x:c>
      <x:c r="E730" s="50" t="n">
        <x:v>36</x:v>
      </x:c>
      <x:c r="F730" s="46" t="n">
        <x:v>2.571428571428572</x:v>
      </x:c>
      <x:c r="G730" s="46" t="n">
        <x:v>2</x:v>
      </x:c>
      <x:c r="H730" s="61" t="n">
        <x:v>11.938611111111111</x:v>
      </x:c>
      <x:c r="I730" s="52" t="n">
        <x:v>0.6388888888888888</x:v>
      </x:c>
      <x:c r="J730" s="52" t="n">
        <x:v>0.4522673863980083</x:v>
      </x:c>
      <x:c r="K730" s="60" t="n">
        <x:v>304.93</x:v>
      </x:c>
      <x:c r="L730" s="60" t="n">
        <x:v>124.86</x:v>
      </x:c>
      <x:c r="M730" s="50" t="n">
        <x:v>23</x:v>
      </x:c>
      <x:c r="N730" s="50" t="n">
        <x:v>13</x:v>
      </x:c>
      <x:c r="O730" s="50" t="n">
        <x:v>56</x:v>
      </x:c>
      <x:c r="P730" s="50" t="n">
        <x:v>14</x:v>
      </x:c>
    </x:row>
    <x:row r="731" ht="36" customHeight="1">
      <x:c r="A731" s="53" t="n">
        <x:v>712</x:v>
      </x:c>
      <x:c r="B731" s="53" t="n">
        <x:v>1</x:v>
      </x:c>
      <x:c r="C731" s="40" t="str">
        <x:v>High-Value Frequent Shoppers</x:v>
      </x:c>
      <x:c r="D731" s="60" t="n">
        <x:v>11711.02</x:v>
      </x:c>
      <x:c r="E731" s="50" t="n">
        <x:v>256</x:v>
      </x:c>
      <x:c r="F731" s="46" t="n">
        <x:v>11.130434782608695</x:v>
      </x:c>
      <x:c r="G731" s="46" t="n">
        <x:v>1</x:v>
      </x:c>
      <x:c r="H731" s="61" t="n">
        <x:v>45.746171875</x:v>
      </x:c>
      <x:c r="I731" s="52" t="n">
        <x:v>0.83203125</x:v>
      </x:c>
      <x:c r="J731" s="52" t="n">
        <x:v>0.470896642649402</x:v>
      </x:c>
      <x:c r="K731" s="60" t="n">
        <x:v>11160.48</x:v>
      </x:c>
      <x:c r="L731" s="60" t="n">
        <x:v>550.54</x:v>
      </x:c>
      <x:c r="M731" s="50" t="n">
        <x:v>213</x:v>
      </x:c>
      <x:c r="N731" s="50" t="n">
        <x:v>43</x:v>
      </x:c>
      <x:c r="O731" s="50" t="n">
        <x:v>182</x:v>
      </x:c>
      <x:c r="P731" s="50" t="n">
        <x:v>23</x:v>
      </x:c>
    </x:row>
    <x:row r="732" ht="36" customHeight="1">
      <x:c r="A732" s="53" t="n">
        <x:v>713</x:v>
      </x:c>
      <x:c r="B732" s="53" t="n">
        <x:v>3</x:v>
      </x:c>
      <x:c r="C732" s="40" t="str">
        <x:v>Low-Value Low-Engagement Shoppers</x:v>
      </x:c>
      <x:c r="D732" s="60" t="n">
        <x:v>540.9</x:v>
      </x:c>
      <x:c r="E732" s="50" t="n">
        <x:v>24</x:v>
      </x:c>
      <x:c r="F732" s="46" t="n">
        <x:v>2</x:v>
      </x:c>
      <x:c r="G732" s="46" t="n">
        <x:v>19</x:v>
      </x:c>
      <x:c r="H732" s="61" t="n">
        <x:v>22.5375</x:v>
      </x:c>
      <x:c r="I732" s="52" t="n">
        <x:v>0.8333333333333333</x:v>
      </x:c>
      <x:c r="J732" s="52" t="n">
        <x:v>0.6251617674246625</x:v>
      </x:c>
      <x:c r="K732" s="60" t="n">
        <x:v>455.82</x:v>
      </x:c>
      <x:c r="L732" s="60" t="n">
        <x:v>85.08</x:v>
      </x:c>
      <x:c r="M732" s="50" t="n">
        <x:v>20</x:v>
      </x:c>
      <x:c r="N732" s="50" t="n">
        <x:v>4</x:v>
      </x:c>
      <x:c r="O732" s="50" t="n">
        <x:v>53</x:v>
      </x:c>
      <x:c r="P732" s="50" t="n">
        <x:v>12</x:v>
      </x:c>
    </x:row>
    <x:row r="733" ht="36" customHeight="1">
      <x:c r="A733" s="53" t="n">
        <x:v>714</x:v>
      </x:c>
      <x:c r="B733" s="53" t="n">
        <x:v>1</x:v>
      </x:c>
      <x:c r="C733" s="40" t="str">
        <x:v>High-Value Frequent Shoppers</x:v>
      </x:c>
      <x:c r="D733" s="60" t="n">
        <x:v>4117.34</x:v>
      </x:c>
      <x:c r="E733" s="50" t="n">
        <x:v>294</x:v>
      </x:c>
      <x:c r="F733" s="46" t="n">
        <x:v>12.782608695652172</x:v>
      </x:c>
      <x:c r="G733" s="46" t="n">
        <x:v>0</x:v>
      </x:c>
      <x:c r="H733" s="61" t="n">
        <x:v>14.004557823129252</x:v>
      </x:c>
      <x:c r="I733" s="52" t="n">
        <x:v>0.8605442176870748</x:v>
      </x:c>
      <x:c r="J733" s="52" t="n">
        <x:v>0.6464537784103328</x:v>
      </x:c>
      <x:c r="K733" s="60" t="n">
        <x:v>3962.45</x:v>
      </x:c>
      <x:c r="L733" s="60" t="n">
        <x:v>154.89</x:v>
      </x:c>
      <x:c r="M733" s="50" t="n">
        <x:v>253</x:v>
      </x:c>
      <x:c r="N733" s="50" t="n">
        <x:v>41</x:v>
      </x:c>
      <x:c r="O733" s="50" t="n">
        <x:v>124</x:v>
      </x:c>
      <x:c r="P733" s="50" t="n">
        <x:v>23</x:v>
      </x:c>
    </x:row>
    <x:row r="734" ht="36" customHeight="1">
      <x:c r="A734" s="53" t="n">
        <x:v>715</x:v>
      </x:c>
      <x:c r="B734" s="53" t="n">
        <x:v>1</x:v>
      </x:c>
      <x:c r="C734" s="40" t="str">
        <x:v>High-Value Frequent Shoppers</x:v>
      </x:c>
      <x:c r="D734" s="60" t="n">
        <x:v>3712.14</x:v>
      </x:c>
      <x:c r="E734" s="50" t="n">
        <x:v>175</x:v>
      </x:c>
      <x:c r="F734" s="46" t="n">
        <x:v>7.608695652173914</x:v>
      </x:c>
      <x:c r="G734" s="46" t="n">
        <x:v>0</x:v>
      </x:c>
      <x:c r="H734" s="61" t="n">
        <x:v>21.212228571428568</x:v>
      </x:c>
      <x:c r="I734" s="52" t="n">
        <x:v>0.92</x:v>
      </x:c>
      <x:c r="J734" s="52" t="n">
        <x:v>0.5807647340886927</x:v>
      </x:c>
      <x:c r="K734" s="60" t="n">
        <x:v>3588.9</x:v>
      </x:c>
      <x:c r="L734" s="60" t="n">
        <x:v>123.24</x:v>
      </x:c>
      <x:c r="M734" s="50" t="n">
        <x:v>161</x:v>
      </x:c>
      <x:c r="N734" s="50" t="n">
        <x:v>14</x:v>
      </x:c>
      <x:c r="O734" s="50" t="n">
        <x:v>157</x:v>
      </x:c>
      <x:c r="P734" s="50" t="n">
        <x:v>23</x:v>
      </x:c>
    </x:row>
    <x:row r="735" ht="36" customHeight="1">
      <x:c r="A735" s="53" t="n">
        <x:v>716</x:v>
      </x:c>
      <x:c r="B735" s="53" t="n">
        <x:v>2</x:v>
      </x:c>
      <x:c r="C735" s="40" t="str">
        <x:v>Large-Basket Occasional Shoppers</x:v>
      </x:c>
      <x:c r="D735" s="60" t="n">
        <x:v>1290.68</x:v>
      </x:c>
      <x:c r="E735" s="50" t="n">
        <x:v>78</x:v>
      </x:c>
      <x:c r="F735" s="46" t="n">
        <x:v>3.7142857142857135</x:v>
      </x:c>
      <x:c r="G735" s="46" t="n">
        <x:v>3</x:v>
      </x:c>
      <x:c r="H735" s="61" t="n">
        <x:v>16.547179487179488</x:v>
      </x:c>
      <x:c r="I735" s="52" t="n">
        <x:v>0.9102564102564102</x:v>
      </x:c>
      <x:c r="J735" s="52" t="n">
        <x:v>0.6993600272724455</x:v>
      </x:c>
      <x:c r="K735" s="60" t="n">
        <x:v>1244.02</x:v>
      </x:c>
      <x:c r="L735" s="60" t="n">
        <x:v>46.66</x:v>
      </x:c>
      <x:c r="M735" s="50" t="n">
        <x:v>71</x:v>
      </x:c>
      <x:c r="N735" s="50" t="n">
        <x:v>7</x:v>
      </x:c>
      <x:c r="O735" s="50" t="n">
        <x:v>108</x:v>
      </x:c>
      <x:c r="P735" s="50" t="n">
        <x:v>21</x:v>
      </x:c>
    </x:row>
    <x:row r="736" ht="36" customHeight="1">
      <x:c r="A736" s="53" t="n">
        <x:v>717</x:v>
      </x:c>
      <x:c r="B736" s="53" t="n">
        <x:v>3</x:v>
      </x:c>
      <x:c r="C736" s="40" t="str">
        <x:v>Low-Value Low-Engagement Shoppers</x:v>
      </x:c>
      <x:c r="D736" s="60" t="n">
        <x:v>616.72</x:v>
      </x:c>
      <x:c r="E736" s="50" t="n">
        <x:v>51</x:v>
      </x:c>
      <x:c r="F736" s="46" t="n">
        <x:v>2.833333333333333</x:v>
      </x:c>
      <x:c r="G736" s="46" t="n">
        <x:v>20</x:v>
      </x:c>
      <x:c r="H736" s="61" t="n">
        <x:v>12.092549019607844</x:v>
      </x:c>
      <x:c r="I736" s="52" t="n">
        <x:v>0.588235294117647</x:v>
      </x:c>
      <x:c r="J736" s="52" t="n">
        <x:v>0.482504215851602</x:v>
      </x:c>
      <x:c r="K736" s="60" t="n">
        <x:v>468.72</x:v>
      </x:c>
      <x:c r="L736" s="60" t="n">
        <x:v>148</x:v>
      </x:c>
      <x:c r="M736" s="50" t="n">
        <x:v>30</x:v>
      </x:c>
      <x:c r="N736" s="50" t="n">
        <x:v>21</x:v>
      </x:c>
      <x:c r="O736" s="50" t="n">
        <x:v>64</x:v>
      </x:c>
      <x:c r="P736" s="50" t="n">
        <x:v>18</x:v>
      </x:c>
    </x:row>
    <x:row r="737" ht="36" customHeight="1">
      <x:c r="A737" s="53" t="n">
        <x:v>718</x:v>
      </x:c>
      <x:c r="B737" s="53" t="n">
        <x:v>1</x:v>
      </x:c>
      <x:c r="C737" s="40" t="str">
        <x:v>High-Value Frequent Shoppers</x:v>
      </x:c>
      <x:c r="D737" s="60" t="n">
        <x:v>19299.86</x:v>
      </x:c>
      <x:c r="E737" s="50" t="n">
        <x:v>599</x:v>
      </x:c>
      <x:c r="F737" s="46" t="n">
        <x:v>24.95833333333333</x:v>
      </x:c>
      <x:c r="G737" s="46" t="n">
        <x:v>4</x:v>
      </x:c>
      <x:c r="H737" s="61" t="n">
        <x:v>32.220133555926544</x:v>
      </x:c>
      <x:c r="I737" s="52" t="n">
        <x:v>0.8998330550918195</x:v>
      </x:c>
      <x:c r="J737" s="52" t="n">
        <x:v>0.7780211877184601</x:v>
      </x:c>
      <x:c r="K737" s="60" t="n">
        <x:v>19092.86</x:v>
      </x:c>
      <x:c r="L737" s="60" t="n">
        <x:v>207</x:v>
      </x:c>
      <x:c r="M737" s="50" t="n">
        <x:v>539</x:v>
      </x:c>
      <x:c r="N737" s="50" t="n">
        <x:v>60</x:v>
      </x:c>
      <x:c r="O737" s="50" t="n">
        <x:v>219</x:v>
      </x:c>
      <x:c r="P737" s="50" t="n">
        <x:v>24</x:v>
      </x:c>
    </x:row>
    <x:row r="738" ht="36" customHeight="1">
      <x:c r="A738" s="53" t="n">
        <x:v>719</x:v>
      </x:c>
      <x:c r="B738" s="53" t="n">
        <x:v>2</x:v>
      </x:c>
      <x:c r="C738" s="40" t="str">
        <x:v>Large-Basket Occasional Shoppers</x:v>
      </x:c>
      <x:c r="D738" s="60" t="n">
        <x:v>1098.51</x:v>
      </x:c>
      <x:c r="E738" s="50" t="n">
        <x:v>34</x:v>
      </x:c>
      <x:c r="F738" s="46" t="n">
        <x:v>1.8888888888888888</x:v>
      </x:c>
      <x:c r="G738" s="46" t="n">
        <x:v>8</x:v>
      </x:c>
      <x:c r="H738" s="61" t="n">
        <x:v>32.30911764705883</x:v>
      </x:c>
      <x:c r="I738" s="52" t="n">
        <x:v>1</x:v>
      </x:c>
      <x:c r="J738" s="52" t="n">
        <x:v>0.6201400078287862</x:v>
      </x:c>
      <x:c r="K738" s="60" t="n">
        <x:v>1098.51</x:v>
      </x:c>
      <x:c r="L738" s="60" t="n">
        <x:v>0</x:v>
      </x:c>
      <x:c r="M738" s="50" t="n">
        <x:v>34</x:v>
      </x:c>
      <x:c r="N738" s="50" t="n">
        <x:v>0</x:v>
      </x:c>
      <x:c r="O738" s="50" t="n">
        <x:v>60</x:v>
      </x:c>
      <x:c r="P738" s="50" t="n">
        <x:v>18</x:v>
      </x:c>
    </x:row>
    <x:row r="739" ht="36" customHeight="1">
      <x:c r="A739" s="53" t="n">
        <x:v>720</x:v>
      </x:c>
      <x:c r="B739" s="53" t="n">
        <x:v>3</x:v>
      </x:c>
      <x:c r="C739" s="40" t="str">
        <x:v>Low-Value Low-Engagement Shoppers</x:v>
      </x:c>
      <x:c r="D739" s="60" t="n">
        <x:v>1678.8</x:v>
      </x:c>
      <x:c r="E739" s="50" t="n">
        <x:v>86</x:v>
      </x:c>
      <x:c r="F739" s="46" t="n">
        <x:v>3.9090909090909087</x:v>
      </x:c>
      <x:c r="G739" s="46" t="n">
        <x:v>5</x:v>
      </x:c>
      <x:c r="H739" s="61" t="n">
        <x:v>19.520930232558136</x:v>
      </x:c>
      <x:c r="I739" s="52" t="n">
        <x:v>0.6744186046511627</x:v>
      </x:c>
      <x:c r="J739" s="52" t="n">
        <x:v>0.2442041934715272</x:v>
      </x:c>
      <x:c r="K739" s="60" t="n">
        <x:v>1263.53</x:v>
      </x:c>
      <x:c r="L739" s="60" t="n">
        <x:v>415.27</x:v>
      </x:c>
      <x:c r="M739" s="50" t="n">
        <x:v>58</x:v>
      </x:c>
      <x:c r="N739" s="50" t="n">
        <x:v>28</x:v>
      </x:c>
      <x:c r="O739" s="50" t="n">
        <x:v>55</x:v>
      </x:c>
      <x:c r="P739" s="50" t="n">
        <x:v>22</x:v>
      </x:c>
    </x:row>
    <x:row r="740" ht="36" customHeight="1">
      <x:c r="A740" s="53" t="n">
        <x:v>721</x:v>
      </x:c>
      <x:c r="B740" s="53" t="n">
        <x:v>3</x:v>
      </x:c>
      <x:c r="C740" s="40" t="str">
        <x:v>Low-Value Low-Engagement Shoppers</x:v>
      </x:c>
      <x:c r="D740" s="60" t="n">
        <x:v>553.57</x:v>
      </x:c>
      <x:c r="E740" s="50" t="n">
        <x:v>46</x:v>
      </x:c>
      <x:c r="F740" s="46" t="n">
        <x:v>2.875</x:v>
      </x:c>
      <x:c r="G740" s="46" t="n">
        <x:v>9</x:v>
      </x:c>
      <x:c r="H740" s="61" t="n">
        <x:v>12.034130434782607</x:v>
      </x:c>
      <x:c r="I740" s="52" t="n">
        <x:v>0.8695652173913043</x:v>
      </x:c>
      <x:c r="J740" s="52" t="n">
        <x:v>0.4054591108622215</x:v>
      </x:c>
      <x:c r="K740" s="60" t="n">
        <x:v>484.07</x:v>
      </x:c>
      <x:c r="L740" s="60" t="n">
        <x:v>69.5</x:v>
      </x:c>
      <x:c r="M740" s="50" t="n">
        <x:v>40</x:v>
      </x:c>
      <x:c r="N740" s="50" t="n">
        <x:v>6</x:v>
      </x:c>
      <x:c r="O740" s="50" t="n">
        <x:v>48</x:v>
      </x:c>
      <x:c r="P740" s="50" t="n">
        <x:v>16</x:v>
      </x:c>
    </x:row>
    <x:row r="741" ht="36" customHeight="1">
      <x:c r="A741" s="53" t="n">
        <x:v>722</x:v>
      </x:c>
      <x:c r="B741" s="53" t="n">
        <x:v>1</x:v>
      </x:c>
      <x:c r="C741" s="40" t="str">
        <x:v>High-Value Frequent Shoppers</x:v>
      </x:c>
      <x:c r="D741" s="60" t="n">
        <x:v>6437.62</x:v>
      </x:c>
      <x:c r="E741" s="50" t="n">
        <x:v>135</x:v>
      </x:c>
      <x:c r="F741" s="46" t="n">
        <x:v>6.428571428571429</x:v>
      </x:c>
      <x:c r="G741" s="46" t="n">
        <x:v>6</x:v>
      </x:c>
      <x:c r="H741" s="61" t="n">
        <x:v>47.68607407407408</x:v>
      </x:c>
      <x:c r="I741" s="52" t="n">
        <x:v>0.8962962962962961</x:v>
      </x:c>
      <x:c r="J741" s="52" t="n">
        <x:v>0.5898655093031275</x:v>
      </x:c>
      <x:c r="K741" s="60" t="n">
        <x:v>6292.4</x:v>
      </x:c>
      <x:c r="L741" s="60" t="n">
        <x:v>145.22</x:v>
      </x:c>
      <x:c r="M741" s="50" t="n">
        <x:v>121</x:v>
      </x:c>
      <x:c r="N741" s="50" t="n">
        <x:v>14</x:v>
      </x:c>
      <x:c r="O741" s="50" t="n">
        <x:v>166</x:v>
      </x:c>
      <x:c r="P741" s="50" t="n">
        <x:v>21</x:v>
      </x:c>
    </x:row>
    <x:row r="742" ht="36" customHeight="1">
      <x:c r="A742" s="53" t="n">
        <x:v>723</x:v>
      </x:c>
      <x:c r="B742" s="53" t="n">
        <x:v>2</x:v>
      </x:c>
      <x:c r="C742" s="40" t="str">
        <x:v>Large-Basket Occasional Shoppers</x:v>
      </x:c>
      <x:c r="D742" s="60" t="n">
        <x:v>1230.83</x:v>
      </x:c>
      <x:c r="E742" s="50" t="n">
        <x:v>23</x:v>
      </x:c>
      <x:c r="F742" s="46" t="n">
        <x:v>1.5333333333333332</x:v>
      </x:c>
      <x:c r="G742" s="46" t="n">
        <x:v>6</x:v>
      </x:c>
      <x:c r="H742" s="61" t="n">
        <x:v>53.51434782608696</x:v>
      </x:c>
      <x:c r="I742" s="52" t="n">
        <x:v>0.9130434782608696</x:v>
      </x:c>
      <x:c r="J742" s="52" t="n">
        <x:v>0.5490685147420846</x:v>
      </x:c>
      <x:c r="K742" s="60" t="n">
        <x:v>1166.29</x:v>
      </x:c>
      <x:c r="L742" s="60" t="n">
        <x:v>64.54</x:v>
      </x:c>
      <x:c r="M742" s="50" t="n">
        <x:v>21</x:v>
      </x:c>
      <x:c r="N742" s="50" t="n">
        <x:v>2</x:v>
      </x:c>
      <x:c r="O742" s="50" t="n">
        <x:v>87</x:v>
      </x:c>
      <x:c r="P742" s="50" t="n">
        <x:v>15</x:v>
      </x:c>
    </x:row>
    <x:row r="743" ht="36" customHeight="1">
      <x:c r="A743" s="53" t="n">
        <x:v>724</x:v>
      </x:c>
      <x:c r="B743" s="53" t="n">
        <x:v>3</x:v>
      </x:c>
      <x:c r="C743" s="40" t="str">
        <x:v>Low-Value Low-Engagement Shoppers</x:v>
      </x:c>
      <x:c r="D743" s="60" t="n">
        <x:v>639.3</x:v>
      </x:c>
      <x:c r="E743" s="50" t="n">
        <x:v>26</x:v>
      </x:c>
      <x:c r="F743" s="46" t="n">
        <x:v>2.6</x:v>
      </x:c>
      <x:c r="G743" s="46" t="n">
        <x:v>51</x:v>
      </x:c>
      <x:c r="H743" s="61" t="n">
        <x:v>24.588461538461537</x:v>
      </x:c>
      <x:c r="I743" s="52" t="n">
        <x:v>0.7692307692307692</x:v>
      </x:c>
      <x:c r="J743" s="52" t="n">
        <x:v>0.3028781479743469</x:v>
      </x:c>
      <x:c r="K743" s="60" t="n">
        <x:v>566.12</x:v>
      </x:c>
      <x:c r="L743" s="60" t="n">
        <x:v>73.18</x:v>
      </x:c>
      <x:c r="M743" s="50" t="n">
        <x:v>20</x:v>
      </x:c>
      <x:c r="N743" s="50" t="n">
        <x:v>6</x:v>
      </x:c>
      <x:c r="O743" s="50" t="n">
        <x:v>64</x:v>
      </x:c>
      <x:c r="P743" s="50" t="n">
        <x:v>10</x:v>
      </x:c>
    </x:row>
    <x:row r="744" ht="36" customHeight="1">
      <x:c r="A744" s="53" t="n">
        <x:v>725</x:v>
      </x:c>
      <x:c r="B744" s="53" t="n">
        <x:v>1</x:v>
      </x:c>
      <x:c r="C744" s="40" t="str">
        <x:v>High-Value Frequent Shoppers</x:v>
      </x:c>
      <x:c r="D744" s="60" t="n">
        <x:v>4828.58</x:v>
      </x:c>
      <x:c r="E744" s="50" t="n">
        <x:v>133</x:v>
      </x:c>
      <x:c r="F744" s="46" t="n">
        <x:v>6.045454545454546</x:v>
      </x:c>
      <x:c r="G744" s="46" t="n">
        <x:v>0</x:v>
      </x:c>
      <x:c r="H744" s="61" t="n">
        <x:v>36.30511278195489</x:v>
      </x:c>
      <x:c r="I744" s="52" t="n">
        <x:v>0.9548872180451128</x:v>
      </x:c>
      <x:c r="J744" s="52" t="n">
        <x:v>0.6160486105645966</x:v>
      </x:c>
      <x:c r="K744" s="60" t="n">
        <x:v>4786.04</x:v>
      </x:c>
      <x:c r="L744" s="60" t="n">
        <x:v>42.54</x:v>
      </x:c>
      <x:c r="M744" s="50" t="n">
        <x:v>127</x:v>
      </x:c>
      <x:c r="N744" s="50" t="n">
        <x:v>6</x:v>
      </x:c>
      <x:c r="O744" s="50" t="n">
        <x:v>110</x:v>
      </x:c>
      <x:c r="P744" s="50" t="n">
        <x:v>22</x:v>
      </x:c>
    </x:row>
    <x:row r="745" ht="36" customHeight="1">
      <x:c r="A745" s="53" t="n">
        <x:v>726</x:v>
      </x:c>
      <x:c r="B745" s="53" t="n">
        <x:v>1</x:v>
      </x:c>
      <x:c r="C745" s="40" t="str">
        <x:v>High-Value Frequent Shoppers</x:v>
      </x:c>
      <x:c r="D745" s="60" t="n">
        <x:v>2220.15</x:v>
      </x:c>
      <x:c r="E745" s="50" t="n">
        <x:v>71</x:v>
      </x:c>
      <x:c r="F745" s="46" t="n">
        <x:v>3.380952380952381</x:v>
      </x:c>
      <x:c r="G745" s="46" t="n">
        <x:v>0</x:v>
      </x:c>
      <x:c r="H745" s="61" t="n">
        <x:v>31.269718309859154</x:v>
      </x:c>
      <x:c r="I745" s="52" t="n">
        <x:v>0.8591549295774648</x:v>
      </x:c>
      <x:c r="J745" s="52" t="n">
        <x:v>0.5742810170483976</x:v>
      </x:c>
      <x:c r="K745" s="60" t="n">
        <x:v>2121.8</x:v>
      </x:c>
      <x:c r="L745" s="60" t="n">
        <x:v>98.35</x:v>
      </x:c>
      <x:c r="M745" s="50" t="n">
        <x:v>61</x:v>
      </x:c>
      <x:c r="N745" s="50" t="n">
        <x:v>10</x:v>
      </x:c>
      <x:c r="O745" s="50" t="n">
        <x:v>140</x:v>
      </x:c>
      <x:c r="P745" s="50" t="n">
        <x:v>21</x:v>
      </x:c>
    </x:row>
    <x:row r="746" ht="36" customHeight="1">
      <x:c r="A746" s="53" t="n">
        <x:v>727</x:v>
      </x:c>
      <x:c r="B746" s="53" t="n">
        <x:v>1</x:v>
      </x:c>
      <x:c r="C746" s="40" t="str">
        <x:v>High-Value Frequent Shoppers</x:v>
      </x:c>
      <x:c r="D746" s="60" t="n">
        <x:v>4923.13</x:v>
      </x:c>
      <x:c r="E746" s="50" t="n">
        <x:v>118</x:v>
      </x:c>
      <x:c r="F746" s="46" t="n">
        <x:v>5.363636363636364</x:v>
      </x:c>
      <x:c r="G746" s="46" t="n">
        <x:v>0</x:v>
      </x:c>
      <x:c r="H746" s="61" t="n">
        <x:v>41.72144067796609</x:v>
      </x:c>
      <x:c r="I746" s="52" t="n">
        <x:v>0.9322033898305084</x:v>
      </x:c>
      <x:c r="J746" s="52" t="n">
        <x:v>0.5014959994962555</x:v>
      </x:c>
      <x:c r="K746" s="60" t="n">
        <x:v>4836.16</x:v>
      </x:c>
      <x:c r="L746" s="60" t="n">
        <x:v>86.97</x:v>
      </x:c>
      <x:c r="M746" s="50" t="n">
        <x:v>110</x:v>
      </x:c>
      <x:c r="N746" s="50" t="n">
        <x:v>8</x:v>
      </x:c>
      <x:c r="O746" s="50" t="n">
        <x:v>115</x:v>
      </x:c>
      <x:c r="P746" s="50" t="n">
        <x:v>22</x:v>
      </x:c>
    </x:row>
    <x:row r="747" ht="36" customHeight="1">
      <x:c r="A747" s="53" t="n">
        <x:v>728</x:v>
      </x:c>
      <x:c r="B747" s="53" t="n">
        <x:v>1</x:v>
      </x:c>
      <x:c r="C747" s="40" t="str">
        <x:v>High-Value Frequent Shoppers</x:v>
      </x:c>
      <x:c r="D747" s="60" t="n">
        <x:v>10732.91</x:v>
      </x:c>
      <x:c r="E747" s="50" t="n">
        <x:v>475</x:v>
      </x:c>
      <x:c r="F747" s="46" t="n">
        <x:v>20.65217391304348</x:v>
      </x:c>
      <x:c r="G747" s="46" t="n">
        <x:v>5</x:v>
      </x:c>
      <x:c r="H747" s="61" t="n">
        <x:v>22.5956</x:v>
      </x:c>
      <x:c r="I747" s="52" t="n">
        <x:v>0.8210526315789473</x:v>
      </x:c>
      <x:c r="J747" s="52" t="n">
        <x:v>0.5301032059338986</x:v>
      </x:c>
      <x:c r="K747" s="60" t="n">
        <x:v>10117.04</x:v>
      </x:c>
      <x:c r="L747" s="60" t="n">
        <x:v>615.87</x:v>
      </x:c>
      <x:c r="M747" s="50" t="n">
        <x:v>390</x:v>
      </x:c>
      <x:c r="N747" s="50" t="n">
        <x:v>85</x:v>
      </x:c>
      <x:c r="O747" s="50" t="n">
        <x:v>177</x:v>
      </x:c>
      <x:c r="P747" s="50" t="n">
        <x:v>23</x:v>
      </x:c>
    </x:row>
    <x:row r="748" ht="36" customHeight="1">
      <x:c r="A748" s="53" t="n">
        <x:v>729</x:v>
      </x:c>
      <x:c r="B748" s="53" t="n">
        <x:v>2</x:v>
      </x:c>
      <x:c r="C748" s="40" t="str">
        <x:v>Large-Basket Occasional Shoppers</x:v>
      </x:c>
      <x:c r="D748" s="60" t="n">
        <x:v>1159.32</x:v>
      </x:c>
      <x:c r="E748" s="50" t="n">
        <x:v>32</x:v>
      </x:c>
      <x:c r="F748" s="46" t="n">
        <x:v>1.777777777777778</x:v>
      </x:c>
      <x:c r="G748" s="46" t="n">
        <x:v>9</x:v>
      </x:c>
      <x:c r="H748" s="61" t="n">
        <x:v>36.22875</x:v>
      </x:c>
      <x:c r="I748" s="52" t="n">
        <x:v>0.78125</x:v>
      </x:c>
      <x:c r="J748" s="52" t="n">
        <x:v>0.4588983197046544</x:v>
      </x:c>
      <x:c r="K748" s="60" t="n">
        <x:v>1108.79</x:v>
      </x:c>
      <x:c r="L748" s="60" t="n">
        <x:v>50.53</x:v>
      </x:c>
      <x:c r="M748" s="50" t="n">
        <x:v>25</x:v>
      </x:c>
      <x:c r="N748" s="50" t="n">
        <x:v>7</x:v>
      </x:c>
      <x:c r="O748" s="50" t="n">
        <x:v>112</x:v>
      </x:c>
      <x:c r="P748" s="50" t="n">
        <x:v>18</x:v>
      </x:c>
    </x:row>
    <x:row r="749" ht="36" customHeight="1">
      <x:c r="A749" s="53" t="n">
        <x:v>730</x:v>
      </x:c>
      <x:c r="B749" s="53" t="n">
        <x:v>3</x:v>
      </x:c>
      <x:c r="C749" s="40" t="str">
        <x:v>Low-Value Low-Engagement Shoppers</x:v>
      </x:c>
      <x:c r="D749" s="60" t="n">
        <x:v>1111.69</x:v>
      </x:c>
      <x:c r="E749" s="50" t="n">
        <x:v>92</x:v>
      </x:c>
      <x:c r="F749" s="46" t="n">
        <x:v>4</x:v>
      </x:c>
      <x:c r="G749" s="46" t="n">
        <x:v>6</x:v>
      </x:c>
      <x:c r="H749" s="61" t="n">
        <x:v>12.08358695652174</x:v>
      </x:c>
      <x:c r="I749" s="52" t="n">
        <x:v>0.7934782608695652</x:v>
      </x:c>
      <x:c r="J749" s="52" t="n">
        <x:v>0.4712374852701742</x:v>
      </x:c>
      <x:c r="K749" s="60" t="n">
        <x:v>947.73</x:v>
      </x:c>
      <x:c r="L749" s="60" t="n">
        <x:v>163.96</x:v>
      </x:c>
      <x:c r="M749" s="50" t="n">
        <x:v>73</x:v>
      </x:c>
      <x:c r="N749" s="50" t="n">
        <x:v>19</x:v>
      </x:c>
      <x:c r="O749" s="50" t="n">
        <x:v>49</x:v>
      </x:c>
      <x:c r="P749" s="50" t="n">
        <x:v>23</x:v>
      </x:c>
    </x:row>
    <x:row r="750" ht="36" customHeight="1">
      <x:c r="A750" s="53" t="n">
        <x:v>731</x:v>
      </x:c>
      <x:c r="B750" s="53" t="n">
        <x:v>1</x:v>
      </x:c>
      <x:c r="C750" s="40" t="str">
        <x:v>High-Value Frequent Shoppers</x:v>
      </x:c>
      <x:c r="D750" s="60" t="n">
        <x:v>3151.31</x:v>
      </x:c>
      <x:c r="E750" s="50" t="n">
        <x:v>233</x:v>
      </x:c>
      <x:c r="F750" s="46" t="n">
        <x:v>10.59090909090909</x:v>
      </x:c>
      <x:c r="G750" s="46" t="n">
        <x:v>9</x:v>
      </x:c>
      <x:c r="H750" s="61" t="n">
        <x:v>13.524935622317596</x:v>
      </x:c>
      <x:c r="I750" s="52" t="n">
        <x:v>0.703862660944206</x:v>
      </x:c>
      <x:c r="J750" s="52" t="n">
        <x:v>0.5110795193110166</x:v>
      </x:c>
      <x:c r="K750" s="60" t="n">
        <x:v>2726.77</x:v>
      </x:c>
      <x:c r="L750" s="60" t="n">
        <x:v>424.54</x:v>
      </x:c>
      <x:c r="M750" s="50" t="n">
        <x:v>164</x:v>
      </x:c>
      <x:c r="N750" s="50" t="n">
        <x:v>69</x:v>
      </x:c>
      <x:c r="O750" s="50" t="n">
        <x:v>164</x:v>
      </x:c>
      <x:c r="P750" s="50" t="n">
        <x:v>22</x:v>
      </x:c>
    </x:row>
    <x:row r="751" ht="36" customHeight="1">
      <x:c r="A751" s="53" t="n">
        <x:v>732</x:v>
      </x:c>
      <x:c r="B751" s="53" t="n">
        <x:v>1</x:v>
      </x:c>
      <x:c r="C751" s="40" t="str">
        <x:v>High-Value Frequent Shoppers</x:v>
      </x:c>
      <x:c r="D751" s="60" t="n">
        <x:v>3967.82</x:v>
      </x:c>
      <x:c r="E751" s="50" t="n">
        <x:v>103</x:v>
      </x:c>
      <x:c r="F751" s="46" t="n">
        <x:v>4.904761904761905</x:v>
      </x:c>
      <x:c r="G751" s="46" t="n">
        <x:v>2</x:v>
      </x:c>
      <x:c r="H751" s="61" t="n">
        <x:v>38.52252427184466</x:v>
      </x:c>
      <x:c r="I751" s="52" t="n">
        <x:v>0.941747572815534</x:v>
      </x:c>
      <x:c r="J751" s="52" t="n">
        <x:v>0.7016749751752851</x:v>
      </x:c>
      <x:c r="K751" s="60" t="n">
        <x:v>3917.37</x:v>
      </x:c>
      <x:c r="L751" s="60" t="n">
        <x:v>50.45</x:v>
      </x:c>
      <x:c r="M751" s="50" t="n">
        <x:v>97</x:v>
      </x:c>
      <x:c r="N751" s="50" t="n">
        <x:v>6</x:v>
      </x:c>
      <x:c r="O751" s="50" t="n">
        <x:v>135</x:v>
      </x:c>
      <x:c r="P751" s="50" t="n">
        <x:v>21</x:v>
      </x:c>
    </x:row>
    <x:row r="752" ht="36" customHeight="1">
      <x:c r="A752" s="53" t="n">
        <x:v>733</x:v>
      </x:c>
      <x:c r="B752" s="53" t="n">
        <x:v>2</x:v>
      </x:c>
      <x:c r="C752" s="40" t="str">
        <x:v>Large-Basket Occasional Shoppers</x:v>
      </x:c>
      <x:c r="D752" s="60" t="n">
        <x:v>2678.56</x:v>
      </x:c>
      <x:c r="E752" s="50" t="n">
        <x:v>76</x:v>
      </x:c>
      <x:c r="F752" s="46" t="n">
        <x:v>3.4545454545454546</x:v>
      </x:c>
      <x:c r="G752" s="46" t="n">
        <x:v>7</x:v>
      </x:c>
      <x:c r="H752" s="61" t="n">
        <x:v>35.24421052631579</x:v>
      </x:c>
      <x:c r="I752" s="52" t="n">
        <x:v>0.881578947368421</x:v>
      </x:c>
      <x:c r="J752" s="52" t="n">
        <x:v>0.5201638193656292</x:v>
      </x:c>
      <x:c r="K752" s="60" t="n">
        <x:v>2591.68</x:v>
      </x:c>
      <x:c r="L752" s="60" t="n">
        <x:v>86.88</x:v>
      </x:c>
      <x:c r="M752" s="50" t="n">
        <x:v>67</x:v>
      </x:c>
      <x:c r="N752" s="50" t="n">
        <x:v>9</x:v>
      </x:c>
      <x:c r="O752" s="50" t="n">
        <x:v>113</x:v>
      </x:c>
      <x:c r="P752" s="50" t="n">
        <x:v>22</x:v>
      </x:c>
    </x:row>
    <x:row r="753" ht="36" customHeight="1">
      <x:c r="A753" s="53" t="n">
        <x:v>734</x:v>
      </x:c>
      <x:c r="B753" s="53" t="n">
        <x:v>3</x:v>
      </x:c>
      <x:c r="C753" s="40" t="str">
        <x:v>Low-Value Low-Engagement Shoppers</x:v>
      </x:c>
      <x:c r="D753" s="60" t="n">
        <x:v>1319.76</x:v>
      </x:c>
      <x:c r="E753" s="50" t="n">
        <x:v>76</x:v>
      </x:c>
      <x:c r="F753" s="46" t="n">
        <x:v>3.3043478260869565</x:v>
      </x:c>
      <x:c r="G753" s="46" t="n">
        <x:v>14</x:v>
      </x:c>
      <x:c r="H753" s="61" t="n">
        <x:v>17.365263157894734</x:v>
      </x:c>
      <x:c r="I753" s="52" t="n">
        <x:v>0.7236842105263157</x:v>
      </x:c>
      <x:c r="J753" s="52" t="n">
        <x:v>0.4785263987391646</x:v>
      </x:c>
      <x:c r="K753" s="60" t="n">
        <x:v>1130.44</x:v>
      </x:c>
      <x:c r="L753" s="60" t="n">
        <x:v>189.32</x:v>
      </x:c>
      <x:c r="M753" s="50" t="n">
        <x:v>55</x:v>
      </x:c>
      <x:c r="N753" s="50" t="n">
        <x:v>21</x:v>
      </x:c>
      <x:c r="O753" s="50" t="n">
        <x:v>98</x:v>
      </x:c>
      <x:c r="P753" s="50" t="n">
        <x:v>23</x:v>
      </x:c>
    </x:row>
    <x:row r="754" ht="36" customHeight="1">
      <x:c r="A754" s="53" t="n">
        <x:v>735</x:v>
      </x:c>
      <x:c r="B754" s="53" t="n">
        <x:v>3</x:v>
      </x:c>
      <x:c r="C754" s="40" t="str">
        <x:v>Low-Value Low-Engagement Shoppers</x:v>
      </x:c>
      <x:c r="D754" s="60" t="n">
        <x:v>1062.25</x:v>
      </x:c>
      <x:c r="E754" s="50" t="n">
        <x:v>92</x:v>
      </x:c>
      <x:c r="F754" s="46" t="n">
        <x:v>5.111111111111112</x:v>
      </x:c>
      <x:c r="G754" s="46" t="n">
        <x:v>24</x:v>
      </x:c>
      <x:c r="H754" s="61" t="n">
        <x:v>11.546195652173912</x:v>
      </x:c>
      <x:c r="I754" s="52" t="n">
        <x:v>0.6739130434782608</x:v>
      </x:c>
      <x:c r="J754" s="52" t="n">
        <x:v>0.399162155801365</x:v>
      </x:c>
      <x:c r="K754" s="60" t="n">
        <x:v>843.2</x:v>
      </x:c>
      <x:c r="L754" s="60" t="n">
        <x:v>219.05</x:v>
      </x:c>
      <x:c r="M754" s="50" t="n">
        <x:v>62</x:v>
      </x:c>
      <x:c r="N754" s="50" t="n">
        <x:v>30</x:v>
      </x:c>
      <x:c r="O754" s="50" t="n">
        <x:v>86</x:v>
      </x:c>
      <x:c r="P754" s="50" t="n">
        <x:v>18</x:v>
      </x:c>
    </x:row>
    <x:row r="755" ht="36" customHeight="1">
      <x:c r="A755" s="53" t="n">
        <x:v>736</x:v>
      </x:c>
      <x:c r="B755" s="53" t="n">
        <x:v>2</x:v>
      </x:c>
      <x:c r="C755" s="40" t="str">
        <x:v>Large-Basket Occasional Shoppers</x:v>
      </x:c>
      <x:c r="D755" s="60" t="n">
        <x:v>3061.62</x:v>
      </x:c>
      <x:c r="E755" s="50" t="n">
        <x:v>60</x:v>
      </x:c>
      <x:c r="F755" s="46" t="n">
        <x:v>3</x:v>
      </x:c>
      <x:c r="G755" s="46" t="n">
        <x:v>6</x:v>
      </x:c>
      <x:c r="H755" s="61" t="n">
        <x:v>51.027</x:v>
      </x:c>
      <x:c r="I755" s="52" t="n">
        <x:v>0.8</x:v>
      </x:c>
      <x:c r="J755" s="52" t="n">
        <x:v>0.4003828038750726</x:v>
      </x:c>
      <x:c r="K755" s="60" t="n">
        <x:v>2918.38</x:v>
      </x:c>
      <x:c r="L755" s="60" t="n">
        <x:v>143.24</x:v>
      </x:c>
      <x:c r="M755" s="50" t="n">
        <x:v>48</x:v>
      </x:c>
      <x:c r="N755" s="50" t="n">
        <x:v>12</x:v>
      </x:c>
      <x:c r="O755" s="50" t="n">
        <x:v>151</x:v>
      </x:c>
      <x:c r="P755" s="50" t="n">
        <x:v>20</x:v>
      </x:c>
    </x:row>
    <x:row r="756" ht="36" customHeight="1">
      <x:c r="A756" s="53" t="n">
        <x:v>737</x:v>
      </x:c>
      <x:c r="B756" s="53" t="n">
        <x:v>2</x:v>
      </x:c>
      <x:c r="C756" s="40" t="str">
        <x:v>Large-Basket Occasional Shoppers</x:v>
      </x:c>
      <x:c r="D756" s="60" t="n">
        <x:v>1593.51</x:v>
      </x:c>
      <x:c r="E756" s="50" t="n">
        <x:v>52</x:v>
      </x:c>
      <x:c r="F756" s="46" t="n">
        <x:v>2.476190476190476</x:v>
      </x:c>
      <x:c r="G756" s="46" t="n">
        <x:v>60</x:v>
      </x:c>
      <x:c r="H756" s="61" t="n">
        <x:v>30.64442307692308</x:v>
      </x:c>
      <x:c r="I756" s="52" t="n">
        <x:v>0.7884615384615384</x:v>
      </x:c>
      <x:c r="J756" s="52" t="n">
        <x:v>0.391757817647834</x:v>
      </x:c>
      <x:c r="K756" s="60" t="n">
        <x:v>1358.33</x:v>
      </x:c>
      <x:c r="L756" s="60" t="n">
        <x:v>235.18</x:v>
      </x:c>
      <x:c r="M756" s="50" t="n">
        <x:v>41</x:v>
      </x:c>
      <x:c r="N756" s="50" t="n">
        <x:v>11</x:v>
      </x:c>
      <x:c r="O756" s="50" t="n">
        <x:v>120</x:v>
      </x:c>
      <x:c r="P756" s="50" t="n">
        <x:v>21</x:v>
      </x:c>
    </x:row>
    <x:row r="757" ht="36" customHeight="1">
      <x:c r="A757" s="53" t="n">
        <x:v>738</x:v>
      </x:c>
      <x:c r="B757" s="53" t="n">
        <x:v>1</x:v>
      </x:c>
      <x:c r="C757" s="40" t="str">
        <x:v>High-Value Frequent Shoppers</x:v>
      </x:c>
      <x:c r="D757" s="60" t="n">
        <x:v>2593.12</x:v>
      </x:c>
      <x:c r="E757" s="50" t="n">
        <x:v>101</x:v>
      </x:c>
      <x:c r="F757" s="46" t="n">
        <x:v>5.315789473684211</x:v>
      </x:c>
      <x:c r="G757" s="46" t="n">
        <x:v>0</x:v>
      </x:c>
      <x:c r="H757" s="61" t="n">
        <x:v>25.67445544554456</x:v>
      </x:c>
      <x:c r="I757" s="52" t="n">
        <x:v>0.8415841584158416</x:v>
      </x:c>
      <x:c r="J757" s="52" t="n">
        <x:v>0.539161319183069</x:v>
      </x:c>
      <x:c r="K757" s="60" t="n">
        <x:v>2503.1</x:v>
      </x:c>
      <x:c r="L757" s="60" t="n">
        <x:v>90.02</x:v>
      </x:c>
      <x:c r="M757" s="50" t="n">
        <x:v>85</x:v>
      </x:c>
      <x:c r="N757" s="50" t="n">
        <x:v>16</x:v>
      </x:c>
      <x:c r="O757" s="50" t="n">
        <x:v>128</x:v>
      </x:c>
      <x:c r="P757" s="50" t="n">
        <x:v>19</x:v>
      </x:c>
    </x:row>
    <x:row r="758" ht="36" customHeight="1">
      <x:c r="A758" s="53" t="n">
        <x:v>739</x:v>
      </x:c>
      <x:c r="B758" s="53" t="n">
        <x:v>3</x:v>
      </x:c>
      <x:c r="C758" s="40" t="str">
        <x:v>Low-Value Low-Engagement Shoppers</x:v>
      </x:c>
      <x:c r="D758" s="60" t="n">
        <x:v>160.06</x:v>
      </x:c>
      <x:c r="E758" s="50" t="n">
        <x:v>6</x:v>
      </x:c>
      <x:c r="F758" s="46" t="n">
        <x:v>1.5</x:v>
      </x:c>
      <x:c r="G758" s="46" t="n">
        <x:v>422</x:v>
      </x:c>
      <x:c r="H758" s="61" t="n">
        <x:v>26.676666666666662</x:v>
      </x:c>
      <x:c r="I758" s="52" t="n">
        <x:v>0.6666666666666666</x:v>
      </x:c>
      <x:c r="J758" s="52" t="n">
        <x:v>0.3696738722978882</x:v>
      </x:c>
      <x:c r="K758" s="60" t="n">
        <x:v>146.01</x:v>
      </x:c>
      <x:c r="L758" s="60" t="n">
        <x:v>14.05</x:v>
      </x:c>
      <x:c r="M758" s="50" t="n">
        <x:v>4</x:v>
      </x:c>
      <x:c r="N758" s="50" t="n">
        <x:v>2</x:v>
      </x:c>
      <x:c r="O758" s="50" t="n">
        <x:v>31</x:v>
      </x:c>
      <x:c r="P758" s="50" t="n">
        <x:v>4</x:v>
      </x:c>
    </x:row>
    <x:row r="759" ht="36" customHeight="1">
      <x:c r="A759" s="53" t="n">
        <x:v>740</x:v>
      </x:c>
      <x:c r="B759" s="53" t="n">
        <x:v>1</x:v>
      </x:c>
      <x:c r="C759" s="40" t="str">
        <x:v>High-Value Frequent Shoppers</x:v>
      </x:c>
      <x:c r="D759" s="60" t="n">
        <x:v>6644.85</x:v>
      </x:c>
      <x:c r="E759" s="50" t="n">
        <x:v>113</x:v>
      </x:c>
      <x:c r="F759" s="46" t="n">
        <x:v>5.3809523809523805</x:v>
      </x:c>
      <x:c r="G759" s="46" t="n">
        <x:v>0</x:v>
      </x:c>
      <x:c r="H759" s="61" t="n">
        <x:v>58.80398230088496</x:v>
      </x:c>
      <x:c r="I759" s="52" t="n">
        <x:v>0.9380530973451328</x:v>
      </x:c>
      <x:c r="J759" s="52" t="n">
        <x:v>0.4689421130650052</x:v>
      </x:c>
      <x:c r="K759" s="60" t="n">
        <x:v>6528.18</x:v>
      </x:c>
      <x:c r="L759" s="60" t="n">
        <x:v>116.67</x:v>
      </x:c>
      <x:c r="M759" s="50" t="n">
        <x:v>106</x:v>
      </x:c>
      <x:c r="N759" s="50" t="n">
        <x:v>7</x:v>
      </x:c>
      <x:c r="O759" s="50" t="n">
        <x:v>185</x:v>
      </x:c>
      <x:c r="P759" s="50" t="n">
        <x:v>21</x:v>
      </x:c>
    </x:row>
    <x:row r="760" ht="36" customHeight="1">
      <x:c r="A760" s="53" t="n">
        <x:v>741</x:v>
      </x:c>
      <x:c r="B760" s="53" t="n">
        <x:v>1</x:v>
      </x:c>
      <x:c r="C760" s="40" t="str">
        <x:v>High-Value Frequent Shoppers</x:v>
      </x:c>
      <x:c r="D760" s="60" t="n">
        <x:v>3414.6</x:v>
      </x:c>
      <x:c r="E760" s="50" t="n">
        <x:v>87</x:v>
      </x:c>
      <x:c r="F760" s="46" t="n">
        <x:v>4.35</x:v>
      </x:c>
      <x:c r="G760" s="46" t="n">
        <x:v>6</x:v>
      </x:c>
      <x:c r="H760" s="61" t="n">
        <x:v>39.248275862068965</x:v>
      </x:c>
      <x:c r="I760" s="52" t="n">
        <x:v>0.9310344827586206</x:v>
      </x:c>
      <x:c r="J760" s="52" t="n">
        <x:v>0.4308850231359456</x:v>
      </x:c>
      <x:c r="K760" s="60" t="n">
        <x:v>3357.03</x:v>
      </x:c>
      <x:c r="L760" s="60" t="n">
        <x:v>57.57</x:v>
      </x:c>
      <x:c r="M760" s="50" t="n">
        <x:v>81</x:v>
      </x:c>
      <x:c r="N760" s="50" t="n">
        <x:v>6</x:v>
      </x:c>
      <x:c r="O760" s="50" t="n">
        <x:v>160</x:v>
      </x:c>
      <x:c r="P760" s="50" t="n">
        <x:v>20</x:v>
      </x:c>
    </x:row>
    <x:row r="761" ht="36" customHeight="1">
      <x:c r="A761" s="53" t="n">
        <x:v>742</x:v>
      </x:c>
      <x:c r="B761" s="53" t="n">
        <x:v>1</x:v>
      </x:c>
      <x:c r="C761" s="40" t="str">
        <x:v>High-Value Frequent Shoppers</x:v>
      </x:c>
      <x:c r="D761" s="60" t="n">
        <x:v>3950.96</x:v>
      </x:c>
      <x:c r="E761" s="50" t="n">
        <x:v>328</x:v>
      </x:c>
      <x:c r="F761" s="46" t="n">
        <x:v>14.909090909090908</x:v>
      </x:c>
      <x:c r="G761" s="46" t="n">
        <x:v>8</x:v>
      </x:c>
      <x:c r="H761" s="61" t="n">
        <x:v>12.04560975609756</x:v>
      </x:c>
      <x:c r="I761" s="52" t="n">
        <x:v>0.7347560975609756</x:v>
      </x:c>
      <x:c r="J761" s="52" t="n">
        <x:v>0.4009709032741409</x:v>
      </x:c>
      <x:c r="K761" s="60" t="n">
        <x:v>3616.01</x:v>
      </x:c>
      <x:c r="L761" s="60" t="n">
        <x:v>334.95</x:v>
      </x:c>
      <x:c r="M761" s="50" t="n">
        <x:v>241</x:v>
      </x:c>
      <x:c r="N761" s="50" t="n">
        <x:v>87</x:v>
      </x:c>
      <x:c r="O761" s="50" t="n">
        <x:v>148</x:v>
      </x:c>
      <x:c r="P761" s="50" t="n">
        <x:v>22</x:v>
      </x:c>
    </x:row>
    <x:row r="762" ht="36" customHeight="1">
      <x:c r="A762" s="53" t="n">
        <x:v>743</x:v>
      </x:c>
      <x:c r="B762" s="53" t="n">
        <x:v>2</x:v>
      </x:c>
      <x:c r="C762" s="40" t="str">
        <x:v>Large-Basket Occasional Shoppers</x:v>
      </x:c>
      <x:c r="D762" s="60" t="n">
        <x:v>1988.97</x:v>
      </x:c>
      <x:c r="E762" s="50" t="n">
        <x:v>70</x:v>
      </x:c>
      <x:c r="F762" s="46" t="n">
        <x:v>3.888888888888889</x:v>
      </x:c>
      <x:c r="G762" s="46" t="n">
        <x:v>13</x:v>
      </x:c>
      <x:c r="H762" s="61" t="n">
        <x:v>28.413857142857143</x:v>
      </x:c>
      <x:c r="I762" s="52" t="n">
        <x:v>0.8142857142857142</x:v>
      </x:c>
      <x:c r="J762" s="52" t="n">
        <x:v>0.4853818810741237</x:v>
      </x:c>
      <x:c r="K762" s="60" t="n">
        <x:v>1852.86</x:v>
      </x:c>
      <x:c r="L762" s="60" t="n">
        <x:v>136.11</x:v>
      </x:c>
      <x:c r="M762" s="50" t="n">
        <x:v>57</x:v>
      </x:c>
      <x:c r="N762" s="50" t="n">
        <x:v>13</x:v>
      </x:c>
      <x:c r="O762" s="50" t="n">
        <x:v>103</x:v>
      </x:c>
      <x:c r="P762" s="50" t="n">
        <x:v>18</x:v>
      </x:c>
    </x:row>
    <x:row r="763" ht="36" customHeight="1">
      <x:c r="A763" s="53" t="n">
        <x:v>744</x:v>
      </x:c>
      <x:c r="B763" s="53" t="n">
        <x:v>1</x:v>
      </x:c>
      <x:c r="C763" s="40" t="str">
        <x:v>High-Value Frequent Shoppers</x:v>
      </x:c>
      <x:c r="D763" s="60" t="n">
        <x:v>4730.31</x:v>
      </x:c>
      <x:c r="E763" s="50" t="n">
        <x:v>157</x:v>
      </x:c>
      <x:c r="F763" s="46" t="n">
        <x:v>7.476190476190477</x:v>
      </x:c>
      <x:c r="G763" s="46" t="n">
        <x:v>6</x:v>
      </x:c>
      <x:c r="H763" s="61" t="n">
        <x:v>30.12936305732484</x:v>
      </x:c>
      <x:c r="I763" s="52" t="n">
        <x:v>0.9554140127388536</x:v>
      </x:c>
      <x:c r="J763" s="52" t="n">
        <x:v>0.6568702685447676</x:v>
      </x:c>
      <x:c r="K763" s="60" t="n">
        <x:v>4670.07</x:v>
      </x:c>
      <x:c r="L763" s="60" t="n">
        <x:v>60.24</x:v>
      </x:c>
      <x:c r="M763" s="50" t="n">
        <x:v>150</x:v>
      </x:c>
      <x:c r="N763" s="50" t="n">
        <x:v>7</x:v>
      </x:c>
      <x:c r="O763" s="50" t="n">
        <x:v>173</x:v>
      </x:c>
      <x:c r="P763" s="50" t="n">
        <x:v>21</x:v>
      </x:c>
    </x:row>
    <x:row r="764" ht="36" customHeight="1">
      <x:c r="A764" s="53" t="n">
        <x:v>745</x:v>
      </x:c>
      <x:c r="B764" s="53" t="n">
        <x:v>1</x:v>
      </x:c>
      <x:c r="C764" s="40" t="str">
        <x:v>High-Value Frequent Shoppers</x:v>
      </x:c>
      <x:c r="D764" s="60" t="n">
        <x:v>6713.51</x:v>
      </x:c>
      <x:c r="E764" s="50" t="n">
        <x:v>180</x:v>
      </x:c>
      <x:c r="F764" s="46" t="n">
        <x:v>8.181818181818182</x:v>
      </x:c>
      <x:c r="G764" s="46" t="n">
        <x:v>1</x:v>
      </x:c>
      <x:c r="H764" s="61" t="n">
        <x:v>37.29727777777778</x:v>
      </x:c>
      <x:c r="I764" s="52" t="n">
        <x:v>0.9833333333333332</x:v>
      </x:c>
      <x:c r="J764" s="52" t="n">
        <x:v>0.3792919054265205</x:v>
      </x:c>
      <x:c r="K764" s="60" t="n">
        <x:v>6670.14</x:v>
      </x:c>
      <x:c r="L764" s="60" t="n">
        <x:v>43.37</x:v>
      </x:c>
      <x:c r="M764" s="50" t="n">
        <x:v>177</x:v>
      </x:c>
      <x:c r="N764" s="50" t="n">
        <x:v>3</x:v>
      </x:c>
      <x:c r="O764" s="50" t="n">
        <x:v>142</x:v>
      </x:c>
      <x:c r="P764" s="50" t="n">
        <x:v>22</x:v>
      </x:c>
    </x:row>
    <x:row r="765" ht="36" customHeight="1">
      <x:c r="A765" s="53" t="n">
        <x:v>746</x:v>
      </x:c>
      <x:c r="B765" s="53" t="n">
        <x:v>3</x:v>
      </x:c>
      <x:c r="C765" s="40" t="str">
        <x:v>Low-Value Low-Engagement Shoppers</x:v>
      </x:c>
      <x:c r="D765" s="60" t="n">
        <x:v>569.05</x:v>
      </x:c>
      <x:c r="E765" s="50" t="n">
        <x:v>39</x:v>
      </x:c>
      <x:c r="F765" s="46" t="n">
        <x:v>3</x:v>
      </x:c>
      <x:c r="G765" s="46" t="n">
        <x:v>123</x:v>
      </x:c>
      <x:c r="H765" s="61" t="n">
        <x:v>14.59102564102564</x:v>
      </x:c>
      <x:c r="I765" s="52" t="n">
        <x:v>0.5128205128205128</x:v>
      </x:c>
      <x:c r="J765" s="52" t="n">
        <x:v>0.3409893682453211</x:v>
      </x:c>
      <x:c r="K765" s="60" t="n">
        <x:v>280.55</x:v>
      </x:c>
      <x:c r="L765" s="60" t="n">
        <x:v>288.5</x:v>
      </x:c>
      <x:c r="M765" s="50" t="n">
        <x:v>20</x:v>
      </x:c>
      <x:c r="N765" s="50" t="n">
        <x:v>19</x:v>
      </x:c>
      <x:c r="O765" s="50" t="n">
        <x:v>54</x:v>
      </x:c>
      <x:c r="P765" s="50" t="n">
        <x:v>13</x:v>
      </x:c>
    </x:row>
    <x:row r="766" ht="36" customHeight="1">
      <x:c r="A766" s="53" t="n">
        <x:v>747</x:v>
      </x:c>
      <x:c r="B766" s="53" t="n">
        <x:v>3</x:v>
      </x:c>
      <x:c r="C766" s="40" t="str">
        <x:v>Low-Value Low-Engagement Shoppers</x:v>
      </x:c>
      <x:c r="D766" s="60" t="n">
        <x:v>1166.73</x:v>
      </x:c>
      <x:c r="E766" s="50" t="n">
        <x:v>135</x:v>
      </x:c>
      <x:c r="F766" s="46" t="n">
        <x:v>6.428571428571429</x:v>
      </x:c>
      <x:c r="G766" s="46" t="n">
        <x:v>2</x:v>
      </x:c>
      <x:c r="H766" s="61" t="n">
        <x:v>8.642444444444445</x:v>
      </x:c>
      <x:c r="I766" s="52" t="n">
        <x:v>0.7481481481481481</x:v>
      </x:c>
      <x:c r="J766" s="52" t="n">
        <x:v>0.5161691222476494</x:v>
      </x:c>
      <x:c r="K766" s="60" t="n">
        <x:v>999.07</x:v>
      </x:c>
      <x:c r="L766" s="60" t="n">
        <x:v>167.66</x:v>
      </x:c>
      <x:c r="M766" s="50" t="n">
        <x:v>101</x:v>
      </x:c>
      <x:c r="N766" s="50" t="n">
        <x:v>34</x:v>
      </x:c>
      <x:c r="O766" s="50" t="n">
        <x:v>103</x:v>
      </x:c>
      <x:c r="P766" s="50" t="n">
        <x:v>21</x:v>
      </x:c>
    </x:row>
    <x:row r="767" ht="36" customHeight="1">
      <x:c r="A767" s="53" t="n">
        <x:v>748</x:v>
      </x:c>
      <x:c r="B767" s="53" t="n">
        <x:v>2</x:v>
      </x:c>
      <x:c r="C767" s="40" t="str">
        <x:v>Large-Basket Occasional Shoppers</x:v>
      </x:c>
      <x:c r="D767" s="60" t="n">
        <x:v>2709.18</x:v>
      </x:c>
      <x:c r="E767" s="50" t="n">
        <x:v>84</x:v>
      </x:c>
      <x:c r="F767" s="46" t="n">
        <x:v>4.941176470588236</x:v>
      </x:c>
      <x:c r="G767" s="46" t="n">
        <x:v>9</x:v>
      </x:c>
      <x:c r="H767" s="61" t="n">
        <x:v>32.25214285714286</x:v>
      </x:c>
      <x:c r="I767" s="52" t="n">
        <x:v>0.9285714285714284</x:v>
      </x:c>
      <x:c r="J767" s="52" t="n">
        <x:v>0.5564783440007677</x:v>
      </x:c>
      <x:c r="K767" s="60" t="n">
        <x:v>2637.87</x:v>
      </x:c>
      <x:c r="L767" s="60" t="n">
        <x:v>71.31</x:v>
      </x:c>
      <x:c r="M767" s="50" t="n">
        <x:v>78</x:v>
      </x:c>
      <x:c r="N767" s="50" t="n">
        <x:v>6</x:v>
      </x:c>
      <x:c r="O767" s="50" t="n">
        <x:v>119</x:v>
      </x:c>
      <x:c r="P767" s="50" t="n">
        <x:v>17</x:v>
      </x:c>
    </x:row>
    <x:row r="768" ht="36" customHeight="1">
      <x:c r="A768" s="53" t="n">
        <x:v>749</x:v>
      </x:c>
      <x:c r="B768" s="53" t="n">
        <x:v>3</x:v>
      </x:c>
      <x:c r="C768" s="40" t="str">
        <x:v>Low-Value Low-Engagement Shoppers</x:v>
      </x:c>
      <x:c r="D768" s="60" t="n">
        <x:v>1066.62</x:v>
      </x:c>
      <x:c r="E768" s="50" t="n">
        <x:v>76</x:v>
      </x:c>
      <x:c r="F768" s="46" t="n">
        <x:v>4.75</x:v>
      </x:c>
      <x:c r="G768" s="46" t="n">
        <x:v>6</x:v>
      </x:c>
      <x:c r="H768" s="61" t="n">
        <x:v>14.034473684210528</x:v>
      </x:c>
      <x:c r="I768" s="52" t="n">
        <x:v>0.644736842105263</x:v>
      </x:c>
      <x:c r="J768" s="52" t="n">
        <x:v>0.5730250698468057</x:v>
      </x:c>
      <x:c r="K768" s="60" t="n">
        <x:v>946.95</x:v>
      </x:c>
      <x:c r="L768" s="60" t="n">
        <x:v>119.67</x:v>
      </x:c>
      <x:c r="M768" s="50" t="n">
        <x:v>49</x:v>
      </x:c>
      <x:c r="N768" s="50" t="n">
        <x:v>27</x:v>
      </x:c>
      <x:c r="O768" s="50" t="n">
        <x:v>90</x:v>
      </x:c>
      <x:c r="P768" s="50" t="n">
        <x:v>16</x:v>
      </x:c>
    </x:row>
    <x:row r="769" ht="36" customHeight="1">
      <x:c r="A769" s="53" t="n">
        <x:v>750</x:v>
      </x:c>
      <x:c r="B769" s="53" t="n">
        <x:v>3</x:v>
      </x:c>
      <x:c r="C769" s="40" t="str">
        <x:v>Low-Value Low-Engagement Shoppers</x:v>
      </x:c>
      <x:c r="D769" s="60" t="n">
        <x:v>598.62</x:v>
      </x:c>
      <x:c r="E769" s="50" t="n">
        <x:v>49</x:v>
      </x:c>
      <x:c r="F769" s="46" t="n">
        <x:v>5.444444444444445</x:v>
      </x:c>
      <x:c r="G769" s="46" t="n">
        <x:v>2</x:v>
      </x:c>
      <x:c r="H769" s="61" t="n">
        <x:v>12.216734693877552</x:v>
      </x:c>
      <x:c r="I769" s="52" t="n">
        <x:v>0.8979591836734693</x:v>
      </x:c>
      <x:c r="J769" s="52" t="n">
        <x:v>0.5198456449834619</x:v>
      </x:c>
      <x:c r="K769" s="60" t="n">
        <x:v>571.89</x:v>
      </x:c>
      <x:c r="L769" s="60" t="n">
        <x:v>26.73</x:v>
      </x:c>
      <x:c r="M769" s="50" t="n">
        <x:v>44</x:v>
      </x:c>
      <x:c r="N769" s="50" t="n">
        <x:v>5</x:v>
      </x:c>
      <x:c r="O769" s="50" t="n">
        <x:v>64</x:v>
      </x:c>
      <x:c r="P769" s="50" t="n">
        <x:v>9</x:v>
      </x:c>
    </x:row>
    <x:row r="770" ht="36" customHeight="1">
      <x:c r="A770" s="53" t="n">
        <x:v>751</x:v>
      </x:c>
      <x:c r="B770" s="53" t="n">
        <x:v>3</x:v>
      </x:c>
      <x:c r="C770" s="40" t="str">
        <x:v>Low-Value Low-Engagement Shoppers</x:v>
      </x:c>
      <x:c r="D770" s="60" t="n">
        <x:v>521.04</x:v>
      </x:c>
      <x:c r="E770" s="50" t="n">
        <x:v>26</x:v>
      </x:c>
      <x:c r="F770" s="46" t="n">
        <x:v>2.888888888888889</x:v>
      </x:c>
      <x:c r="G770" s="46" t="n">
        <x:v>56</x:v>
      </x:c>
      <x:c r="H770" s="61" t="n">
        <x:v>20.04</x:v>
      </x:c>
      <x:c r="I770" s="52" t="n">
        <x:v>0.8076923076923076</x:v>
      </x:c>
      <x:c r="J770" s="52" t="n">
        <x:v>0.5844272992476585</x:v>
      </x:c>
      <x:c r="K770" s="60" t="n">
        <x:v>485.31</x:v>
      </x:c>
      <x:c r="L770" s="60" t="n">
        <x:v>35.73</x:v>
      </x:c>
      <x:c r="M770" s="50" t="n">
        <x:v>21</x:v>
      </x:c>
      <x:c r="N770" s="50" t="n">
        <x:v>5</x:v>
      </x:c>
      <x:c r="O770" s="50" t="n">
        <x:v>57</x:v>
      </x:c>
      <x:c r="P770" s="50" t="n">
        <x:v>9</x:v>
      </x:c>
    </x:row>
    <x:row r="771" ht="36" customHeight="1">
      <x:c r="A771" s="53" t="n">
        <x:v>752</x:v>
      </x:c>
      <x:c r="B771" s="53" t="n">
        <x:v>1</x:v>
      </x:c>
      <x:c r="C771" s="40" t="str">
        <x:v>High-Value Frequent Shoppers</x:v>
      </x:c>
      <x:c r="D771" s="60" t="n">
        <x:v>3792.56</x:v>
      </x:c>
      <x:c r="E771" s="50" t="n">
        <x:v>106</x:v>
      </x:c>
      <x:c r="F771" s="46" t="n">
        <x:v>4.608695652173913</x:v>
      </x:c>
      <x:c r="G771" s="46" t="n">
        <x:v>2</x:v>
      </x:c>
      <x:c r="H771" s="61" t="n">
        <x:v>35.7788679245283</x:v>
      </x:c>
      <x:c r="I771" s="52" t="n">
        <x:v>0.9433962264150944</x:v>
      </x:c>
      <x:c r="J771" s="52" t="n">
        <x:v>0.5350264728837513</x:v>
      </x:c>
      <x:c r="K771" s="60" t="n">
        <x:v>3695.97</x:v>
      </x:c>
      <x:c r="L771" s="60" t="n">
        <x:v>96.59</x:v>
      </x:c>
      <x:c r="M771" s="50" t="n">
        <x:v>100</x:v>
      </x:c>
      <x:c r="N771" s="50" t="n">
        <x:v>6</x:v>
      </x:c>
      <x:c r="O771" s="50" t="n">
        <x:v>166</x:v>
      </x:c>
      <x:c r="P771" s="50" t="n">
        <x:v>23</x:v>
      </x:c>
    </x:row>
    <x:row r="772" ht="36" customHeight="1">
      <x:c r="A772" s="53" t="n">
        <x:v>753</x:v>
      </x:c>
      <x:c r="B772" s="53" t="n">
        <x:v>2</x:v>
      </x:c>
      <x:c r="C772" s="40" t="str">
        <x:v>Large-Basket Occasional Shoppers</x:v>
      </x:c>
      <x:c r="D772" s="60" t="n">
        <x:v>2177.13</x:v>
      </x:c>
      <x:c r="E772" s="50" t="n">
        <x:v>50</x:v>
      </x:c>
      <x:c r="F772" s="46" t="n">
        <x:v>2.631578947368421</x:v>
      </x:c>
      <x:c r="G772" s="46" t="n">
        <x:v>0</x:v>
      </x:c>
      <x:c r="H772" s="61" t="n">
        <x:v>43.5426</x:v>
      </x:c>
      <x:c r="I772" s="52" t="n">
        <x:v>0.88</x:v>
      </x:c>
      <x:c r="J772" s="52" t="n">
        <x:v>0.5777422570080794</x:v>
      </x:c>
      <x:c r="K772" s="60" t="n">
        <x:v>2076.62</x:v>
      </x:c>
      <x:c r="L772" s="60" t="n">
        <x:v>100.51</x:v>
      </x:c>
      <x:c r="M772" s="50" t="n">
        <x:v>44</x:v>
      </x:c>
      <x:c r="N772" s="50" t="n">
        <x:v>6</x:v>
      </x:c>
      <x:c r="O772" s="50" t="n">
        <x:v>142</x:v>
      </x:c>
      <x:c r="P772" s="50" t="n">
        <x:v>19</x:v>
      </x:c>
    </x:row>
    <x:row r="773" ht="36" customHeight="1">
      <x:c r="A773" s="53" t="n">
        <x:v>754</x:v>
      </x:c>
      <x:c r="B773" s="53" t="n">
        <x:v>2</x:v>
      </x:c>
      <x:c r="C773" s="40" t="str">
        <x:v>Large-Basket Occasional Shoppers</x:v>
      </x:c>
      <x:c r="D773" s="60" t="n">
        <x:v>1535.13</x:v>
      </x:c>
      <x:c r="E773" s="50" t="n">
        <x:v>32</x:v>
      </x:c>
      <x:c r="F773" s="46" t="n">
        <x:v>1.6</x:v>
      </x:c>
      <x:c r="G773" s="46" t="n">
        <x:v>12</x:v>
      </x:c>
      <x:c r="H773" s="61" t="n">
        <x:v>47.9728125</x:v>
      </x:c>
      <x:c r="I773" s="52" t="n">
        <x:v>0.90625</x:v>
      </x:c>
      <x:c r="J773" s="52" t="n">
        <x:v>0.1850266752652869</x:v>
      </x:c>
      <x:c r="K773" s="60" t="n">
        <x:v>1521.04</x:v>
      </x:c>
      <x:c r="L773" s="60" t="n">
        <x:v>14.09</x:v>
      </x:c>
      <x:c r="M773" s="50" t="n">
        <x:v>29</x:v>
      </x:c>
      <x:c r="N773" s="50" t="n">
        <x:v>3</x:v>
      </x:c>
      <x:c r="O773" s="50" t="n">
        <x:v>89</x:v>
      </x:c>
      <x:c r="P773" s="50" t="n">
        <x:v>20</x:v>
      </x:c>
    </x:row>
    <x:row r="774" ht="36" customHeight="1">
      <x:c r="A774" s="53" t="n">
        <x:v>755</x:v>
      </x:c>
      <x:c r="B774" s="53" t="n">
        <x:v>1</x:v>
      </x:c>
      <x:c r="C774" s="40" t="str">
        <x:v>High-Value Frequent Shoppers</x:v>
      </x:c>
      <x:c r="D774" s="60" t="n">
        <x:v>10617.05</x:v>
      </x:c>
      <x:c r="E774" s="50" t="n">
        <x:v>307</x:v>
      </x:c>
      <x:c r="F774" s="46" t="n">
        <x:v>13.34782608695652</x:v>
      </x:c>
      <x:c r="G774" s="46" t="n">
        <x:v>2</x:v>
      </x:c>
      <x:c r="H774" s="61" t="n">
        <x:v>34.58322475570032</x:v>
      </x:c>
      <x:c r="I774" s="52" t="n">
        <x:v>0.8566775244299674</x:v>
      </x:c>
      <x:c r="J774" s="52" t="n">
        <x:v>0.8577552144899006</x:v>
      </x:c>
      <x:c r="K774" s="60" t="n">
        <x:v>10215.71</x:v>
      </x:c>
      <x:c r="L774" s="60" t="n">
        <x:v>401.34</x:v>
      </x:c>
      <x:c r="M774" s="50" t="n">
        <x:v>263</x:v>
      </x:c>
      <x:c r="N774" s="50" t="n">
        <x:v>44</x:v>
      </x:c>
      <x:c r="O774" s="50" t="n">
        <x:v>147</x:v>
      </x:c>
      <x:c r="P774" s="50" t="n">
        <x:v>23</x:v>
      </x:c>
    </x:row>
    <x:row r="775" ht="36" customHeight="1">
      <x:c r="A775" s="53" t="n">
        <x:v>756</x:v>
      </x:c>
      <x:c r="B775" s="53" t="n">
        <x:v>3</x:v>
      </x:c>
      <x:c r="C775" s="40" t="str">
        <x:v>Low-Value Low-Engagement Shoppers</x:v>
      </x:c>
      <x:c r="D775" s="60" t="n">
        <x:v>690.42</x:v>
      </x:c>
      <x:c r="E775" s="50" t="n">
        <x:v>24</x:v>
      </x:c>
      <x:c r="F775" s="46" t="n">
        <x:v>1.7142857142857144</x:v>
      </x:c>
      <x:c r="G775" s="46" t="n">
        <x:v>70</x:v>
      </x:c>
      <x:c r="H775" s="61" t="n">
        <x:v>28.7675</x:v>
      </x:c>
      <x:c r="I775" s="52" t="n">
        <x:v>0.6666666666666666</x:v>
      </x:c>
      <x:c r="J775" s="52" t="n">
        <x:v>0.5351814837345383</x:v>
      </x:c>
      <x:c r="K775" s="60" t="n">
        <x:v>629.57</x:v>
      </x:c>
      <x:c r="L775" s="60" t="n">
        <x:v>60.85</x:v>
      </x:c>
      <x:c r="M775" s="50" t="n">
        <x:v>16</x:v>
      </x:c>
      <x:c r="N775" s="50" t="n">
        <x:v>8</x:v>
      </x:c>
      <x:c r="O775" s="50" t="n">
        <x:v>80</x:v>
      </x:c>
      <x:c r="P775" s="50" t="n">
        <x:v>14</x:v>
      </x:c>
    </x:row>
    <x:row r="776" ht="36" customHeight="1">
      <x:c r="A776" s="53" t="n">
        <x:v>757</x:v>
      </x:c>
      <x:c r="B776" s="53" t="n">
        <x:v>2</x:v>
      </x:c>
      <x:c r="C776" s="40" t="str">
        <x:v>Large-Basket Occasional Shoppers</x:v>
      </x:c>
      <x:c r="D776" s="60" t="n">
        <x:v>2023.37</x:v>
      </x:c>
      <x:c r="E776" s="50" t="n">
        <x:v>40</x:v>
      </x:c>
      <x:c r="F776" s="46" t="n">
        <x:v>2.352941176470588</x:v>
      </x:c>
      <x:c r="G776" s="46" t="n">
        <x:v>43</x:v>
      </x:c>
      <x:c r="H776" s="61" t="n">
        <x:v>50.58425</x:v>
      </x:c>
      <x:c r="I776" s="52" t="n">
        <x:v>0.975</x:v>
      </x:c>
      <x:c r="J776" s="52" t="n">
        <x:v>0.4672205281288147</x:v>
      </x:c>
      <x:c r="K776" s="60" t="n">
        <x:v>2016.07</x:v>
      </x:c>
      <x:c r="L776" s="60" t="n">
        <x:v>7.3</x:v>
      </x:c>
      <x:c r="M776" s="50" t="n">
        <x:v>39</x:v>
      </x:c>
      <x:c r="N776" s="50" t="n">
        <x:v>1</x:v>
      </x:c>
      <x:c r="O776" s="50" t="n">
        <x:v>123</x:v>
      </x:c>
      <x:c r="P776" s="50" t="n">
        <x:v>17</x:v>
      </x:c>
    </x:row>
    <x:row r="777" ht="36" customHeight="1">
      <x:c r="A777" s="53" t="n">
        <x:v>758</x:v>
      </x:c>
      <x:c r="B777" s="53" t="n">
        <x:v>3</x:v>
      </x:c>
      <x:c r="C777" s="40" t="str">
        <x:v>Low-Value Low-Engagement Shoppers</x:v>
      </x:c>
      <x:c r="D777" s="60" t="n">
        <x:v>344.92</x:v>
      </x:c>
      <x:c r="E777" s="50" t="n">
        <x:v>17</x:v>
      </x:c>
      <x:c r="F777" s="46" t="n">
        <x:v>1.4166666666666667</x:v>
      </x:c>
      <x:c r="G777" s="46" t="n">
        <x:v>24</x:v>
      </x:c>
      <x:c r="H777" s="61" t="n">
        <x:v>20.28941176470588</x:v>
      </x:c>
      <x:c r="I777" s="52" t="n">
        <x:v>0.9411764705882352</x:v>
      </x:c>
      <x:c r="J777" s="52" t="n">
        <x:v>0.5547663226255363</x:v>
      </x:c>
      <x:c r="K777" s="60" t="n">
        <x:v>338.93</x:v>
      </x:c>
      <x:c r="L777" s="60" t="n">
        <x:v>5.99</x:v>
      </x:c>
      <x:c r="M777" s="50" t="n">
        <x:v>16</x:v>
      </x:c>
      <x:c r="N777" s="50" t="n">
        <x:v>1</x:v>
      </x:c>
      <x:c r="O777" s="50" t="n">
        <x:v>50</x:v>
      </x:c>
      <x:c r="P777" s="50" t="n">
        <x:v>12</x:v>
      </x:c>
    </x:row>
    <x:row r="778" ht="36" customHeight="1">
      <x:c r="A778" s="53" t="n">
        <x:v>759</x:v>
      </x:c>
      <x:c r="B778" s="53" t="n">
        <x:v>3</x:v>
      </x:c>
      <x:c r="C778" s="40" t="str">
        <x:v>Low-Value Low-Engagement Shoppers</x:v>
      </x:c>
      <x:c r="D778" s="60" t="n">
        <x:v>1274.09</x:v>
      </x:c>
      <x:c r="E778" s="50" t="n">
        <x:v>41</x:v>
      </x:c>
      <x:c r="F778" s="46" t="n">
        <x:v>2.05</x:v>
      </x:c>
      <x:c r="G778" s="46" t="n">
        <x:v>6</x:v>
      </x:c>
      <x:c r="H778" s="61" t="n">
        <x:v>31.075365853658536</x:v>
      </x:c>
      <x:c r="I778" s="52" t="n">
        <x:v>0.6829268292682926</x:v>
      </x:c>
      <x:c r="J778" s="52" t="n">
        <x:v>0.2223390812266009</x:v>
      </x:c>
      <x:c r="K778" s="60" t="n">
        <x:v>1096.35</x:v>
      </x:c>
      <x:c r="L778" s="60" t="n">
        <x:v>177.74</x:v>
      </x:c>
      <x:c r="M778" s="50" t="n">
        <x:v>28</x:v>
      </x:c>
      <x:c r="N778" s="50" t="n">
        <x:v>13</x:v>
      </x:c>
      <x:c r="O778" s="50" t="n">
        <x:v>93</x:v>
      </x:c>
      <x:c r="P778" s="50" t="n">
        <x:v>20</x:v>
      </x:c>
    </x:row>
    <x:row r="779" ht="36" customHeight="1">
      <x:c r="A779" s="53" t="n">
        <x:v>760</x:v>
      </x:c>
      <x:c r="B779" s="53" t="n">
        <x:v>2</x:v>
      </x:c>
      <x:c r="C779" s="40" t="str">
        <x:v>Large-Basket Occasional Shoppers</x:v>
      </x:c>
      <x:c r="D779" s="60" t="n">
        <x:v>1872.52</x:v>
      </x:c>
      <x:c r="E779" s="50" t="n">
        <x:v>70</x:v>
      </x:c>
      <x:c r="F779" s="46" t="n">
        <x:v>3.888888888888889</x:v>
      </x:c>
      <x:c r="G779" s="46" t="n">
        <x:v>162</x:v>
      </x:c>
      <x:c r="H779" s="61" t="n">
        <x:v>26.75028571428572</x:v>
      </x:c>
      <x:c r="I779" s="52" t="n">
        <x:v>0.8714285714285714</x:v>
      </x:c>
      <x:c r="J779" s="52" t="n">
        <x:v>0.3749172238480763</x:v>
      </x:c>
      <x:c r="K779" s="60" t="n">
        <x:v>1683.69</x:v>
      </x:c>
      <x:c r="L779" s="60" t="n">
        <x:v>188.83</x:v>
      </x:c>
      <x:c r="M779" s="50" t="n">
        <x:v>61</x:v>
      </x:c>
      <x:c r="N779" s="50" t="n">
        <x:v>9</x:v>
      </x:c>
      <x:c r="O779" s="50" t="n">
        <x:v>86</x:v>
      </x:c>
      <x:c r="P779" s="50" t="n">
        <x:v>18</x:v>
      </x:c>
    </x:row>
    <x:row r="780" ht="36" customHeight="1">
      <x:c r="A780" s="53" t="n">
        <x:v>761</x:v>
      </x:c>
      <x:c r="B780" s="53" t="n">
        <x:v>1</x:v>
      </x:c>
      <x:c r="C780" s="40" t="str">
        <x:v>High-Value Frequent Shoppers</x:v>
      </x:c>
      <x:c r="D780" s="60" t="n">
        <x:v>9036.01</x:v>
      </x:c>
      <x:c r="E780" s="50" t="n">
        <x:v>178</x:v>
      </x:c>
      <x:c r="F780" s="46" t="n">
        <x:v>8.090909090909092</x:v>
      </x:c>
      <x:c r="G780" s="46" t="n">
        <x:v>0</x:v>
      </x:c>
      <x:c r="H780" s="61" t="n">
        <x:v>50.76410112359551</x:v>
      </x:c>
      <x:c r="I780" s="52" t="n">
        <x:v>0.8764044943820224</x:v>
      </x:c>
      <x:c r="J780" s="52" t="n">
        <x:v>0.6011912337414411</x:v>
      </x:c>
      <x:c r="K780" s="60" t="n">
        <x:v>8593.07</x:v>
      </x:c>
      <x:c r="L780" s="60" t="n">
        <x:v>442.94</x:v>
      </x:c>
      <x:c r="M780" s="50" t="n">
        <x:v>156</x:v>
      </x:c>
      <x:c r="N780" s="50" t="n">
        <x:v>22</x:v>
      </x:c>
      <x:c r="O780" s="50" t="n">
        <x:v>195</x:v>
      </x:c>
      <x:c r="P780" s="50" t="n">
        <x:v>22</x:v>
      </x:c>
    </x:row>
    <x:row r="781" ht="36" customHeight="1">
      <x:c r="A781" s="53" t="n">
        <x:v>762</x:v>
      </x:c>
      <x:c r="B781" s="53" t="n">
        <x:v>1</x:v>
      </x:c>
      <x:c r="C781" s="40" t="str">
        <x:v>High-Value Frequent Shoppers</x:v>
      </x:c>
      <x:c r="D781" s="60" t="n">
        <x:v>8982.79</x:v>
      </x:c>
      <x:c r="E781" s="50" t="n">
        <x:v>886</x:v>
      </x:c>
      <x:c r="F781" s="46" t="n">
        <x:v>40.27272727272727</x:v>
      </x:c>
      <x:c r="G781" s="46" t="n">
        <x:v>0</x:v>
      </x:c>
      <x:c r="H781" s="61" t="n">
        <x:v>10.138589164785552</x:v>
      </x:c>
      <x:c r="I781" s="52" t="n">
        <x:v>0.6681715575620767</x:v>
      </x:c>
      <x:c r="J781" s="52" t="n">
        <x:v>0.5672213198794583</x:v>
      </x:c>
      <x:c r="K781" s="60" t="n">
        <x:v>7546.75</x:v>
      </x:c>
      <x:c r="L781" s="60" t="n">
        <x:v>1436.04</x:v>
      </x:c>
      <x:c r="M781" s="50" t="n">
        <x:v>592</x:v>
      </x:c>
      <x:c r="N781" s="50" t="n">
        <x:v>294</x:v>
      </x:c>
      <x:c r="O781" s="50" t="n">
        <x:v>212</x:v>
      </x:c>
      <x:c r="P781" s="50" t="n">
        <x:v>22</x:v>
      </x:c>
    </x:row>
    <x:row r="782" ht="36" customHeight="1">
      <x:c r="A782" s="53" t="n">
        <x:v>763</x:v>
      </x:c>
      <x:c r="B782" s="53" t="n">
        <x:v>2</x:v>
      </x:c>
      <x:c r="C782" s="40" t="str">
        <x:v>Large-Basket Occasional Shoppers</x:v>
      </x:c>
      <x:c r="D782" s="60" t="n">
        <x:v>2815.58</x:v>
      </x:c>
      <x:c r="E782" s="50" t="n">
        <x:v>40</x:v>
      </x:c>
      <x:c r="F782" s="46" t="n">
        <x:v>2.352941176470588</x:v>
      </x:c>
      <x:c r="G782" s="46" t="n">
        <x:v>92</x:v>
      </x:c>
      <x:c r="H782" s="61" t="n">
        <x:v>70.3895</x:v>
      </x:c>
      <x:c r="I782" s="52" t="n">
        <x:v>1</x:v>
      </x:c>
      <x:c r="J782" s="52" t="n">
        <x:v>0.4508698030245988</x:v>
      </x:c>
      <x:c r="K782" s="60" t="n">
        <x:v>2815.58</x:v>
      </x:c>
      <x:c r="L782" s="60" t="n">
        <x:v>0</x:v>
      </x:c>
      <x:c r="M782" s="50" t="n">
        <x:v>40</x:v>
      </x:c>
      <x:c r="N782" s="50" t="n">
        <x:v>0</x:v>
      </x:c>
      <x:c r="O782" s="50" t="n">
        <x:v>95</x:v>
      </x:c>
      <x:c r="P782" s="50" t="n">
        <x:v>17</x:v>
      </x:c>
    </x:row>
    <x:row r="783" ht="36" customHeight="1">
      <x:c r="A783" s="53" t="n">
        <x:v>764</x:v>
      </x:c>
      <x:c r="B783" s="53" t="n">
        <x:v>1</x:v>
      </x:c>
      <x:c r="C783" s="40" t="str">
        <x:v>High-Value Frequent Shoppers</x:v>
      </x:c>
      <x:c r="D783" s="60" t="n">
        <x:v>3196.78</x:v>
      </x:c>
      <x:c r="E783" s="50" t="n">
        <x:v>112</x:v>
      </x:c>
      <x:c r="F783" s="46" t="n">
        <x:v>5.894736842105263</x:v>
      </x:c>
      <x:c r="G783" s="46" t="n">
        <x:v>8</x:v>
      </x:c>
      <x:c r="H783" s="61" t="n">
        <x:v>28.542678571428567</x:v>
      </x:c>
      <x:c r="I783" s="52" t="n">
        <x:v>0.9375</x:v>
      </x:c>
      <x:c r="J783" s="52" t="n">
        <x:v>0.6064446098887005</x:v>
      </x:c>
      <x:c r="K783" s="60" t="n">
        <x:v>3120.23</x:v>
      </x:c>
      <x:c r="L783" s="60" t="n">
        <x:v>76.55</x:v>
      </x:c>
      <x:c r="M783" s="50" t="n">
        <x:v>105</x:v>
      </x:c>
      <x:c r="N783" s="50" t="n">
        <x:v>7</x:v>
      </x:c>
      <x:c r="O783" s="50" t="n">
        <x:v>171</x:v>
      </x:c>
      <x:c r="P783" s="50" t="n">
        <x:v>19</x:v>
      </x:c>
    </x:row>
    <x:row r="784" ht="36" customHeight="1">
      <x:c r="A784" s="53" t="n">
        <x:v>765</x:v>
      </x:c>
      <x:c r="B784" s="53" t="n">
        <x:v>2</x:v>
      </x:c>
      <x:c r="C784" s="40" t="str">
        <x:v>Large-Basket Occasional Shoppers</x:v>
      </x:c>
      <x:c r="D784" s="60" t="n">
        <x:v>1586.58</x:v>
      </x:c>
      <x:c r="E784" s="50" t="n">
        <x:v>30</x:v>
      </x:c>
      <x:c r="F784" s="46" t="n">
        <x:v>1.5789473684210529</x:v>
      </x:c>
      <x:c r="G784" s="46" t="n">
        <x:v>1</x:v>
      </x:c>
      <x:c r="H784" s="61" t="n">
        <x:v>52.886</x:v>
      </x:c>
      <x:c r="I784" s="52" t="n">
        <x:v>0.9333333333333332</x:v>
      </x:c>
      <x:c r="J784" s="52" t="n">
        <x:v>0.5799959661662191</x:v>
      </x:c>
      <x:c r="K784" s="60" t="n">
        <x:v>1548.11</x:v>
      </x:c>
      <x:c r="L784" s="60" t="n">
        <x:v>38.47</x:v>
      </x:c>
      <x:c r="M784" s="50" t="n">
        <x:v>28</x:v>
      </x:c>
      <x:c r="N784" s="50" t="n">
        <x:v>2</x:v>
      </x:c>
      <x:c r="O784" s="50" t="n">
        <x:v>95</x:v>
      </x:c>
      <x:c r="P784" s="50" t="n">
        <x:v>19</x:v>
      </x:c>
    </x:row>
    <x:row r="785" ht="36" customHeight="1">
      <x:c r="A785" s="53" t="n">
        <x:v>766</x:v>
      </x:c>
      <x:c r="B785" s="53" t="n">
        <x:v>1</x:v>
      </x:c>
      <x:c r="C785" s="40" t="str">
        <x:v>High-Value Frequent Shoppers</x:v>
      </x:c>
      <x:c r="D785" s="60" t="n">
        <x:v>8350.09</x:v>
      </x:c>
      <x:c r="E785" s="50" t="n">
        <x:v>122</x:v>
      </x:c>
      <x:c r="F785" s="46" t="n">
        <x:v>5.809523809523809</x:v>
      </x:c>
      <x:c r="G785" s="46" t="n">
        <x:v>10</x:v>
      </x:c>
      <x:c r="H785" s="61" t="n">
        <x:v>68.44336065573769</x:v>
      </x:c>
      <x:c r="I785" s="52" t="n">
        <x:v>0.8442622950819672</x:v>
      </x:c>
      <x:c r="J785" s="52" t="n">
        <x:v>0.4961215986893554</x:v>
      </x:c>
      <x:c r="K785" s="60" t="n">
        <x:v>8276.53</x:v>
      </x:c>
      <x:c r="L785" s="60" t="n">
        <x:v>73.56</x:v>
      </x:c>
      <x:c r="M785" s="50" t="n">
        <x:v>103</x:v>
      </x:c>
      <x:c r="N785" s="50" t="n">
        <x:v>19</x:v>
      </x:c>
      <x:c r="O785" s="50" t="n">
        <x:v>186</x:v>
      </x:c>
      <x:c r="P785" s="50" t="n">
        <x:v>21</x:v>
      </x:c>
    </x:row>
    <x:row r="786" ht="36" customHeight="1">
      <x:c r="A786" s="53" t="n">
        <x:v>767</x:v>
      </x:c>
      <x:c r="B786" s="53" t="n">
        <x:v>2</x:v>
      </x:c>
      <x:c r="C786" s="40" t="str">
        <x:v>Large-Basket Occasional Shoppers</x:v>
      </x:c>
      <x:c r="D786" s="60" t="n">
        <x:v>562.77</x:v>
      </x:c>
      <x:c r="E786" s="50" t="n">
        <x:v>13</x:v>
      </x:c>
      <x:c r="F786" s="46" t="n">
        <x:v>1.3</x:v>
      </x:c>
      <x:c r="G786" s="46" t="n">
        <x:v>32</x:v>
      </x:c>
      <x:c r="H786" s="61" t="n">
        <x:v>43.29</x:v>
      </x:c>
      <x:c r="I786" s="52" t="n">
        <x:v>1</x:v>
      </x:c>
      <x:c r="J786" s="52" t="n">
        <x:v>0.5740178047870355</x:v>
      </x:c>
      <x:c r="K786" s="60" t="n">
        <x:v>562.77</x:v>
      </x:c>
      <x:c r="L786" s="60" t="n">
        <x:v>0</x:v>
      </x:c>
      <x:c r="M786" s="50" t="n">
        <x:v>13</x:v>
      </x:c>
      <x:c r="N786" s="50" t="n">
        <x:v>0</x:v>
      </x:c>
      <x:c r="O786" s="50" t="n">
        <x:v>78</x:v>
      </x:c>
      <x:c r="P786" s="50" t="n">
        <x:v>10</x:v>
      </x:c>
    </x:row>
    <x:row r="787" ht="36" customHeight="1">
      <x:c r="A787" s="53" t="n">
        <x:v>768</x:v>
      </x:c>
      <x:c r="B787" s="53" t="n">
        <x:v>1</x:v>
      </x:c>
      <x:c r="C787" s="40" t="str">
        <x:v>High-Value Frequent Shoppers</x:v>
      </x:c>
      <x:c r="D787" s="60" t="n">
        <x:v>6681.34</x:v>
      </x:c>
      <x:c r="E787" s="50" t="n">
        <x:v>464</x:v>
      </x:c>
      <x:c r="F787" s="46" t="n">
        <x:v>22.09523809523809</x:v>
      </x:c>
      <x:c r="G787" s="46" t="n">
        <x:v>1</x:v>
      </x:c>
      <x:c r="H787" s="61" t="n">
        <x:v>14.399439655172412</x:v>
      </x:c>
      <x:c r="I787" s="52" t="n">
        <x:v>0.853448275862069</x:v>
      </x:c>
      <x:c r="J787" s="52" t="n">
        <x:v>0.6410959478188507</x:v>
      </x:c>
      <x:c r="K787" s="60" t="n">
        <x:v>6380</x:v>
      </x:c>
      <x:c r="L787" s="60" t="n">
        <x:v>301.34</x:v>
      </x:c>
      <x:c r="M787" s="50" t="n">
        <x:v>396</x:v>
      </x:c>
      <x:c r="N787" s="50" t="n">
        <x:v>68</x:v>
      </x:c>
      <x:c r="O787" s="50" t="n">
        <x:v>171</x:v>
      </x:c>
      <x:c r="P787" s="50" t="n">
        <x:v>21</x:v>
      </x:c>
    </x:row>
    <x:row r="788" ht="36" customHeight="1">
      <x:c r="A788" s="53" t="n">
        <x:v>769</x:v>
      </x:c>
      <x:c r="B788" s="53" t="n">
        <x:v>2</x:v>
      </x:c>
      <x:c r="C788" s="40" t="str">
        <x:v>Large-Basket Occasional Shoppers</x:v>
      </x:c>
      <x:c r="D788" s="60" t="n">
        <x:v>1543.63</x:v>
      </x:c>
      <x:c r="E788" s="50" t="n">
        <x:v>46</x:v>
      </x:c>
      <x:c r="F788" s="46" t="n">
        <x:v>2.421052631578948</x:v>
      </x:c>
      <x:c r="G788" s="46" t="n">
        <x:v>6</x:v>
      </x:c>
      <x:c r="H788" s="61" t="n">
        <x:v>33.55717391304348</x:v>
      </x:c>
      <x:c r="I788" s="52" t="n">
        <x:v>0.8043478260869565</x:v>
      </x:c>
      <x:c r="J788" s="52" t="n">
        <x:v>0.5073236462105556</x:v>
      </x:c>
      <x:c r="K788" s="60" t="n">
        <x:v>1399.11</x:v>
      </x:c>
      <x:c r="L788" s="60" t="n">
        <x:v>144.52</x:v>
      </x:c>
      <x:c r="M788" s="50" t="n">
        <x:v>37</x:v>
      </x:c>
      <x:c r="N788" s="50" t="n">
        <x:v>9</x:v>
      </x:c>
      <x:c r="O788" s="50" t="n">
        <x:v>123</x:v>
      </x:c>
      <x:c r="P788" s="50" t="n">
        <x:v>19</x:v>
      </x:c>
    </x:row>
    <x:row r="789" ht="36" customHeight="1">
      <x:c r="A789" s="53" t="n">
        <x:v>770</x:v>
      </x:c>
      <x:c r="B789" s="53" t="n">
        <x:v>2</x:v>
      </x:c>
      <x:c r="C789" s="40" t="str">
        <x:v>Large-Basket Occasional Shoppers</x:v>
      </x:c>
      <x:c r="D789" s="60" t="n">
        <x:v>2246.36</x:v>
      </x:c>
      <x:c r="E789" s="50" t="n">
        <x:v>43</x:v>
      </x:c>
      <x:c r="F789" s="46" t="n">
        <x:v>2.6875</x:v>
      </x:c>
      <x:c r="G789" s="46" t="n">
        <x:v>13</x:v>
      </x:c>
      <x:c r="H789" s="61" t="n">
        <x:v>52.240930232558135</x:v>
      </x:c>
      <x:c r="I789" s="52" t="n">
        <x:v>0.9302325581395348</x:v>
      </x:c>
      <x:c r="J789" s="52" t="n">
        <x:v>0.7120452643387524</x:v>
      </x:c>
      <x:c r="K789" s="60" t="n">
        <x:v>2219.07</x:v>
      </x:c>
      <x:c r="L789" s="60" t="n">
        <x:v>27.29</x:v>
      </x:c>
      <x:c r="M789" s="50" t="n">
        <x:v>40</x:v>
      </x:c>
      <x:c r="N789" s="50" t="n">
        <x:v>3</x:v>
      </x:c>
      <x:c r="O789" s="50" t="n">
        <x:v>120</x:v>
      </x:c>
      <x:c r="P789" s="50" t="n">
        <x:v>16</x:v>
      </x:c>
    </x:row>
    <x:row r="790" ht="36" customHeight="1">
      <x:c r="A790" s="53" t="n">
        <x:v>771</x:v>
      </x:c>
      <x:c r="B790" s="53" t="n">
        <x:v>1</x:v>
      </x:c>
      <x:c r="C790" s="40" t="str">
        <x:v>High-Value Frequent Shoppers</x:v>
      </x:c>
      <x:c r="D790" s="60" t="n">
        <x:v>7990.97</x:v>
      </x:c>
      <x:c r="E790" s="50" t="n">
        <x:v>496</x:v>
      </x:c>
      <x:c r="F790" s="46" t="n">
        <x:v>23.619047619047617</x:v>
      </x:c>
      <x:c r="G790" s="46" t="n">
        <x:v>0</x:v>
      </x:c>
      <x:c r="H790" s="61" t="n">
        <x:v>16.110826612903224</x:v>
      </x:c>
      <x:c r="I790" s="52" t="n">
        <x:v>0.875</x:v>
      </x:c>
      <x:c r="J790" s="52" t="n">
        <x:v>0.5265017888942143</x:v>
      </x:c>
      <x:c r="K790" s="60" t="n">
        <x:v>7646.61</x:v>
      </x:c>
      <x:c r="L790" s="60" t="n">
        <x:v>344.36</x:v>
      </x:c>
      <x:c r="M790" s="50" t="n">
        <x:v>434</x:v>
      </x:c>
      <x:c r="N790" s="50" t="n">
        <x:v>62</x:v>
      </x:c>
      <x:c r="O790" s="50" t="n">
        <x:v>206</x:v>
      </x:c>
      <x:c r="P790" s="50" t="n">
        <x:v>21</x:v>
      </x:c>
    </x:row>
    <x:row r="791" ht="36" customHeight="1">
      <x:c r="A791" s="53" t="n">
        <x:v>772</x:v>
      </x:c>
      <x:c r="B791" s="53" t="n">
        <x:v>3</x:v>
      </x:c>
      <x:c r="C791" s="40" t="str">
        <x:v>Low-Value Low-Engagement Shoppers</x:v>
      </x:c>
      <x:c r="D791" s="60" t="n">
        <x:v>271.88</x:v>
      </x:c>
      <x:c r="E791" s="50" t="n">
        <x:v>42</x:v>
      </x:c>
      <x:c r="F791" s="46" t="n">
        <x:v>2.210526315789473</x:v>
      </x:c>
      <x:c r="G791" s="46" t="n">
        <x:v>25</x:v>
      </x:c>
      <x:c r="H791" s="61" t="n">
        <x:v>6.473333333333333</x:v>
      </x:c>
      <x:c r="I791" s="52" t="n">
        <x:v>0.976190476190476</x:v>
      </x:c>
      <x:c r="J791" s="52" t="n">
        <x:v>0.4289760188318375</x:v>
      </x:c>
      <x:c r="K791" s="60" t="n">
        <x:v>267.09</x:v>
      </x:c>
      <x:c r="L791" s="60" t="n">
        <x:v>4.79</x:v>
      </x:c>
      <x:c r="M791" s="50" t="n">
        <x:v>41</x:v>
      </x:c>
      <x:c r="N791" s="50" t="n">
        <x:v>1</x:v>
      </x:c>
      <x:c r="O791" s="50" t="n">
        <x:v>34</x:v>
      </x:c>
      <x:c r="P791" s="50" t="n">
        <x:v>19</x:v>
      </x:c>
    </x:row>
    <x:row r="792" ht="36" customHeight="1">
      <x:c r="A792" s="53" t="n">
        <x:v>773</x:v>
      </x:c>
      <x:c r="B792" s="53" t="n">
        <x:v>2</x:v>
      </x:c>
      <x:c r="C792" s="40" t="str">
        <x:v>Large-Basket Occasional Shoppers</x:v>
      </x:c>
      <x:c r="D792" s="60" t="n">
        <x:v>899.63</x:v>
      </x:c>
      <x:c r="E792" s="50" t="n">
        <x:v>22</x:v>
      </x:c>
      <x:c r="F792" s="46" t="n">
        <x:v>2</x:v>
      </x:c>
      <x:c r="G792" s="46" t="n">
        <x:v>8</x:v>
      </x:c>
      <x:c r="H792" s="61" t="n">
        <x:v>40.892272727272726</x:v>
      </x:c>
      <x:c r="I792" s="52" t="n">
        <x:v>1</x:v>
      </x:c>
      <x:c r="J792" s="52" t="n">
        <x:v>0.3511443593477318</x:v>
      </x:c>
      <x:c r="K792" s="60" t="n">
        <x:v>899.63</x:v>
      </x:c>
      <x:c r="L792" s="60" t="n">
        <x:v>0</x:v>
      </x:c>
      <x:c r="M792" s="50" t="n">
        <x:v>22</x:v>
      </x:c>
      <x:c r="N792" s="50" t="n">
        <x:v>0</x:v>
      </x:c>
      <x:c r="O792" s="50" t="n">
        <x:v>91</x:v>
      </x:c>
      <x:c r="P792" s="50" t="n">
        <x:v>11</x:v>
      </x:c>
    </x:row>
    <x:row r="793" ht="36" customHeight="1">
      <x:c r="A793" s="53" t="n">
        <x:v>774</x:v>
      </x:c>
      <x:c r="B793" s="53" t="n">
        <x:v>2</x:v>
      </x:c>
      <x:c r="C793" s="40" t="str">
        <x:v>Large-Basket Occasional Shoppers</x:v>
      </x:c>
      <x:c r="D793" s="60" t="n">
        <x:v>909.96</x:v>
      </x:c>
      <x:c r="E793" s="50" t="n">
        <x:v>16</x:v>
      </x:c>
      <x:c r="F793" s="46" t="n">
        <x:v>1.4545454545454544</x:v>
      </x:c>
      <x:c r="G793" s="46" t="n">
        <x:v>55</x:v>
      </x:c>
      <x:c r="H793" s="61" t="n">
        <x:v>56.8725</x:v>
      </x:c>
      <x:c r="I793" s="52" t="n">
        <x:v>0.8125</x:v>
      </x:c>
      <x:c r="J793" s="52" t="n">
        <x:v>0.502011077409996</x:v>
      </x:c>
      <x:c r="K793" s="60" t="n">
        <x:v>812.11</x:v>
      </x:c>
      <x:c r="L793" s="60" t="n">
        <x:v>97.85</x:v>
      </x:c>
      <x:c r="M793" s="50" t="n">
        <x:v>13</x:v>
      </x:c>
      <x:c r="N793" s="50" t="n">
        <x:v>3</x:v>
      </x:c>
      <x:c r="O793" s="50" t="n">
        <x:v>86</x:v>
      </x:c>
      <x:c r="P793" s="50" t="n">
        <x:v>11</x:v>
      </x:c>
    </x:row>
    <x:row r="794" ht="36" customHeight="1">
      <x:c r="A794" s="53" t="n">
        <x:v>775</x:v>
      </x:c>
      <x:c r="B794" s="53" t="n">
        <x:v>3</x:v>
      </x:c>
      <x:c r="C794" s="40" t="str">
        <x:v>Low-Value Low-Engagement Shoppers</x:v>
      </x:c>
      <x:c r="D794" s="60" t="n">
        <x:v>1121</x:v>
      </x:c>
      <x:c r="E794" s="50" t="n">
        <x:v>33</x:v>
      </x:c>
      <x:c r="F794" s="46" t="n">
        <x:v>2.3571428571428568</x:v>
      </x:c>
      <x:c r="G794" s="46" t="n">
        <x:v>197</x:v>
      </x:c>
      <x:c r="H794" s="61" t="n">
        <x:v>33.96969696969697</x:v>
      </x:c>
      <x:c r="I794" s="52" t="n">
        <x:v>0.6969696969696969</x:v>
      </x:c>
      <x:c r="J794" s="52" t="n">
        <x:v>0.4038090990187332</x:v>
      </x:c>
      <x:c r="K794" s="60" t="n">
        <x:v>948.05</x:v>
      </x:c>
      <x:c r="L794" s="60" t="n">
        <x:v>172.95</x:v>
      </x:c>
      <x:c r="M794" s="50" t="n">
        <x:v>23</x:v>
      </x:c>
      <x:c r="N794" s="50" t="n">
        <x:v>10</x:v>
      </x:c>
      <x:c r="O794" s="50" t="n">
        <x:v>104</x:v>
      </x:c>
      <x:c r="P794" s="50" t="n">
        <x:v>14</x:v>
      </x:c>
    </x:row>
    <x:row r="795" ht="36" customHeight="1">
      <x:c r="A795" s="53" t="n">
        <x:v>776</x:v>
      </x:c>
      <x:c r="B795" s="53" t="n">
        <x:v>2</x:v>
      </x:c>
      <x:c r="C795" s="40" t="str">
        <x:v>Large-Basket Occasional Shoppers</x:v>
      </x:c>
      <x:c r="D795" s="60" t="n">
        <x:v>3153.7</x:v>
      </x:c>
      <x:c r="E795" s="50" t="n">
        <x:v>72</x:v>
      </x:c>
      <x:c r="F795" s="46" t="n">
        <x:v>3.428571428571429</x:v>
      </x:c>
      <x:c r="G795" s="46" t="n">
        <x:v>5</x:v>
      </x:c>
      <x:c r="H795" s="61" t="n">
        <x:v>43.80138888888889</x:v>
      </x:c>
      <x:c r="I795" s="52" t="n">
        <x:v>0.861111111111111</x:v>
      </x:c>
      <x:c r="J795" s="52" t="n">
        <x:v>0.5784411960554269</x:v>
      </x:c>
      <x:c r="K795" s="60" t="n">
        <x:v>2997.32</x:v>
      </x:c>
      <x:c r="L795" s="60" t="n">
        <x:v>156.38</x:v>
      </x:c>
      <x:c r="M795" s="50" t="n">
        <x:v>62</x:v>
      </x:c>
      <x:c r="N795" s="50" t="n">
        <x:v>10</x:v>
      </x:c>
      <x:c r="O795" s="50" t="n">
        <x:v>116</x:v>
      </x:c>
      <x:c r="P795" s="50" t="n">
        <x:v>21</x:v>
      </x:c>
    </x:row>
    <x:row r="796" ht="36" customHeight="1">
      <x:c r="A796" s="53" t="n">
        <x:v>777</x:v>
      </x:c>
      <x:c r="B796" s="53" t="n">
        <x:v>2</x:v>
      </x:c>
      <x:c r="C796" s="40" t="str">
        <x:v>Large-Basket Occasional Shoppers</x:v>
      </x:c>
      <x:c r="D796" s="60" t="n">
        <x:v>2745.75</x:v>
      </x:c>
      <x:c r="E796" s="50" t="n">
        <x:v>40</x:v>
      </x:c>
      <x:c r="F796" s="46" t="n">
        <x:v>4.444444444444445</x:v>
      </x:c>
      <x:c r="G796" s="46" t="n">
        <x:v>1</x:v>
      </x:c>
      <x:c r="H796" s="61" t="n">
        <x:v>68.64375</x:v>
      </x:c>
      <x:c r="I796" s="52" t="n">
        <x:v>0.975</x:v>
      </x:c>
      <x:c r="J796" s="52" t="n">
        <x:v>0.6860347810252208</x:v>
      </x:c>
      <x:c r="K796" s="60" t="n">
        <x:v>2735.38</x:v>
      </x:c>
      <x:c r="L796" s="60" t="n">
        <x:v>10.37</x:v>
      </x:c>
      <x:c r="M796" s="50" t="n">
        <x:v>39</x:v>
      </x:c>
      <x:c r="N796" s="50" t="n">
        <x:v>1</x:v>
      </x:c>
      <x:c r="O796" s="50" t="n">
        <x:v>131</x:v>
      </x:c>
      <x:c r="P796" s="50" t="n">
        <x:v>9</x:v>
      </x:c>
    </x:row>
    <x:row r="797" ht="36" customHeight="1">
      <x:c r="A797" s="53" t="n">
        <x:v>778</x:v>
      </x:c>
      <x:c r="B797" s="53" t="n">
        <x:v>2</x:v>
      </x:c>
      <x:c r="C797" s="40" t="str">
        <x:v>Large-Basket Occasional Shoppers</x:v>
      </x:c>
      <x:c r="D797" s="60" t="n">
        <x:v>2285.59</x:v>
      </x:c>
      <x:c r="E797" s="50" t="n">
        <x:v>122</x:v>
      </x:c>
      <x:c r="F797" s="46" t="n">
        <x:v>6.777777777777778</x:v>
      </x:c>
      <x:c r="G797" s="46" t="n">
        <x:v>101</x:v>
      </x:c>
      <x:c r="H797" s="61" t="n">
        <x:v>18.73434426229508</x:v>
      </x:c>
      <x:c r="I797" s="52" t="n">
        <x:v>0.860655737704918</x:v>
      </x:c>
      <x:c r="J797" s="52" t="n">
        <x:v>0.649018415376336</x:v>
      </x:c>
      <x:c r="K797" s="60" t="n">
        <x:v>2139.26</x:v>
      </x:c>
      <x:c r="L797" s="60" t="n">
        <x:v>146.33</x:v>
      </x:c>
      <x:c r="M797" s="50" t="n">
        <x:v>105</x:v>
      </x:c>
      <x:c r="N797" s="50" t="n">
        <x:v>17</x:v>
      </x:c>
      <x:c r="O797" s="50" t="n">
        <x:v>95</x:v>
      </x:c>
      <x:c r="P797" s="50" t="n">
        <x:v>18</x:v>
      </x:c>
    </x:row>
    <x:row r="798" ht="36" customHeight="1">
      <x:c r="A798" s="53" t="n">
        <x:v>779</x:v>
      </x:c>
      <x:c r="B798" s="53" t="n">
        <x:v>1</x:v>
      </x:c>
      <x:c r="C798" s="40" t="str">
        <x:v>High-Value Frequent Shoppers</x:v>
      </x:c>
      <x:c r="D798" s="60" t="n">
        <x:v>3918.28</x:v>
      </x:c>
      <x:c r="E798" s="50" t="n">
        <x:v>86</x:v>
      </x:c>
      <x:c r="F798" s="46" t="n">
        <x:v>4.3</x:v>
      </x:c>
      <x:c r="G798" s="46" t="n">
        <x:v>1</x:v>
      </x:c>
      <x:c r="H798" s="61" t="n">
        <x:v>45.56139534883721</x:v>
      </x:c>
      <x:c r="I798" s="52" t="n">
        <x:v>0.7674418604651162</x:v>
      </x:c>
      <x:c r="J798" s="52" t="n">
        <x:v>0.3456133813816266</x:v>
      </x:c>
      <x:c r="K798" s="60" t="n">
        <x:v>3450.78</x:v>
      </x:c>
      <x:c r="L798" s="60" t="n">
        <x:v>467.5</x:v>
      </x:c>
      <x:c r="M798" s="50" t="n">
        <x:v>66</x:v>
      </x:c>
      <x:c r="N798" s="50" t="n">
        <x:v>20</x:v>
      </x:c>
      <x:c r="O798" s="50" t="n">
        <x:v>153</x:v>
      </x:c>
      <x:c r="P798" s="50" t="n">
        <x:v>20</x:v>
      </x:c>
    </x:row>
    <x:row r="799" ht="36" customHeight="1">
      <x:c r="A799" s="53" t="n">
        <x:v>780</x:v>
      </x:c>
      <x:c r="B799" s="53" t="n">
        <x:v>3</x:v>
      </x:c>
      <x:c r="C799" s="40" t="str">
        <x:v>Low-Value Low-Engagement Shoppers</x:v>
      </x:c>
      <x:c r="D799" s="60" t="n">
        <x:v>579.72</x:v>
      </x:c>
      <x:c r="E799" s="50" t="n">
        <x:v>67</x:v>
      </x:c>
      <x:c r="F799" s="46" t="n">
        <x:v>4.466666666666667</x:v>
      </x:c>
      <x:c r="G799" s="46" t="n">
        <x:v>6</x:v>
      </x:c>
      <x:c r="H799" s="61" t="n">
        <x:v>8.652537313432836</x:v>
      </x:c>
      <x:c r="I799" s="52" t="n">
        <x:v>0.7761194029850746</x:v>
      </x:c>
      <x:c r="J799" s="52" t="n">
        <x:v>0.5062616435520596</x:v>
      </x:c>
      <x:c r="K799" s="60" t="n">
        <x:v>505.4</x:v>
      </x:c>
      <x:c r="L799" s="60" t="n">
        <x:v>74.32</x:v>
      </x:c>
      <x:c r="M799" s="50" t="n">
        <x:v>52</x:v>
      </x:c>
      <x:c r="N799" s="50" t="n">
        <x:v>15</x:v>
      </x:c>
      <x:c r="O799" s="50" t="n">
        <x:v>66</x:v>
      </x:c>
      <x:c r="P799" s="50" t="n">
        <x:v>15</x:v>
      </x:c>
    </x:row>
    <x:row r="800" ht="36" customHeight="1">
      <x:c r="A800" s="53" t="n">
        <x:v>781</x:v>
      </x:c>
      <x:c r="B800" s="53" t="n">
        <x:v>2</x:v>
      </x:c>
      <x:c r="C800" s="40" t="str">
        <x:v>Large-Basket Occasional Shoppers</x:v>
      </x:c>
      <x:c r="D800" s="60" t="n">
        <x:v>1665.51</x:v>
      </x:c>
      <x:c r="E800" s="50" t="n">
        <x:v>57</x:v>
      </x:c>
      <x:c r="F800" s="46" t="n">
        <x:v>2.85</x:v>
      </x:c>
      <x:c r="G800" s="46" t="n">
        <x:v>6</x:v>
      </x:c>
      <x:c r="H800" s="61" t="n">
        <x:v>29.219473684210527</x:v>
      </x:c>
      <x:c r="I800" s="52" t="n">
        <x:v>0.8771929824561403</x:v>
      </x:c>
      <x:c r="J800" s="52" t="n">
        <x:v>0.6437727783081458</x:v>
      </x:c>
      <x:c r="K800" s="60" t="n">
        <x:v>1561.86</x:v>
      </x:c>
      <x:c r="L800" s="60" t="n">
        <x:v>103.65</x:v>
      </x:c>
      <x:c r="M800" s="50" t="n">
        <x:v>50</x:v>
      </x:c>
      <x:c r="N800" s="50" t="n">
        <x:v>7</x:v>
      </x:c>
      <x:c r="O800" s="50" t="n">
        <x:v>95</x:v>
      </x:c>
      <x:c r="P800" s="50" t="n">
        <x:v>20</x:v>
      </x:c>
    </x:row>
    <x:row r="801" ht="36" customHeight="1">
      <x:c r="A801" s="53" t="n">
        <x:v>782</x:v>
      </x:c>
      <x:c r="B801" s="53" t="n">
        <x:v>3</x:v>
      </x:c>
      <x:c r="C801" s="40" t="str">
        <x:v>Low-Value Low-Engagement Shoppers</x:v>
      </x:c>
      <x:c r="D801" s="60" t="n">
        <x:v>1557.05</x:v>
      </x:c>
      <x:c r="E801" s="50" t="n">
        <x:v>70</x:v>
      </x:c>
      <x:c r="F801" s="46" t="n">
        <x:v>3.684210526315789</x:v>
      </x:c>
      <x:c r="G801" s="46" t="n">
        <x:v>48</x:v>
      </x:c>
      <x:c r="H801" s="61" t="n">
        <x:v>22.24357142857143</x:v>
      </x:c>
      <x:c r="I801" s="52" t="n">
        <x:v>0.7142857142857142</x:v>
      </x:c>
      <x:c r="J801" s="52" t="n">
        <x:v>0.5560836196653928</x:v>
      </x:c>
      <x:c r="K801" s="60" t="n">
        <x:v>1464.14</x:v>
      </x:c>
      <x:c r="L801" s="60" t="n">
        <x:v>92.91</x:v>
      </x:c>
      <x:c r="M801" s="50" t="n">
        <x:v>50</x:v>
      </x:c>
      <x:c r="N801" s="50" t="n">
        <x:v>20</x:v>
      </x:c>
      <x:c r="O801" s="50" t="n">
        <x:v>109</x:v>
      </x:c>
      <x:c r="P801" s="50" t="n">
        <x:v>19</x:v>
      </x:c>
    </x:row>
    <x:row r="802" ht="36" customHeight="1">
      <x:c r="A802" s="53" t="n">
        <x:v>783</x:v>
      </x:c>
      <x:c r="B802" s="53" t="n">
        <x:v>3</x:v>
      </x:c>
      <x:c r="C802" s="40" t="str">
        <x:v>Low-Value Low-Engagement Shoppers</x:v>
      </x:c>
      <x:c r="D802" s="60" t="n">
        <x:v>387.34</x:v>
      </x:c>
      <x:c r="E802" s="50" t="n">
        <x:v>17</x:v>
      </x:c>
      <x:c r="F802" s="46" t="n">
        <x:v>1.7</x:v>
      </x:c>
      <x:c r="G802" s="46" t="n">
        <x:v>125</x:v>
      </x:c>
      <x:c r="H802" s="61" t="n">
        <x:v>22.78470588235294</x:v>
      </x:c>
      <x:c r="I802" s="52" t="n">
        <x:v>0.9411764705882352</x:v>
      </x:c>
      <x:c r="J802" s="52" t="n">
        <x:v>0.5327102803738317</x:v>
      </x:c>
      <x:c r="K802" s="60" t="n">
        <x:v>384.15</x:v>
      </x:c>
      <x:c r="L802" s="60" t="n">
        <x:v>3.19</x:v>
      </x:c>
      <x:c r="M802" s="50" t="n">
        <x:v>16</x:v>
      </x:c>
      <x:c r="N802" s="50" t="n">
        <x:v>1</x:v>
      </x:c>
      <x:c r="O802" s="50" t="n">
        <x:v>56</x:v>
      </x:c>
      <x:c r="P802" s="50" t="n">
        <x:v>10</x:v>
      </x:c>
    </x:row>
    <x:row r="803" ht="36" customHeight="1">
      <x:c r="A803" s="53" t="n">
        <x:v>784</x:v>
      </x:c>
      <x:c r="B803" s="53" t="n">
        <x:v>1</x:v>
      </x:c>
      <x:c r="C803" s="40" t="str">
        <x:v>High-Value Frequent Shoppers</x:v>
      </x:c>
      <x:c r="D803" s="60" t="n">
        <x:v>3117.66</x:v>
      </x:c>
      <x:c r="E803" s="50" t="n">
        <x:v>134</x:v>
      </x:c>
      <x:c r="F803" s="46" t="n">
        <x:v>5.583333333333333</x:v>
      </x:c>
      <x:c r="G803" s="46" t="n">
        <x:v>3</x:v>
      </x:c>
      <x:c r="H803" s="61" t="n">
        <x:v>23.26611940298508</x:v>
      </x:c>
      <x:c r="I803" s="52" t="n">
        <x:v>0.8507462686567164</x:v>
      </x:c>
      <x:c r="J803" s="52" t="n">
        <x:v>0.5469839559156546</x:v>
      </x:c>
      <x:c r="K803" s="60" t="n">
        <x:v>2897.62</x:v>
      </x:c>
      <x:c r="L803" s="60" t="n">
        <x:v>220.04</x:v>
      </x:c>
      <x:c r="M803" s="50" t="n">
        <x:v>114</x:v>
      </x:c>
      <x:c r="N803" s="50" t="n">
        <x:v>20</x:v>
      </x:c>
      <x:c r="O803" s="50" t="n">
        <x:v>117</x:v>
      </x:c>
      <x:c r="P803" s="50" t="n">
        <x:v>24</x:v>
      </x:c>
    </x:row>
    <x:row r="804" ht="36" customHeight="1">
      <x:c r="A804" s="53" t="n">
        <x:v>785</x:v>
      </x:c>
      <x:c r="B804" s="53" t="n">
        <x:v>2</x:v>
      </x:c>
      <x:c r="C804" s="40" t="str">
        <x:v>Large-Basket Occasional Shoppers</x:v>
      </x:c>
      <x:c r="D804" s="60" t="n">
        <x:v>2089.8</x:v>
      </x:c>
      <x:c r="E804" s="50" t="n">
        <x:v>103</x:v>
      </x:c>
      <x:c r="F804" s="46" t="n">
        <x:v>4.904761904761905</x:v>
      </x:c>
      <x:c r="G804" s="46" t="n">
        <x:v>4</x:v>
      </x:c>
      <x:c r="H804" s="61" t="n">
        <x:v>20.28932038834952</x:v>
      </x:c>
      <x:c r="I804" s="52" t="n">
        <x:v>0.8446601941747572</x:v>
      </x:c>
      <x:c r="J804" s="52" t="n">
        <x:v>0.5659297540434491</x:v>
      </x:c>
      <x:c r="K804" s="60" t="n">
        <x:v>1925.91</x:v>
      </x:c>
      <x:c r="L804" s="60" t="n">
        <x:v>163.89</x:v>
      </x:c>
      <x:c r="M804" s="50" t="n">
        <x:v>87</x:v>
      </x:c>
      <x:c r="N804" s="50" t="n">
        <x:v>16</x:v>
      </x:c>
      <x:c r="O804" s="50" t="n">
        <x:v>97</x:v>
      </x:c>
      <x:c r="P804" s="50" t="n">
        <x:v>21</x:v>
      </x:c>
    </x:row>
    <x:row r="805" ht="36" customHeight="1">
      <x:c r="A805" s="53" t="n">
        <x:v>786</x:v>
      </x:c>
      <x:c r="B805" s="53" t="n">
        <x:v>1</x:v>
      </x:c>
      <x:c r="C805" s="40" t="str">
        <x:v>High-Value Frequent Shoppers</x:v>
      </x:c>
      <x:c r="D805" s="60" t="n">
        <x:v>7434.07</x:v>
      </x:c>
      <x:c r="E805" s="50" t="n">
        <x:v>204</x:v>
      </x:c>
      <x:c r="F805" s="46" t="n">
        <x:v>9.714285714285714</x:v>
      </x:c>
      <x:c r="G805" s="46" t="n">
        <x:v>5</x:v>
      </x:c>
      <x:c r="H805" s="61" t="n">
        <x:v>36.441519607843134</x:v>
      </x:c>
      <x:c r="I805" s="52" t="n">
        <x:v>0.8774509803921569</x:v>
      </x:c>
      <x:c r="J805" s="52" t="n">
        <x:v>0.3588074903787561</x:v>
      </x:c>
      <x:c r="K805" s="60" t="n">
        <x:v>7273.01</x:v>
      </x:c>
      <x:c r="L805" s="60" t="n">
        <x:v>161.06</x:v>
      </x:c>
      <x:c r="M805" s="50" t="n">
        <x:v>179</x:v>
      </x:c>
      <x:c r="N805" s="50" t="n">
        <x:v>25</x:v>
      </x:c>
      <x:c r="O805" s="50" t="n">
        <x:v>167</x:v>
      </x:c>
      <x:c r="P805" s="50" t="n">
        <x:v>21</x:v>
      </x:c>
    </x:row>
    <x:row r="806" ht="36" customHeight="1">
      <x:c r="A806" s="53" t="n">
        <x:v>787</x:v>
      </x:c>
      <x:c r="B806" s="53" t="n">
        <x:v>1</x:v>
      </x:c>
      <x:c r="C806" s="40" t="str">
        <x:v>High-Value Frequent Shoppers</x:v>
      </x:c>
      <x:c r="D806" s="60" t="n">
        <x:v>2504.59</x:v>
      </x:c>
      <x:c r="E806" s="50" t="n">
        <x:v>190</x:v>
      </x:c>
      <x:c r="F806" s="46" t="n">
        <x:v>9.047619047619047</x:v>
      </x:c>
      <x:c r="G806" s="46" t="n">
        <x:v>2</x:v>
      </x:c>
      <x:c r="H806" s="61" t="n">
        <x:v>13.182052631578948</x:v>
      </x:c>
      <x:c r="I806" s="52" t="n">
        <x:v>0.7052631578947368</x:v>
      </x:c>
      <x:c r="J806" s="52" t="n">
        <x:v>0.4669746345709277</x:v>
      </x:c>
      <x:c r="K806" s="60" t="n">
        <x:v>2028.86</x:v>
      </x:c>
      <x:c r="L806" s="60" t="n">
        <x:v>475.73</x:v>
      </x:c>
      <x:c r="M806" s="50" t="n">
        <x:v>134</x:v>
      </x:c>
      <x:c r="N806" s="50" t="n">
        <x:v>56</x:v>
      </x:c>
      <x:c r="O806" s="50" t="n">
        <x:v>82</x:v>
      </x:c>
      <x:c r="P806" s="50" t="n">
        <x:v>21</x:v>
      </x:c>
    </x:row>
    <x:row r="807" ht="36" customHeight="1">
      <x:c r="A807" s="53" t="n">
        <x:v>788</x:v>
      </x:c>
      <x:c r="B807" s="53" t="n">
        <x:v>1</x:v>
      </x:c>
      <x:c r="C807" s="40" t="str">
        <x:v>High-Value Frequent Shoppers</x:v>
      </x:c>
      <x:c r="D807" s="60" t="n">
        <x:v>7514.2</x:v>
      </x:c>
      <x:c r="E807" s="50" t="n">
        <x:v>295</x:v>
      </x:c>
      <x:c r="F807" s="46" t="n">
        <x:v>13.409090909090908</x:v>
      </x:c>
      <x:c r="G807" s="46" t="n">
        <x:v>2</x:v>
      </x:c>
      <x:c r="H807" s="61" t="n">
        <x:v>25.47186440677966</x:v>
      </x:c>
      <x:c r="I807" s="52" t="n">
        <x:v>0.7898305084745763</x:v>
      </x:c>
      <x:c r="J807" s="52" t="n">
        <x:v>0.5925833754757658</x:v>
      </x:c>
      <x:c r="K807" s="60" t="n">
        <x:v>6930.39</x:v>
      </x:c>
      <x:c r="L807" s="60" t="n">
        <x:v>583.81</x:v>
      </x:c>
      <x:c r="M807" s="50" t="n">
        <x:v>233</x:v>
      </x:c>
      <x:c r="N807" s="50" t="n">
        <x:v>62</x:v>
      </x:c>
      <x:c r="O807" s="50" t="n">
        <x:v>157</x:v>
      </x:c>
      <x:c r="P807" s="50" t="n">
        <x:v>22</x:v>
      </x:c>
    </x:row>
    <x:row r="808" ht="36" customHeight="1">
      <x:c r="A808" s="53" t="n">
        <x:v>789</x:v>
      </x:c>
      <x:c r="B808" s="53" t="n">
        <x:v>3</x:v>
      </x:c>
      <x:c r="C808" s="40" t="str">
        <x:v>Low-Value Low-Engagement Shoppers</x:v>
      </x:c>
      <x:c r="D808" s="60" t="n">
        <x:v>370.3</x:v>
      </x:c>
      <x:c r="E808" s="50" t="n">
        <x:v>26</x:v>
      </x:c>
      <x:c r="F808" s="46" t="n">
        <x:v>2</x:v>
      </x:c>
      <x:c r="G808" s="46" t="n">
        <x:v>2</x:v>
      </x:c>
      <x:c r="H808" s="61" t="n">
        <x:v>14.242307692307692</x:v>
      </x:c>
      <x:c r="I808" s="52" t="n">
        <x:v>0.7692307692307692</x:v>
      </x:c>
      <x:c r="J808" s="52" t="n">
        <x:v>0.3985417229273561</x:v>
      </x:c>
      <x:c r="K808" s="60" t="n">
        <x:v>306.59</x:v>
      </x:c>
      <x:c r="L808" s="60" t="n">
        <x:v>63.71</x:v>
      </x:c>
      <x:c r="M808" s="50" t="n">
        <x:v>20</x:v>
      </x:c>
      <x:c r="N808" s="50" t="n">
        <x:v>6</x:v>
      </x:c>
      <x:c r="O808" s="50" t="n">
        <x:v>57</x:v>
      </x:c>
      <x:c r="P808" s="50" t="n">
        <x:v>13</x:v>
      </x:c>
    </x:row>
    <x:row r="809" ht="36" customHeight="1">
      <x:c r="A809" s="53" t="n">
        <x:v>790</x:v>
      </x:c>
      <x:c r="B809" s="53" t="n">
        <x:v>2</x:v>
      </x:c>
      <x:c r="C809" s="40" t="str">
        <x:v>Large-Basket Occasional Shoppers</x:v>
      </x:c>
      <x:c r="D809" s="60" t="n">
        <x:v>2842.63</x:v>
      </x:c>
      <x:c r="E809" s="50" t="n">
        <x:v>58</x:v>
      </x:c>
      <x:c r="F809" s="46" t="n">
        <x:v>2.9</x:v>
      </x:c>
      <x:c r="G809" s="46" t="n">
        <x:v>7</x:v>
      </x:c>
      <x:c r="H809" s="61" t="n">
        <x:v>49.01086206896552</x:v>
      </x:c>
      <x:c r="I809" s="52" t="n">
        <x:v>0.8620689655172413</x:v>
      </x:c>
      <x:c r="J809" s="52" t="n">
        <x:v>0.400396815624967</x:v>
      </x:c>
      <x:c r="K809" s="60" t="n">
        <x:v>2681.16</x:v>
      </x:c>
      <x:c r="L809" s="60" t="n">
        <x:v>161.47</x:v>
      </x:c>
      <x:c r="M809" s="50" t="n">
        <x:v>50</x:v>
      </x:c>
      <x:c r="N809" s="50" t="n">
        <x:v>8</x:v>
      </x:c>
      <x:c r="O809" s="50" t="n">
        <x:v>127</x:v>
      </x:c>
      <x:c r="P809" s="50" t="n">
        <x:v>20</x:v>
      </x:c>
    </x:row>
    <x:row r="810" ht="36" customHeight="1">
      <x:c r="A810" s="53" t="n">
        <x:v>791</x:v>
      </x:c>
      <x:c r="B810" s="53" t="n">
        <x:v>3</x:v>
      </x:c>
      <x:c r="C810" s="40" t="str">
        <x:v>Low-Value Low-Engagement Shoppers</x:v>
      </x:c>
      <x:c r="D810" s="60" t="n">
        <x:v>303.01</x:v>
      </x:c>
      <x:c r="E810" s="50" t="n">
        <x:v>21</x:v>
      </x:c>
      <x:c r="F810" s="46" t="n">
        <x:v>2.333333333333333</x:v>
      </x:c>
      <x:c r="G810" s="46" t="n">
        <x:v>89</x:v>
      </x:c>
      <x:c r="H810" s="61" t="n">
        <x:v>14.42904761904762</x:v>
      </x:c>
      <x:c r="I810" s="52" t="n">
        <x:v>0.8095238095238095</x:v>
      </x:c>
      <x:c r="J810" s="52" t="n">
        <x:v>0.5598825121283125</x:v>
      </x:c>
      <x:c r="K810" s="60" t="n">
        <x:v>289.59</x:v>
      </x:c>
      <x:c r="L810" s="60" t="n">
        <x:v>13.42</x:v>
      </x:c>
      <x:c r="M810" s="50" t="n">
        <x:v>17</x:v>
      </x:c>
      <x:c r="N810" s="50" t="n">
        <x:v>4</x:v>
      </x:c>
      <x:c r="O810" s="50" t="n">
        <x:v>53</x:v>
      </x:c>
      <x:c r="P810" s="50" t="n">
        <x:v>9</x:v>
      </x:c>
    </x:row>
    <x:row r="811" ht="36" customHeight="1">
      <x:c r="A811" s="53" t="n">
        <x:v>792</x:v>
      </x:c>
      <x:c r="B811" s="53" t="n">
        <x:v>3</x:v>
      </x:c>
      <x:c r="C811" s="40" t="str">
        <x:v>Low-Value Low-Engagement Shoppers</x:v>
      </x:c>
      <x:c r="D811" s="60" t="n">
        <x:v>337.11</x:v>
      </x:c>
      <x:c r="E811" s="50" t="n">
        <x:v>23</x:v>
      </x:c>
      <x:c r="F811" s="46" t="n">
        <x:v>3.2857142857142856</x:v>
      </x:c>
      <x:c r="G811" s="46" t="n">
        <x:v>0</x:v>
      </x:c>
      <x:c r="H811" s="61" t="n">
        <x:v>14.65695652173913</x:v>
      </x:c>
      <x:c r="I811" s="52" t="n">
        <x:v>0.8260869565217391</x:v>
      </x:c>
      <x:c r="J811" s="52" t="n">
        <x:v>0.642431253893388</x:v>
      </x:c>
      <x:c r="K811" s="60" t="n">
        <x:v>324.37</x:v>
      </x:c>
      <x:c r="L811" s="60" t="n">
        <x:v>12.74</x:v>
      </x:c>
      <x:c r="M811" s="50" t="n">
        <x:v>19</x:v>
      </x:c>
      <x:c r="N811" s="50" t="n">
        <x:v>4</x:v>
      </x:c>
      <x:c r="O811" s="50" t="n">
        <x:v>51</x:v>
      </x:c>
      <x:c r="P811" s="50" t="n">
        <x:v>7</x:v>
      </x:c>
    </x:row>
    <x:row r="812" ht="36" customHeight="1">
      <x:c r="A812" s="53" t="n">
        <x:v>793</x:v>
      </x:c>
      <x:c r="B812" s="53" t="n">
        <x:v>2</x:v>
      </x:c>
      <x:c r="C812" s="40" t="str">
        <x:v>Large-Basket Occasional Shoppers</x:v>
      </x:c>
      <x:c r="D812" s="60" t="n">
        <x:v>1832.03</x:v>
      </x:c>
      <x:c r="E812" s="50" t="n">
        <x:v>107</x:v>
      </x:c>
      <x:c r="F812" s="46" t="n">
        <x:v>4.863636363636364</x:v>
      </x:c>
      <x:c r="G812" s="46" t="n">
        <x:v>8</x:v>
      </x:c>
      <x:c r="H812" s="61" t="n">
        <x:v>17.12177570093458</x:v>
      </x:c>
      <x:c r="I812" s="52" t="n">
        <x:v>0.8411214953271028</x:v>
      </x:c>
      <x:c r="J812" s="52" t="n">
        <x:v>0.6912823479964847</x:v>
      </x:c>
      <x:c r="K812" s="60" t="n">
        <x:v>1739.46</x:v>
      </x:c>
      <x:c r="L812" s="60" t="n">
        <x:v>92.57</x:v>
      </x:c>
      <x:c r="M812" s="50" t="n">
        <x:v>90</x:v>
      </x:c>
      <x:c r="N812" s="50" t="n">
        <x:v>17</x:v>
      </x:c>
      <x:c r="O812" s="50" t="n">
        <x:v>112</x:v>
      </x:c>
      <x:c r="P812" s="50" t="n">
        <x:v>22</x:v>
      </x:c>
    </x:row>
    <x:row r="813" ht="36" customHeight="1">
      <x:c r="A813" s="53" t="n">
        <x:v>794</x:v>
      </x:c>
      <x:c r="B813" s="53" t="n">
        <x:v>2</x:v>
      </x:c>
      <x:c r="C813" s="40" t="str">
        <x:v>Large-Basket Occasional Shoppers</x:v>
      </x:c>
      <x:c r="D813" s="60" t="n">
        <x:v>1752.5</x:v>
      </x:c>
      <x:c r="E813" s="50" t="n">
        <x:v>32</x:v>
      </x:c>
      <x:c r="F813" s="46" t="n">
        <x:v>2.1333333333333333</x:v>
      </x:c>
      <x:c r="G813" s="46" t="n">
        <x:v>14</x:v>
      </x:c>
      <x:c r="H813" s="61" t="n">
        <x:v>54.765625</x:v>
      </x:c>
      <x:c r="I813" s="52" t="n">
        <x:v>0.90625</x:v>
      </x:c>
      <x:c r="J813" s="52" t="n">
        <x:v>0.4545049928673323</x:v>
      </x:c>
      <x:c r="K813" s="60" t="n">
        <x:v>1710.65</x:v>
      </x:c>
      <x:c r="L813" s="60" t="n">
        <x:v>41.85</x:v>
      </x:c>
      <x:c r="M813" s="50" t="n">
        <x:v>29</x:v>
      </x:c>
      <x:c r="N813" s="50" t="n">
        <x:v>3</x:v>
      </x:c>
      <x:c r="O813" s="50" t="n">
        <x:v>126</x:v>
      </x:c>
      <x:c r="P813" s="50" t="n">
        <x:v>15</x:v>
      </x:c>
    </x:row>
    <x:row r="814" ht="36" customHeight="1">
      <x:c r="A814" s="53" t="n">
        <x:v>795</x:v>
      </x:c>
      <x:c r="B814" s="53" t="n">
        <x:v>2</x:v>
      </x:c>
      <x:c r="C814" s="40" t="str">
        <x:v>Large-Basket Occasional Shoppers</x:v>
      </x:c>
      <x:c r="D814" s="60" t="n">
        <x:v>1295.91</x:v>
      </x:c>
      <x:c r="E814" s="50" t="n">
        <x:v>45</x:v>
      </x:c>
      <x:c r="F814" s="46" t="n">
        <x:v>2.25</x:v>
      </x:c>
      <x:c r="G814" s="46" t="n">
        <x:v>40</x:v>
      </x:c>
      <x:c r="H814" s="61" t="n">
        <x:v>28.798</x:v>
      </x:c>
      <x:c r="I814" s="52" t="n">
        <x:v>0.8666666666666666</x:v>
      </x:c>
      <x:c r="J814" s="52" t="n">
        <x:v>0.4803034161322931</x:v>
      </x:c>
      <x:c r="K814" s="60" t="n">
        <x:v>1198.9</x:v>
      </x:c>
      <x:c r="L814" s="60" t="n">
        <x:v>97.01</x:v>
      </x:c>
      <x:c r="M814" s="50" t="n">
        <x:v>39</x:v>
      </x:c>
      <x:c r="N814" s="50" t="n">
        <x:v>6</x:v>
      </x:c>
      <x:c r="O814" s="50" t="n">
        <x:v>98</x:v>
      </x:c>
      <x:c r="P814" s="50" t="n">
        <x:v>20</x:v>
      </x:c>
    </x:row>
    <x:row r="815" ht="36" customHeight="1">
      <x:c r="A815" s="53" t="n">
        <x:v>796</x:v>
      </x:c>
      <x:c r="B815" s="53" t="n">
        <x:v>3</x:v>
      </x:c>
      <x:c r="C815" s="40" t="str">
        <x:v>Low-Value Low-Engagement Shoppers</x:v>
      </x:c>
      <x:c r="D815" s="60" t="n">
        <x:v>445.65</x:v>
      </x:c>
      <x:c r="E815" s="50" t="n">
        <x:v>50</x:v>
      </x:c>
      <x:c r="F815" s="46" t="n">
        <x:v>2.5</x:v>
      </x:c>
      <x:c r="G815" s="46" t="n">
        <x:v>11</x:v>
      </x:c>
      <x:c r="H815" s="61" t="n">
        <x:v>8.913</x:v>
      </x:c>
      <x:c r="I815" s="52" t="n">
        <x:v>0.92</x:v>
      </x:c>
      <x:c r="J815" s="52" t="n">
        <x:v>0.7305957590037024</x:v>
      </x:c>
      <x:c r="K815" s="60" t="n">
        <x:v>432.09</x:v>
      </x:c>
      <x:c r="L815" s="60" t="n">
        <x:v>13.56</x:v>
      </x:c>
      <x:c r="M815" s="50" t="n">
        <x:v>46</x:v>
      </x:c>
      <x:c r="N815" s="50" t="n">
        <x:v>4</x:v>
      </x:c>
      <x:c r="O815" s="50" t="n">
        <x:v>60</x:v>
      </x:c>
      <x:c r="P815" s="50" t="n">
        <x:v>20</x:v>
      </x:c>
    </x:row>
    <x:row r="816" ht="36" customHeight="1">
      <x:c r="A816" s="53" t="n">
        <x:v>797</x:v>
      </x:c>
      <x:c r="B816" s="53" t="n">
        <x:v>1</x:v>
      </x:c>
      <x:c r="C816" s="40" t="str">
        <x:v>High-Value Frequent Shoppers</x:v>
      </x:c>
      <x:c r="D816" s="60" t="n">
        <x:v>3059.57</x:v>
      </x:c>
      <x:c r="E816" s="50" t="n">
        <x:v>92</x:v>
      </x:c>
      <x:c r="F816" s="46" t="n">
        <x:v>4.3809523809523805</x:v>
      </x:c>
      <x:c r="G816" s="46" t="n">
        <x:v>5</x:v>
      </x:c>
      <x:c r="H816" s="61" t="n">
        <x:v>33.256195652173915</x:v>
      </x:c>
      <x:c r="I816" s="52" t="n">
        <x:v>0.7934782608695652</x:v>
      </x:c>
      <x:c r="J816" s="52" t="n">
        <x:v>0.2441486875606702</x:v>
      </x:c>
      <x:c r="K816" s="60" t="n">
        <x:v>2681.76</x:v>
      </x:c>
      <x:c r="L816" s="60" t="n">
        <x:v>377.81</x:v>
      </x:c>
      <x:c r="M816" s="50" t="n">
        <x:v>73</x:v>
      </x:c>
      <x:c r="N816" s="50" t="n">
        <x:v>19</x:v>
      </x:c>
      <x:c r="O816" s="50" t="n">
        <x:v>150</x:v>
      </x:c>
      <x:c r="P816" s="50" t="n">
        <x:v>21</x:v>
      </x:c>
    </x:row>
    <x:row r="817" ht="36" customHeight="1">
      <x:c r="A817" s="53" t="n">
        <x:v>798</x:v>
      </x:c>
      <x:c r="B817" s="53" t="n">
        <x:v>2</x:v>
      </x:c>
      <x:c r="C817" s="40" t="str">
        <x:v>Large-Basket Occasional Shoppers</x:v>
      </x:c>
      <x:c r="D817" s="60" t="n">
        <x:v>1586.58</x:v>
      </x:c>
      <x:c r="E817" s="50" t="n">
        <x:v>54</x:v>
      </x:c>
      <x:c r="F817" s="46" t="n">
        <x:v>3</x:v>
      </x:c>
      <x:c r="G817" s="46" t="n">
        <x:v>6</x:v>
      </x:c>
      <x:c r="H817" s="61" t="n">
        <x:v>29.38111111111111</x:v>
      </x:c>
      <x:c r="I817" s="52" t="n">
        <x:v>0.9444444444444444</x:v>
      </x:c>
      <x:c r="J817" s="52" t="n">
        <x:v>0.5938496640572803</x:v>
      </x:c>
      <x:c r="K817" s="60" t="n">
        <x:v>1566.46</x:v>
      </x:c>
      <x:c r="L817" s="60" t="n">
        <x:v>20.12</x:v>
      </x:c>
      <x:c r="M817" s="50" t="n">
        <x:v>51</x:v>
      </x:c>
      <x:c r="N817" s="50" t="n">
        <x:v>3</x:v>
      </x:c>
      <x:c r="O817" s="50" t="n">
        <x:v>127</x:v>
      </x:c>
      <x:c r="P817" s="50" t="n">
        <x:v>18</x:v>
      </x:c>
    </x:row>
    <x:row r="818" ht="36" customHeight="1">
      <x:c r="A818" s="53" t="n">
        <x:v>799</x:v>
      </x:c>
      <x:c r="B818" s="53" t="n">
        <x:v>2</x:v>
      </x:c>
      <x:c r="C818" s="40" t="str">
        <x:v>Large-Basket Occasional Shoppers</x:v>
      </x:c>
      <x:c r="D818" s="60" t="n">
        <x:v>2084.11</x:v>
      </x:c>
      <x:c r="E818" s="50" t="n">
        <x:v>68</x:v>
      </x:c>
      <x:c r="F818" s="46" t="n">
        <x:v>2.833333333333333</x:v>
      </x:c>
      <x:c r="G818" s="46" t="n">
        <x:v>2</x:v>
      </x:c>
      <x:c r="H818" s="61" t="n">
        <x:v>30.648676470588235</x:v>
      </x:c>
      <x:c r="I818" s="52" t="n">
        <x:v>0.9705882352941176</x:v>
      </x:c>
      <x:c r="J818" s="52" t="n">
        <x:v>0.7936289351329824</x:v>
      </x:c>
      <x:c r="K818" s="60" t="n">
        <x:v>2084.11</x:v>
      </x:c>
      <x:c r="L818" s="60" t="n">
        <x:v>0</x:v>
      </x:c>
      <x:c r="M818" s="50" t="n">
        <x:v>66</x:v>
      </x:c>
      <x:c r="N818" s="50" t="n">
        <x:v>2</x:v>
      </x:c>
      <x:c r="O818" s="50" t="n">
        <x:v>129</x:v>
      </x:c>
      <x:c r="P818" s="50" t="n">
        <x:v>24</x:v>
      </x:c>
    </x:row>
    <x:row r="819" ht="36" customHeight="1">
      <x:c r="A819" s="53" t="n">
        <x:v>800</x:v>
      </x:c>
      <x:c r="B819" s="53" t="n">
        <x:v>1</x:v>
      </x:c>
      <x:c r="C819" s="40" t="str">
        <x:v>High-Value Frequent Shoppers</x:v>
      </x:c>
      <x:c r="D819" s="60" t="n">
        <x:v>10426.58</x:v>
      </x:c>
      <x:c r="E819" s="50" t="n">
        <x:v>443</x:v>
      </x:c>
      <x:c r="F819" s="46" t="n">
        <x:v>19.26086956521739</x:v>
      </x:c>
      <x:c r="G819" s="46" t="n">
        <x:v>0</x:v>
      </x:c>
      <x:c r="H819" s="61" t="n">
        <x:v>23.53629796839729</x:v>
      </x:c>
      <x:c r="I819" s="52" t="n">
        <x:v>0.8645598194130925</x:v>
      </x:c>
      <x:c r="J819" s="52" t="n">
        <x:v>0.4280205014491808</x:v>
      </x:c>
      <x:c r="K819" s="60" t="n">
        <x:v>9891.65</x:v>
      </x:c>
      <x:c r="L819" s="60" t="n">
        <x:v>534.93</x:v>
      </x:c>
      <x:c r="M819" s="50" t="n">
        <x:v>383</x:v>
      </x:c>
      <x:c r="N819" s="50" t="n">
        <x:v>60</x:v>
      </x:c>
      <x:c r="O819" s="50" t="n">
        <x:v>178</x:v>
      </x:c>
      <x:c r="P819" s="50" t="n">
        <x:v>23</x:v>
      </x:c>
    </x:row>
    <x:row r="820" ht="36" customHeight="1">
      <x:c r="A820" s="53" t="n">
        <x:v>801</x:v>
      </x:c>
      <x:c r="B820" s="53" t="n">
        <x:v>2</x:v>
      </x:c>
      <x:c r="C820" s="40" t="str">
        <x:v>Large-Basket Occasional Shoppers</x:v>
      </x:c>
      <x:c r="D820" s="60" t="n">
        <x:v>1652.07</x:v>
      </x:c>
      <x:c r="E820" s="50" t="n">
        <x:v>29</x:v>
      </x:c>
      <x:c r="F820" s="46" t="n">
        <x:v>1.933333333333333</x:v>
      </x:c>
      <x:c r="G820" s="46" t="n">
        <x:v>4</x:v>
      </x:c>
      <x:c r="H820" s="61" t="n">
        <x:v>56.96793103448276</x:v>
      </x:c>
      <x:c r="I820" s="52" t="n">
        <x:v>1</x:v>
      </x:c>
      <x:c r="J820" s="52" t="n">
        <x:v>0.7520262458612528</x:v>
      </x:c>
      <x:c r="K820" s="60" t="n">
        <x:v>1652.07</x:v>
      </x:c>
      <x:c r="L820" s="60" t="n">
        <x:v>0</x:v>
      </x:c>
      <x:c r="M820" s="50" t="n">
        <x:v>29</x:v>
      </x:c>
      <x:c r="N820" s="50" t="n">
        <x:v>0</x:v>
      </x:c>
      <x:c r="O820" s="50" t="n">
        <x:v>87</x:v>
      </x:c>
      <x:c r="P820" s="50" t="n">
        <x:v>15</x:v>
      </x:c>
    </x:row>
    <x:row r="821" ht="36" customHeight="1">
      <x:c r="A821" s="53" t="n">
        <x:v>802</x:v>
      </x:c>
      <x:c r="B821" s="53" t="n">
        <x:v>2</x:v>
      </x:c>
      <x:c r="C821" s="40" t="str">
        <x:v>Large-Basket Occasional Shoppers</x:v>
      </x:c>
      <x:c r="D821" s="60" t="n">
        <x:v>2154.43</x:v>
      </x:c>
      <x:c r="E821" s="50" t="n">
        <x:v>59</x:v>
      </x:c>
      <x:c r="F821" s="46" t="n">
        <x:v>2.6818181818181817</x:v>
      </x:c>
      <x:c r="G821" s="46" t="n">
        <x:v>9</x:v>
      </x:c>
      <x:c r="H821" s="61" t="n">
        <x:v>36.51576271186441</x:v>
      </x:c>
      <x:c r="I821" s="52" t="n">
        <x:v>0.8135593220338982</x:v>
      </x:c>
      <x:c r="J821" s="52" t="n">
        <x:v>0.3310388362583142</x:v>
      </x:c>
      <x:c r="K821" s="60" t="n">
        <x:v>1977.47</x:v>
      </x:c>
      <x:c r="L821" s="60" t="n">
        <x:v>176.96</x:v>
      </x:c>
      <x:c r="M821" s="50" t="n">
        <x:v>48</x:v>
      </x:c>
      <x:c r="N821" s="50" t="n">
        <x:v>11</x:v>
      </x:c>
      <x:c r="O821" s="50" t="n">
        <x:v>110</x:v>
      </x:c>
      <x:c r="P821" s="50" t="n">
        <x:v>22</x:v>
      </x:c>
    </x:row>
    <x:row r="822" ht="36" customHeight="1">
      <x:c r="A822" s="53" t="n">
        <x:v>803</x:v>
      </x:c>
      <x:c r="B822" s="53" t="n">
        <x:v>2</x:v>
      </x:c>
      <x:c r="C822" s="40" t="str">
        <x:v>Large-Basket Occasional Shoppers</x:v>
      </x:c>
      <x:c r="D822" s="60" t="n">
        <x:v>2036.84</x:v>
      </x:c>
      <x:c r="E822" s="50" t="n">
        <x:v>65</x:v>
      </x:c>
      <x:c r="F822" s="46" t="n">
        <x:v>2.8260869565217392</x:v>
      </x:c>
      <x:c r="G822" s="46" t="n">
        <x:v>4</x:v>
      </x:c>
      <x:c r="H822" s="61" t="n">
        <x:v>31.336</x:v>
      </x:c>
      <x:c r="I822" s="52" t="n">
        <x:v>0.9846153846153846</x:v>
      </x:c>
      <x:c r="J822" s="52" t="n">
        <x:v>0.5028475481628404</x:v>
      </x:c>
      <x:c r="K822" s="60" t="n">
        <x:v>2020.55</x:v>
      </x:c>
      <x:c r="L822" s="60" t="n">
        <x:v>16.29</x:v>
      </x:c>
      <x:c r="M822" s="50" t="n">
        <x:v>64</x:v>
      </x:c>
      <x:c r="N822" s="50" t="n">
        <x:v>1</x:v>
      </x:c>
      <x:c r="O822" s="50" t="n">
        <x:v>97</x:v>
      </x:c>
      <x:c r="P822" s="50" t="n">
        <x:v>23</x:v>
      </x:c>
    </x:row>
    <x:row r="823" ht="36" customHeight="1">
      <x:c r="A823" s="53" t="n">
        <x:v>804</x:v>
      </x:c>
      <x:c r="B823" s="53" t="n">
        <x:v>1</x:v>
      </x:c>
      <x:c r="C823" s="40" t="str">
        <x:v>High-Value Frequent Shoppers</x:v>
      </x:c>
      <x:c r="D823" s="60" t="n">
        <x:v>3917.74</x:v>
      </x:c>
      <x:c r="E823" s="50" t="n">
        <x:v>221</x:v>
      </x:c>
      <x:c r="F823" s="46" t="n">
        <x:v>10.045454545454543</x:v>
      </x:c>
      <x:c r="G823" s="46" t="n">
        <x:v>6</x:v>
      </x:c>
      <x:c r="H823" s="61" t="n">
        <x:v>17.72733031674208</x:v>
      </x:c>
      <x:c r="I823" s="52" t="n">
        <x:v>0.8959276018099547</x:v>
      </x:c>
      <x:c r="J823" s="52" t="n">
        <x:v>0.5903658742029843</x:v>
      </x:c>
      <x:c r="K823" s="60" t="n">
        <x:v>3830.32</x:v>
      </x:c>
      <x:c r="L823" s="60" t="n">
        <x:v>87.42</x:v>
      </x:c>
      <x:c r="M823" s="50" t="n">
        <x:v>198</x:v>
      </x:c>
      <x:c r="N823" s="50" t="n">
        <x:v>23</x:v>
      </x:c>
      <x:c r="O823" s="50" t="n">
        <x:v>150</x:v>
      </x:c>
      <x:c r="P823" s="50" t="n">
        <x:v>22</x:v>
      </x:c>
    </x:row>
    <x:row r="824" ht="36" customHeight="1">
      <x:c r="A824" s="53" t="n">
        <x:v>805</x:v>
      </x:c>
      <x:c r="B824" s="53" t="n">
        <x:v>1</x:v>
      </x:c>
      <x:c r="C824" s="40" t="str">
        <x:v>High-Value Frequent Shoppers</x:v>
      </x:c>
      <x:c r="D824" s="60" t="n">
        <x:v>5565.47</x:v>
      </x:c>
      <x:c r="E824" s="50" t="n">
        <x:v>304</x:v>
      </x:c>
      <x:c r="F824" s="46" t="n">
        <x:v>12.666666666666666</x:v>
      </x:c>
      <x:c r="G824" s="46" t="n">
        <x:v>1</x:v>
      </x:c>
      <x:c r="H824" s="61" t="n">
        <x:v>18.30746710526316</x:v>
      </x:c>
      <x:c r="I824" s="52" t="n">
        <x:v>0.8684210526315789</x:v>
      </x:c>
      <x:c r="J824" s="52" t="n">
        <x:v>0.6283781962709348</x:v>
      </x:c>
      <x:c r="K824" s="60" t="n">
        <x:v>5291.88</x:v>
      </x:c>
      <x:c r="L824" s="60" t="n">
        <x:v>273.59</x:v>
      </x:c>
      <x:c r="M824" s="50" t="n">
        <x:v>264</x:v>
      </x:c>
      <x:c r="N824" s="50" t="n">
        <x:v>40</x:v>
      </x:c>
      <x:c r="O824" s="50" t="n">
        <x:v>131</x:v>
      </x:c>
      <x:c r="P824" s="50" t="n">
        <x:v>24</x:v>
      </x:c>
    </x:row>
    <x:row r="825" ht="36" customHeight="1">
      <x:c r="A825" s="53" t="n">
        <x:v>806</x:v>
      </x:c>
      <x:c r="B825" s="53" t="n">
        <x:v>1</x:v>
      </x:c>
      <x:c r="C825" s="40" t="str">
        <x:v>High-Value Frequent Shoppers</x:v>
      </x:c>
      <x:c r="D825" s="60" t="n">
        <x:v>5875.35</x:v>
      </x:c>
      <x:c r="E825" s="50" t="n">
        <x:v>125</x:v>
      </x:c>
      <x:c r="F825" s="46" t="n">
        <x:v>5.434782608695652</x:v>
      </x:c>
      <x:c r="G825" s="46" t="n">
        <x:v>0</x:v>
      </x:c>
      <x:c r="H825" s="61" t="n">
        <x:v>47.0028</x:v>
      </x:c>
      <x:c r="I825" s="52" t="n">
        <x:v>0.84</x:v>
      </x:c>
      <x:c r="J825" s="52" t="n">
        <x:v>0.4989677210719361</x:v>
      </x:c>
      <x:c r="K825" s="60" t="n">
        <x:v>5750.28</x:v>
      </x:c>
      <x:c r="L825" s="60" t="n">
        <x:v>125.07</x:v>
      </x:c>
      <x:c r="M825" s="50" t="n">
        <x:v>105</x:v>
      </x:c>
      <x:c r="N825" s="50" t="n">
        <x:v>20</x:v>
      </x:c>
      <x:c r="O825" s="50" t="n">
        <x:v>178</x:v>
      </x:c>
      <x:c r="P825" s="50" t="n">
        <x:v>23</x:v>
      </x:c>
    </x:row>
    <x:row r="826" ht="36" customHeight="1">
      <x:c r="A826" s="53" t="n">
        <x:v>807</x:v>
      </x:c>
      <x:c r="B826" s="53" t="n">
        <x:v>2</x:v>
      </x:c>
      <x:c r="C826" s="40" t="str">
        <x:v>Large-Basket Occasional Shoppers</x:v>
      </x:c>
      <x:c r="D826" s="60" t="n">
        <x:v>4014.02</x:v>
      </x:c>
      <x:c r="E826" s="50" t="n">
        <x:v>123</x:v>
      </x:c>
      <x:c r="F826" s="46" t="n">
        <x:v>5.125</x:v>
      </x:c>
      <x:c r="G826" s="46" t="n">
        <x:v>7</x:v>
      </x:c>
      <x:c r="H826" s="61" t="n">
        <x:v>32.63430894308943</x:v>
      </x:c>
      <x:c r="I826" s="52" t="n">
        <x:v>0.9593495934959348</x:v>
      </x:c>
      <x:c r="J826" s="52" t="n">
        <x:v>0.638145798974594</x:v>
      </x:c>
      <x:c r="K826" s="60" t="n">
        <x:v>3925.46</x:v>
      </x:c>
      <x:c r="L826" s="60" t="n">
        <x:v>88.56</x:v>
      </x:c>
      <x:c r="M826" s="50" t="n">
        <x:v>118</x:v>
      </x:c>
      <x:c r="N826" s="50" t="n">
        <x:v>5</x:v>
      </x:c>
      <x:c r="O826" s="50" t="n">
        <x:v>130</x:v>
      </x:c>
      <x:c r="P826" s="50" t="n">
        <x:v>24</x:v>
      </x:c>
    </x:row>
    <x:row r="827" ht="36" customHeight="1">
      <x:c r="A827" s="53" t="n">
        <x:v>808</x:v>
      </x:c>
      <x:c r="B827" s="53" t="n">
        <x:v>1</x:v>
      </x:c>
      <x:c r="C827" s="40" t="str">
        <x:v>High-Value Frequent Shoppers</x:v>
      </x:c>
      <x:c r="D827" s="60" t="n">
        <x:v>2317.9</x:v>
      </x:c>
      <x:c r="E827" s="50" t="n">
        <x:v>206</x:v>
      </x:c>
      <x:c r="F827" s="46" t="n">
        <x:v>9.809523809523808</x:v>
      </x:c>
      <x:c r="G827" s="46" t="n">
        <x:v>0</x:v>
      </x:c>
      <x:c r="H827" s="61" t="n">
        <x:v>11.251941747572817</x:v>
      </x:c>
      <x:c r="I827" s="52" t="n">
        <x:v>0.8009708737864077</x:v>
      </x:c>
      <x:c r="J827" s="52" t="n">
        <x:v>0.5060270072047974</x:v>
      </x:c>
      <x:c r="K827" s="60" t="n">
        <x:v>2067.07</x:v>
      </x:c>
      <x:c r="L827" s="60" t="n">
        <x:v>250.83</x:v>
      </x:c>
      <x:c r="M827" s="50" t="n">
        <x:v>165</x:v>
      </x:c>
      <x:c r="N827" s="50" t="n">
        <x:v>41</x:v>
      </x:c>
      <x:c r="O827" s="50" t="n">
        <x:v>134</x:v>
      </x:c>
      <x:c r="P827" s="50" t="n">
        <x:v>21</x:v>
      </x:c>
    </x:row>
    <x:row r="828" ht="36" customHeight="1">
      <x:c r="A828" s="53" t="n">
        <x:v>809</x:v>
      </x:c>
      <x:c r="B828" s="53" t="n">
        <x:v>3</x:v>
      </x:c>
      <x:c r="C828" s="40" t="str">
        <x:v>Low-Value Low-Engagement Shoppers</x:v>
      </x:c>
      <x:c r="D828" s="60" t="n">
        <x:v>619.75</x:v>
      </x:c>
      <x:c r="E828" s="50" t="n">
        <x:v>57</x:v>
      </x:c>
      <x:c r="F828" s="46" t="n">
        <x:v>2.85</x:v>
      </x:c>
      <x:c r="G828" s="46" t="n">
        <x:v>20</x:v>
      </x:c>
      <x:c r="H828" s="61" t="n">
        <x:v>10.87280701754386</x:v>
      </x:c>
      <x:c r="I828" s="52" t="n">
        <x:v>0.8245614035087719</x:v>
      </x:c>
      <x:c r="J828" s="52" t="n">
        <x:v>0.5353287615974183</x:v>
      </x:c>
      <x:c r="K828" s="60" t="n">
        <x:v>587.02</x:v>
      </x:c>
      <x:c r="L828" s="60" t="n">
        <x:v>32.73</x:v>
      </x:c>
      <x:c r="M828" s="50" t="n">
        <x:v>47</x:v>
      </x:c>
      <x:c r="N828" s="50" t="n">
        <x:v>10</x:v>
      </x:c>
      <x:c r="O828" s="50" t="n">
        <x:v>57</x:v>
      </x:c>
      <x:c r="P828" s="50" t="n">
        <x:v>20</x:v>
      </x:c>
    </x:row>
    <x:row r="829" ht="36" customHeight="1">
      <x:c r="A829" s="53" t="n">
        <x:v>810</x:v>
      </x:c>
      <x:c r="B829" s="53" t="n">
        <x:v>3</x:v>
      </x:c>
      <x:c r="C829" s="40" t="str">
        <x:v>Low-Value Low-Engagement Shoppers</x:v>
      </x:c>
      <x:c r="D829" s="60" t="n">
        <x:v>540.1</x:v>
      </x:c>
      <x:c r="E829" s="50" t="n">
        <x:v>37</x:v>
      </x:c>
      <x:c r="F829" s="46" t="n">
        <x:v>1.947368421052632</x:v>
      </x:c>
      <x:c r="G829" s="46" t="n">
        <x:v>17</x:v>
      </x:c>
      <x:c r="H829" s="61" t="n">
        <x:v>14.597297297297295</x:v>
      </x:c>
      <x:c r="I829" s="52" t="n">
        <x:v>0.7027027027027027</x:v>
      </x:c>
      <x:c r="J829" s="52" t="n">
        <x:v>0.3391779300129605</x:v>
      </x:c>
      <x:c r="K829" s="60" t="n">
        <x:v>395.1</x:v>
      </x:c>
      <x:c r="L829" s="60" t="n">
        <x:v>145</x:v>
      </x:c>
      <x:c r="M829" s="50" t="n">
        <x:v>26</x:v>
      </x:c>
      <x:c r="N829" s="50" t="n">
        <x:v>11</x:v>
      </x:c>
      <x:c r="O829" s="50" t="n">
        <x:v>52</x:v>
      </x:c>
      <x:c r="P829" s="50" t="n">
        <x:v>19</x:v>
      </x:c>
    </x:row>
    <x:row r="830" ht="36" customHeight="1">
      <x:c r="A830" s="53" t="n">
        <x:v>811</x:v>
      </x:c>
      <x:c r="B830" s="53" t="n">
        <x:v>3</x:v>
      </x:c>
      <x:c r="C830" s="40" t="str">
        <x:v>Low-Value Low-Engagement Shoppers</x:v>
      </x:c>
      <x:c r="D830" s="60" t="n">
        <x:v>680.23</x:v>
      </x:c>
      <x:c r="E830" s="50" t="n">
        <x:v>39</x:v>
      </x:c>
      <x:c r="F830" s="46" t="n">
        <x:v>2.4375</x:v>
      </x:c>
      <x:c r="G830" s="46" t="n">
        <x:v>14</x:v>
      </x:c>
      <x:c r="H830" s="61" t="n">
        <x:v>17.441794871794873</x:v>
      </x:c>
      <x:c r="I830" s="52" t="n">
        <x:v>0.8205128205128205</x:v>
      </x:c>
      <x:c r="J830" s="52" t="n">
        <x:v>0.4609029298913602</x:v>
      </x:c>
      <x:c r="K830" s="60" t="n">
        <x:v>640.19</x:v>
      </x:c>
      <x:c r="L830" s="60" t="n">
        <x:v>40.04</x:v>
      </x:c>
      <x:c r="M830" s="50" t="n">
        <x:v>32</x:v>
      </x:c>
      <x:c r="N830" s="50" t="n">
        <x:v>7</x:v>
      </x:c>
      <x:c r="O830" s="50" t="n">
        <x:v>89</x:v>
      </x:c>
      <x:c r="P830" s="50" t="n">
        <x:v>16</x:v>
      </x:c>
    </x:row>
    <x:row r="831" ht="36" customHeight="1">
      <x:c r="A831" s="53" t="n">
        <x:v>812</x:v>
      </x:c>
      <x:c r="B831" s="53" t="n">
        <x:v>3</x:v>
      </x:c>
      <x:c r="C831" s="40" t="str">
        <x:v>Low-Value Low-Engagement Shoppers</x:v>
      </x:c>
      <x:c r="D831" s="60" t="n">
        <x:v>1165.27</x:v>
      </x:c>
      <x:c r="E831" s="50" t="n">
        <x:v>93</x:v>
      </x:c>
      <x:c r="F831" s="46" t="n">
        <x:v>4.428571428571429</x:v>
      </x:c>
      <x:c r="G831" s="46" t="n">
        <x:v>25</x:v>
      </x:c>
      <x:c r="H831" s="61" t="n">
        <x:v>12.52978494623656</x:v>
      </x:c>
      <x:c r="I831" s="52" t="n">
        <x:v>0.7526881720430108</x:v>
      </x:c>
      <x:c r="J831" s="52" t="n">
        <x:v>0.527362757129249</x:v>
      </x:c>
      <x:c r="K831" s="60" t="n">
        <x:v>1057.18</x:v>
      </x:c>
      <x:c r="L831" s="60" t="n">
        <x:v>108.09</x:v>
      </x:c>
      <x:c r="M831" s="50" t="n">
        <x:v>70</x:v>
      </x:c>
      <x:c r="N831" s="50" t="n">
        <x:v>23</x:v>
      </x:c>
      <x:c r="O831" s="50" t="n">
        <x:v>66</x:v>
      </x:c>
      <x:c r="P831" s="50" t="n">
        <x:v>21</x:v>
      </x:c>
    </x:row>
    <x:row r="832" ht="36" customHeight="1">
      <x:c r="A832" s="53" t="n">
        <x:v>813</x:v>
      </x:c>
      <x:c r="B832" s="53" t="n">
        <x:v>2</x:v>
      </x:c>
      <x:c r="C832" s="40" t="str">
        <x:v>Large-Basket Occasional Shoppers</x:v>
      </x:c>
      <x:c r="D832" s="60" t="n">
        <x:v>2065.1</x:v>
      </x:c>
      <x:c r="E832" s="50" t="n">
        <x:v>33</x:v>
      </x:c>
      <x:c r="F832" s="46" t="n">
        <x:v>1.8333333333333333</x:v>
      </x:c>
      <x:c r="G832" s="46" t="n">
        <x:v>3</x:v>
      </x:c>
      <x:c r="H832" s="61" t="n">
        <x:v>62.57878787878788</x:v>
      </x:c>
      <x:c r="I832" s="52" t="n">
        <x:v>1</x:v>
      </x:c>
      <x:c r="J832" s="52" t="n">
        <x:v>0.3548496440850322</x:v>
      </x:c>
      <x:c r="K832" s="60" t="n">
        <x:v>2065.1</x:v>
      </x:c>
      <x:c r="L832" s="60" t="n">
        <x:v>0</x:v>
      </x:c>
      <x:c r="M832" s="50" t="n">
        <x:v>33</x:v>
      </x:c>
      <x:c r="N832" s="50" t="n">
        <x:v>0</x:v>
      </x:c>
      <x:c r="O832" s="50" t="n">
        <x:v>131</x:v>
      </x:c>
      <x:c r="P832" s="50" t="n">
        <x:v>18</x:v>
      </x:c>
    </x:row>
    <x:row r="833" ht="36" customHeight="1">
      <x:c r="A833" s="53" t="n">
        <x:v>814</x:v>
      </x:c>
      <x:c r="B833" s="53" t="n">
        <x:v>2</x:v>
      </x:c>
      <x:c r="C833" s="40" t="str">
        <x:v>Large-Basket Occasional Shoppers</x:v>
      </x:c>
      <x:c r="D833" s="60" t="n">
        <x:v>773.76</x:v>
      </x:c>
      <x:c r="E833" s="50" t="n">
        <x:v>23</x:v>
      </x:c>
      <x:c r="F833" s="46" t="n">
        <x:v>2.875</x:v>
      </x:c>
      <x:c r="G833" s="46" t="n">
        <x:v>24</x:v>
      </x:c>
      <x:c r="H833" s="61" t="n">
        <x:v>33.641739130434786</x:v>
      </x:c>
      <x:c r="I833" s="52" t="n">
        <x:v>0.8260869565217391</x:v>
      </x:c>
      <x:c r="J833" s="52" t="n">
        <x:v>0.529440653432589</x:v>
      </x:c>
      <x:c r="K833" s="60" t="n">
        <x:v>739.7</x:v>
      </x:c>
      <x:c r="L833" s="60" t="n">
        <x:v>34.06</x:v>
      </x:c>
      <x:c r="M833" s="50" t="n">
        <x:v>19</x:v>
      </x:c>
      <x:c r="N833" s="50" t="n">
        <x:v>4</x:v>
      </x:c>
      <x:c r="O833" s="50" t="n">
        <x:v>83</x:v>
      </x:c>
      <x:c r="P833" s="50" t="n">
        <x:v>8</x:v>
      </x:c>
    </x:row>
    <x:row r="834" ht="36" customHeight="1">
      <x:c r="A834" s="53" t="n">
        <x:v>815</x:v>
      </x:c>
      <x:c r="B834" s="53" t="n">
        <x:v>2</x:v>
      </x:c>
      <x:c r="C834" s="40" t="str">
        <x:v>Large-Basket Occasional Shoppers</x:v>
      </x:c>
      <x:c r="D834" s="60" t="n">
        <x:v>1802.37</x:v>
      </x:c>
      <x:c r="E834" s="50" t="n">
        <x:v>47</x:v>
      </x:c>
      <x:c r="F834" s="46" t="n">
        <x:v>5.222222222222222</x:v>
      </x:c>
      <x:c r="G834" s="46" t="n">
        <x:v>17</x:v>
      </x:c>
      <x:c r="H834" s="61" t="n">
        <x:v>38.34829787234042</x:v>
      </x:c>
      <x:c r="I834" s="52" t="n">
        <x:v>0.8936170212765957</x:v>
      </x:c>
      <x:c r="J834" s="52" t="n">
        <x:v>0.5256523355359887</x:v>
      </x:c>
      <x:c r="K834" s="60" t="n">
        <x:v>1788.72</x:v>
      </x:c>
      <x:c r="L834" s="60" t="n">
        <x:v>13.65</x:v>
      </x:c>
      <x:c r="M834" s="50" t="n">
        <x:v>42</x:v>
      </x:c>
      <x:c r="N834" s="50" t="n">
        <x:v>5</x:v>
      </x:c>
      <x:c r="O834" s="50" t="n">
        <x:v>124</x:v>
      </x:c>
      <x:c r="P834" s="50" t="n">
        <x:v>9</x:v>
      </x:c>
    </x:row>
    <x:row r="835" ht="36" customHeight="1">
      <x:c r="A835" s="53" t="n">
        <x:v>816</x:v>
      </x:c>
      <x:c r="B835" s="53" t="n">
        <x:v>1</x:v>
      </x:c>
      <x:c r="C835" s="40" t="str">
        <x:v>High-Value Frequent Shoppers</x:v>
      </x:c>
      <x:c r="D835" s="60" t="n">
        <x:v>3468.66</x:v>
      </x:c>
      <x:c r="E835" s="50" t="n">
        <x:v>104</x:v>
      </x:c>
      <x:c r="F835" s="46" t="n">
        <x:v>4.521739130434783</x:v>
      </x:c>
      <x:c r="G835" s="46" t="n">
        <x:v>15</x:v>
      </x:c>
      <x:c r="H835" s="61" t="n">
        <x:v>33.3525</x:v>
      </x:c>
      <x:c r="I835" s="52" t="n">
        <x:v>0.7403846153846153</x:v>
      </x:c>
      <x:c r="J835" s="52" t="n">
        <x:v>0.3976694170082971</x:v>
      </x:c>
      <x:c r="K835" s="60" t="n">
        <x:v>3092.74</x:v>
      </x:c>
      <x:c r="L835" s="60" t="n">
        <x:v>375.92</x:v>
      </x:c>
      <x:c r="M835" s="50" t="n">
        <x:v>77</x:v>
      </x:c>
      <x:c r="N835" s="50" t="n">
        <x:v>27</x:v>
      </x:c>
      <x:c r="O835" s="50" t="n">
        <x:v>152</x:v>
      </x:c>
      <x:c r="P835" s="50" t="n">
        <x:v>23</x:v>
      </x:c>
    </x:row>
    <x:row r="836" ht="36" customHeight="1">
      <x:c r="A836" s="53" t="n">
        <x:v>817</x:v>
      </x:c>
      <x:c r="B836" s="53" t="n">
        <x:v>1</x:v>
      </x:c>
      <x:c r="C836" s="40" t="str">
        <x:v>High-Value Frequent Shoppers</x:v>
      </x:c>
      <x:c r="D836" s="60" t="n">
        <x:v>4801.85</x:v>
      </x:c>
      <x:c r="E836" s="50" t="n">
        <x:v>147</x:v>
      </x:c>
      <x:c r="F836" s="46" t="n">
        <x:v>7</x:v>
      </x:c>
      <x:c r="G836" s="46" t="n">
        <x:v>5</x:v>
      </x:c>
      <x:c r="H836" s="61" t="n">
        <x:v>32.6656462585034</x:v>
      </x:c>
      <x:c r="I836" s="52" t="n">
        <x:v>0.9387755102040816</x:v>
      </x:c>
      <x:c r="J836" s="52" t="n">
        <x:v>0.5740808230161292</x:v>
      </x:c>
      <x:c r="K836" s="60" t="n">
        <x:v>4729.46</x:v>
      </x:c>
      <x:c r="L836" s="60" t="n">
        <x:v>72.39</x:v>
      </x:c>
      <x:c r="M836" s="50" t="n">
        <x:v>138</x:v>
      </x:c>
      <x:c r="N836" s="50" t="n">
        <x:v>9</x:v>
      </x:c>
      <x:c r="O836" s="50" t="n">
        <x:v>144</x:v>
      </x:c>
      <x:c r="P836" s="50" t="n">
        <x:v>21</x:v>
      </x:c>
    </x:row>
    <x:row r="837" ht="36" customHeight="1">
      <x:c r="A837" s="53" t="n">
        <x:v>818</x:v>
      </x:c>
      <x:c r="B837" s="53" t="n">
        <x:v>2</x:v>
      </x:c>
      <x:c r="C837" s="40" t="str">
        <x:v>Large-Basket Occasional Shoppers</x:v>
      </x:c>
      <x:c r="D837" s="60" t="n">
        <x:v>1724.59</x:v>
      </x:c>
      <x:c r="E837" s="50" t="n">
        <x:v>52</x:v>
      </x:c>
      <x:c r="F837" s="46" t="n">
        <x:v>4.333333333333333</x:v>
      </x:c>
      <x:c r="G837" s="46" t="n">
        <x:v>0</x:v>
      </x:c>
      <x:c r="H837" s="61" t="n">
        <x:v>33.16519230769231</x:v>
      </x:c>
      <x:c r="I837" s="52" t="n">
        <x:v>0.9615384615384616</x:v>
      </x:c>
      <x:c r="J837" s="52" t="n">
        <x:v>0.5520210600780475</x:v>
      </x:c>
      <x:c r="K837" s="60" t="n">
        <x:v>1687.02</x:v>
      </x:c>
      <x:c r="L837" s="60" t="n">
        <x:v>37.57</x:v>
      </x:c>
      <x:c r="M837" s="50" t="n">
        <x:v>50</x:v>
      </x:c>
      <x:c r="N837" s="50" t="n">
        <x:v>2</x:v>
      </x:c>
      <x:c r="O837" s="50" t="n">
        <x:v>120</x:v>
      </x:c>
      <x:c r="P837" s="50" t="n">
        <x:v>12</x:v>
      </x:c>
    </x:row>
    <x:row r="838" ht="36" customHeight="1">
      <x:c r="A838" s="53" t="n">
        <x:v>819</x:v>
      </x:c>
      <x:c r="B838" s="53" t="n">
        <x:v>2</x:v>
      </x:c>
      <x:c r="C838" s="40" t="str">
        <x:v>Large-Basket Occasional Shoppers</x:v>
      </x:c>
      <x:c r="D838" s="60" t="n">
        <x:v>161.75</x:v>
      </x:c>
      <x:c r="E838" s="50" t="n">
        <x:v>6</x:v>
      </x:c>
      <x:c r="F838" s="46" t="n">
        <x:v>1.2</x:v>
      </x:c>
      <x:c r="G838" s="46" t="n">
        <x:v>10</x:v>
      </x:c>
      <x:c r="H838" s="61" t="n">
        <x:v>26.95833333333333</x:v>
      </x:c>
      <x:c r="I838" s="52" t="n">
        <x:v>1</x:v>
      </x:c>
      <x:c r="J838" s="52" t="n">
        <x:v>0.5209273570324574</x:v>
      </x:c>
      <x:c r="K838" s="60" t="n">
        <x:v>161.75</x:v>
      </x:c>
      <x:c r="L838" s="60" t="n">
        <x:v>0</x:v>
      </x:c>
      <x:c r="M838" s="50" t="n">
        <x:v>6</x:v>
      </x:c>
      <x:c r="N838" s="50" t="n">
        <x:v>0</x:v>
      </x:c>
      <x:c r="O838" s="50" t="n">
        <x:v>30</x:v>
      </x:c>
      <x:c r="P838" s="50" t="n">
        <x:v>5</x:v>
      </x:c>
    </x:row>
    <x:row r="839" ht="36" customHeight="1">
      <x:c r="A839" s="53" t="n">
        <x:v>820</x:v>
      </x:c>
      <x:c r="B839" s="53" t="n">
        <x:v>1</x:v>
      </x:c>
      <x:c r="C839" s="40" t="str">
        <x:v>High-Value Frequent Shoppers</x:v>
      </x:c>
      <x:c r="D839" s="60" t="n">
        <x:v>4603.98</x:v>
      </x:c>
      <x:c r="E839" s="50" t="n">
        <x:v>208</x:v>
      </x:c>
      <x:c r="F839" s="46" t="n">
        <x:v>10.4</x:v>
      </x:c>
      <x:c r="G839" s="46" t="n">
        <x:v>0</x:v>
      </x:c>
      <x:c r="H839" s="61" t="n">
        <x:v>22.134519230769232</x:v>
      </x:c>
      <x:c r="I839" s="52" t="n">
        <x:v>0.8173076923076923</x:v>
      </x:c>
      <x:c r="J839" s="52" t="n">
        <x:v>0.4180426500549524</x:v>
      </x:c>
      <x:c r="K839" s="60" t="n">
        <x:v>4259.45</x:v>
      </x:c>
      <x:c r="L839" s="60" t="n">
        <x:v>344.53</x:v>
      </x:c>
      <x:c r="M839" s="50" t="n">
        <x:v>170</x:v>
      </x:c>
      <x:c r="N839" s="50" t="n">
        <x:v>38</x:v>
      </x:c>
      <x:c r="O839" s="50" t="n">
        <x:v>169</x:v>
      </x:c>
      <x:c r="P839" s="50" t="n">
        <x:v>20</x:v>
      </x:c>
    </x:row>
    <x:row r="840" ht="36" customHeight="1">
      <x:c r="A840" s="53" t="n">
        <x:v>821</x:v>
      </x:c>
      <x:c r="B840" s="53" t="n">
        <x:v>3</x:v>
      </x:c>
      <x:c r="C840" s="40" t="str">
        <x:v>Low-Value Low-Engagement Shoppers</x:v>
      </x:c>
      <x:c r="D840" s="60" t="n">
        <x:v>464.56</x:v>
      </x:c>
      <x:c r="E840" s="50" t="n">
        <x:v>17</x:v>
      </x:c>
      <x:c r="F840" s="46" t="n">
        <x:v>1.7</x:v>
      </x:c>
      <x:c r="G840" s="46" t="n">
        <x:v>91</x:v>
      </x:c>
      <x:c r="H840" s="61" t="n">
        <x:v>27.32705882352941</x:v>
      </x:c>
      <x:c r="I840" s="52" t="n">
        <x:v>0.7647058823529411</x:v>
      </x:c>
      <x:c r="J840" s="52" t="n">
        <x:v>0.2622266230411572</x:v>
      </x:c>
      <x:c r="K840" s="60" t="n">
        <x:v>384.51</x:v>
      </x:c>
      <x:c r="L840" s="60" t="n">
        <x:v>80.05</x:v>
      </x:c>
      <x:c r="M840" s="50" t="n">
        <x:v>13</x:v>
      </x:c>
      <x:c r="N840" s="50" t="n">
        <x:v>4</x:v>
      </x:c>
      <x:c r="O840" s="50" t="n">
        <x:v>30</x:v>
      </x:c>
      <x:c r="P840" s="50" t="n">
        <x:v>10</x:v>
      </x:c>
    </x:row>
    <x:row r="841" ht="36" customHeight="1">
      <x:c r="A841" s="53" t="n">
        <x:v>822</x:v>
      </x:c>
      <x:c r="B841" s="53" t="n">
        <x:v>2</x:v>
      </x:c>
      <x:c r="C841" s="40" t="str">
        <x:v>Large-Basket Occasional Shoppers</x:v>
      </x:c>
      <x:c r="D841" s="60" t="n">
        <x:v>866.56</x:v>
      </x:c>
      <x:c r="E841" s="50" t="n">
        <x:v>42</x:v>
      </x:c>
      <x:c r="F841" s="46" t="n">
        <x:v>2.210526315789473</x:v>
      </x:c>
      <x:c r="G841" s="46" t="n">
        <x:v>12</x:v>
      </x:c>
      <x:c r="H841" s="61" t="n">
        <x:v>20.632380952380952</x:v>
      </x:c>
      <x:c r="I841" s="52" t="n">
        <x:v>0.9047619047619048</x:v>
      </x:c>
      <x:c r="J841" s="52" t="n">
        <x:v>0.5709587333825701</x:v>
      </x:c>
      <x:c r="K841" s="60" t="n">
        <x:v>835.41</x:v>
      </x:c>
      <x:c r="L841" s="60" t="n">
        <x:v>31.15</x:v>
      </x:c>
      <x:c r="M841" s="50" t="n">
        <x:v>38</x:v>
      </x:c>
      <x:c r="N841" s="50" t="n">
        <x:v>4</x:v>
      </x:c>
      <x:c r="O841" s="50" t="n">
        <x:v>78</x:v>
      </x:c>
      <x:c r="P841" s="50" t="n">
        <x:v>19</x:v>
      </x:c>
    </x:row>
    <x:row r="842" ht="36" customHeight="1">
      <x:c r="A842" s="53" t="n">
        <x:v>823</x:v>
      </x:c>
      <x:c r="B842" s="53" t="n">
        <x:v>1</x:v>
      </x:c>
      <x:c r="C842" s="40" t="str">
        <x:v>High-Value Frequent Shoppers</x:v>
      </x:c>
      <x:c r="D842" s="60" t="n">
        <x:v>2590.15</x:v>
      </x:c>
      <x:c r="E842" s="50" t="n">
        <x:v>117</x:v>
      </x:c>
      <x:c r="F842" s="46" t="n">
        <x:v>5.3181818181818175</x:v>
      </x:c>
      <x:c r="G842" s="46" t="n">
        <x:v>6</x:v>
      </x:c>
      <x:c r="H842" s="61" t="n">
        <x:v>22.138034188034187</x:v>
      </x:c>
      <x:c r="I842" s="52" t="n">
        <x:v>0.7435897435897435</x:v>
      </x:c>
      <x:c r="J842" s="52" t="n">
        <x:v>0.3912591934830029</x:v>
      </x:c>
      <x:c r="K842" s="60" t="n">
        <x:v>2123.54</x:v>
      </x:c>
      <x:c r="L842" s="60" t="n">
        <x:v>466.61</x:v>
      </x:c>
      <x:c r="M842" s="50" t="n">
        <x:v>87</x:v>
      </x:c>
      <x:c r="N842" s="50" t="n">
        <x:v>30</x:v>
      </x:c>
      <x:c r="O842" s="50" t="n">
        <x:v>140</x:v>
      </x:c>
      <x:c r="P842" s="50" t="n">
        <x:v>22</x:v>
      </x:c>
    </x:row>
    <x:row r="843" ht="36" customHeight="1">
      <x:c r="A843" s="53" t="n">
        <x:v>824</x:v>
      </x:c>
      <x:c r="B843" s="53" t="n">
        <x:v>2</x:v>
      </x:c>
      <x:c r="C843" s="40" t="str">
        <x:v>Large-Basket Occasional Shoppers</x:v>
      </x:c>
      <x:c r="D843" s="60" t="n">
        <x:v>1167.03</x:v>
      </x:c>
      <x:c r="E843" s="50" t="n">
        <x:v>57</x:v>
      </x:c>
      <x:c r="F843" s="46" t="n">
        <x:v>3.352941176470588</x:v>
      </x:c>
      <x:c r="G843" s="46" t="n">
        <x:v>0</x:v>
      </x:c>
      <x:c r="H843" s="61" t="n">
        <x:v>20.474210526315787</x:v>
      </x:c>
      <x:c r="I843" s="52" t="n">
        <x:v>0.8421052631578947</x:v>
      </x:c>
      <x:c r="J843" s="52" t="n">
        <x:v>0.4838778780322699</x:v>
      </x:c>
      <x:c r="K843" s="60" t="n">
        <x:v>1118.16</x:v>
      </x:c>
      <x:c r="L843" s="60" t="n">
        <x:v>48.87</x:v>
      </x:c>
      <x:c r="M843" s="50" t="n">
        <x:v>48</x:v>
      </x:c>
      <x:c r="N843" s="50" t="n">
        <x:v>9</x:v>
      </x:c>
      <x:c r="O843" s="50" t="n">
        <x:v>119</x:v>
      </x:c>
      <x:c r="P843" s="50" t="n">
        <x:v>17</x:v>
      </x:c>
    </x:row>
    <x:row r="844" ht="36" customHeight="1">
      <x:c r="A844" s="53" t="n">
        <x:v>825</x:v>
      </x:c>
      <x:c r="B844" s="53" t="n">
        <x:v>1</x:v>
      </x:c>
      <x:c r="C844" s="40" t="str">
        <x:v>High-Value Frequent Shoppers</x:v>
      </x:c>
      <x:c r="D844" s="60" t="n">
        <x:v>11835.02</x:v>
      </x:c>
      <x:c r="E844" s="50" t="n">
        <x:v>242</x:v>
      </x:c>
      <x:c r="F844" s="46" t="n">
        <x:v>11</x:v>
      </x:c>
      <x:c r="G844" s="46" t="n">
        <x:v>3</x:v>
      </x:c>
      <x:c r="H844" s="61" t="n">
        <x:v>48.90504132231405</x:v>
      </x:c>
      <x:c r="I844" s="52" t="n">
        <x:v>0.884297520661157</x:v>
      </x:c>
      <x:c r="J844" s="52" t="n">
        <x:v>0.539095835917472</x:v>
      </x:c>
      <x:c r="K844" s="60" t="n">
        <x:v>11442.5</x:v>
      </x:c>
      <x:c r="L844" s="60" t="n">
        <x:v>392.52</x:v>
      </x:c>
      <x:c r="M844" s="50" t="n">
        <x:v>214</x:v>
      </x:c>
      <x:c r="N844" s="50" t="n">
        <x:v>28</x:v>
      </x:c>
      <x:c r="O844" s="50" t="n">
        <x:v>206</x:v>
      </x:c>
      <x:c r="P844" s="50" t="n">
        <x:v>22</x:v>
      </x:c>
    </x:row>
    <x:row r="845" ht="36" customHeight="1">
      <x:c r="A845" s="53" t="n">
        <x:v>826</x:v>
      </x:c>
      <x:c r="B845" s="53" t="n">
        <x:v>3</x:v>
      </x:c>
      <x:c r="C845" s="40" t="str">
        <x:v>Low-Value Low-Engagement Shoppers</x:v>
      </x:c>
      <x:c r="D845" s="60" t="n">
        <x:v>203.01</x:v>
      </x:c>
      <x:c r="E845" s="50" t="n">
        <x:v>26</x:v>
      </x:c>
      <x:c r="F845" s="46" t="n">
        <x:v>2.166666666666667</x:v>
      </x:c>
      <x:c r="G845" s="46" t="n">
        <x:v>26</x:v>
      </x:c>
      <x:c r="H845" s="61" t="n">
        <x:v>7.808076923076923</x:v>
      </x:c>
      <x:c r="I845" s="52" t="n">
        <x:v>0.7692307692307692</x:v>
      </x:c>
      <x:c r="J845" s="52" t="n">
        <x:v>0.4388453770750209</x:v>
      </x:c>
      <x:c r="K845" s="60" t="n">
        <x:v>182.71</x:v>
      </x:c>
      <x:c r="L845" s="60" t="n">
        <x:v>20.3</x:v>
      </x:c>
      <x:c r="M845" s="50" t="n">
        <x:v>20</x:v>
      </x:c>
      <x:c r="N845" s="50" t="n">
        <x:v>6</x:v>
      </x:c>
      <x:c r="O845" s="50" t="n">
        <x:v>33</x:v>
      </x:c>
      <x:c r="P845" s="50" t="n">
        <x:v>12</x:v>
      </x:c>
    </x:row>
    <x:row r="846" ht="36" customHeight="1">
      <x:c r="A846" s="53" t="n">
        <x:v>827</x:v>
      </x:c>
      <x:c r="B846" s="53" t="n">
        <x:v>3</x:v>
      </x:c>
      <x:c r="C846" s="40" t="str">
        <x:v>Low-Value Low-Engagement Shoppers</x:v>
      </x:c>
      <x:c r="D846" s="60" t="n">
        <x:v>326.88</x:v>
      </x:c>
      <x:c r="E846" s="50" t="n">
        <x:v>20</x:v>
      </x:c>
      <x:c r="F846" s="46" t="n">
        <x:v>1.8181818181818183</x:v>
      </x:c>
      <x:c r="G846" s="46" t="n">
        <x:v>2</x:v>
      </x:c>
      <x:c r="H846" s="61" t="n">
        <x:v>16.344</x:v>
      </x:c>
      <x:c r="I846" s="52" t="n">
        <x:v>0.8</x:v>
      </x:c>
      <x:c r="J846" s="52" t="n">
        <x:v>0.5163974547234459</x:v>
      </x:c>
      <x:c r="K846" s="60" t="n">
        <x:v>281.29</x:v>
      </x:c>
      <x:c r="L846" s="60" t="n">
        <x:v>45.59</x:v>
      </x:c>
      <x:c r="M846" s="50" t="n">
        <x:v>16</x:v>
      </x:c>
      <x:c r="N846" s="50" t="n">
        <x:v>4</x:v>
      </x:c>
      <x:c r="O846" s="50" t="n">
        <x:v>62</x:v>
      </x:c>
      <x:c r="P846" s="50" t="n">
        <x:v>11</x:v>
      </x:c>
    </x:row>
    <x:row r="847" ht="36" customHeight="1">
      <x:c r="A847" s="53" t="n">
        <x:v>828</x:v>
      </x:c>
      <x:c r="B847" s="53" t="n">
        <x:v>2</x:v>
      </x:c>
      <x:c r="C847" s="40" t="str">
        <x:v>Large-Basket Occasional Shoppers</x:v>
      </x:c>
      <x:c r="D847" s="60" t="n">
        <x:v>1123.16</x:v>
      </x:c>
      <x:c r="E847" s="50" t="n">
        <x:v>37</x:v>
      </x:c>
      <x:c r="F847" s="46" t="n">
        <x:v>2.466666666666667</x:v>
      </x:c>
      <x:c r="G847" s="46" t="n">
        <x:v>211</x:v>
      </x:c>
      <x:c r="H847" s="61" t="n">
        <x:v>30.35567567567568</x:v>
      </x:c>
      <x:c r="I847" s="52" t="n">
        <x:v>0.945945945945946</x:v>
      </x:c>
      <x:c r="J847" s="52" t="n">
        <x:v>0.5662149649204031</x:v>
      </x:c>
      <x:c r="K847" s="60" t="n">
        <x:v>1103.25</x:v>
      </x:c>
      <x:c r="L847" s="60" t="n">
        <x:v>19.91</x:v>
      </x:c>
      <x:c r="M847" s="50" t="n">
        <x:v>35</x:v>
      </x:c>
      <x:c r="N847" s="50" t="n">
        <x:v>2</x:v>
      </x:c>
      <x:c r="O847" s="50" t="n">
        <x:v>96</x:v>
      </x:c>
      <x:c r="P847" s="50" t="n">
        <x:v>15</x:v>
      </x:c>
    </x:row>
    <x:row r="848" ht="36" customHeight="1">
      <x:c r="A848" s="53" t="n">
        <x:v>829</x:v>
      </x:c>
      <x:c r="B848" s="53" t="n">
        <x:v>2</x:v>
      </x:c>
      <x:c r="C848" s="40" t="str">
        <x:v>Large-Basket Occasional Shoppers</x:v>
      </x:c>
      <x:c r="D848" s="60" t="n">
        <x:v>1635.21</x:v>
      </x:c>
      <x:c r="E848" s="50" t="n">
        <x:v>32</x:v>
      </x:c>
      <x:c r="F848" s="46" t="n">
        <x:v>2.2857142857142856</x:v>
      </x:c>
      <x:c r="G848" s="46" t="n">
        <x:v>13</x:v>
      </x:c>
      <x:c r="H848" s="61" t="n">
        <x:v>51.1003125</x:v>
      </x:c>
      <x:c r="I848" s="52" t="n">
        <x:v>0.96875</x:v>
      </x:c>
      <x:c r="J848" s="52" t="n">
        <x:v>0.572990625057332</x:v>
      </x:c>
      <x:c r="K848" s="60" t="n">
        <x:v>1631.13</x:v>
      </x:c>
      <x:c r="L848" s="60" t="n">
        <x:v>4.08</x:v>
      </x:c>
      <x:c r="M848" s="50" t="n">
        <x:v>31</x:v>
      </x:c>
      <x:c r="N848" s="50" t="n">
        <x:v>1</x:v>
      </x:c>
      <x:c r="O848" s="50" t="n">
        <x:v>105</x:v>
      </x:c>
      <x:c r="P848" s="50" t="n">
        <x:v>14</x:v>
      </x:c>
    </x:row>
    <x:row r="849" ht="36" customHeight="1">
      <x:c r="A849" s="53" t="n">
        <x:v>830</x:v>
      </x:c>
      <x:c r="B849" s="53" t="n">
        <x:v>1</x:v>
      </x:c>
      <x:c r="C849" s="40" t="str">
        <x:v>High-Value Frequent Shoppers</x:v>
      </x:c>
      <x:c r="D849" s="60" t="n">
        <x:v>1694.3</x:v>
      </x:c>
      <x:c r="E849" s="50" t="n">
        <x:v>230</x:v>
      </x:c>
      <x:c r="F849" s="46" t="n">
        <x:v>10.952380952380953</x:v>
      </x:c>
      <x:c r="G849" s="46" t="n">
        <x:v>0</x:v>
      </x:c>
      <x:c r="H849" s="61" t="n">
        <x:v>7.366521739130436</x:v>
      </x:c>
      <x:c r="I849" s="52" t="n">
        <x:v>0.7913043478260869</x:v>
      </x:c>
      <x:c r="J849" s="52" t="n">
        <x:v>0.7161128489641739</x:v>
      </x:c>
      <x:c r="K849" s="60" t="n">
        <x:v>1571.36</x:v>
      </x:c>
      <x:c r="L849" s="60" t="n">
        <x:v>122.94</x:v>
      </x:c>
      <x:c r="M849" s="50" t="n">
        <x:v>182</x:v>
      </x:c>
      <x:c r="N849" s="50" t="n">
        <x:v>48</x:v>
      </x:c>
      <x:c r="O849" s="50" t="n">
        <x:v>87</x:v>
      </x:c>
      <x:c r="P849" s="50" t="n">
        <x:v>21</x:v>
      </x:c>
    </x:row>
    <x:row r="850" ht="36" customHeight="1">
      <x:c r="A850" s="53" t="n">
        <x:v>831</x:v>
      </x:c>
      <x:c r="B850" s="53" t="n">
        <x:v>1</x:v>
      </x:c>
      <x:c r="C850" s="40" t="str">
        <x:v>High-Value Frequent Shoppers</x:v>
      </x:c>
      <x:c r="D850" s="60" t="n">
        <x:v>8831.35</x:v>
      </x:c>
      <x:c r="E850" s="50" t="n">
        <x:v>165</x:v>
      </x:c>
      <x:c r="F850" s="46" t="n">
        <x:v>7.5</x:v>
      </x:c>
      <x:c r="G850" s="46" t="n">
        <x:v>5</x:v>
      </x:c>
      <x:c r="H850" s="61" t="n">
        <x:v>53.523333333333326</x:v>
      </x:c>
      <x:c r="I850" s="52" t="n">
        <x:v>0.8363636363636363</x:v>
      </x:c>
      <x:c r="J850" s="52" t="n">
        <x:v>0.4538151018813658</x:v>
      </x:c>
      <x:c r="K850" s="60" t="n">
        <x:v>8488.62</x:v>
      </x:c>
      <x:c r="L850" s="60" t="n">
        <x:v>342.73</x:v>
      </x:c>
      <x:c r="M850" s="50" t="n">
        <x:v>138</x:v>
      </x:c>
      <x:c r="N850" s="50" t="n">
        <x:v>27</x:v>
      </x:c>
      <x:c r="O850" s="50" t="n">
        <x:v>174</x:v>
      </x:c>
      <x:c r="P850" s="50" t="n">
        <x:v>22</x:v>
      </x:c>
    </x:row>
    <x:row r="851" ht="36" customHeight="1">
      <x:c r="A851" s="53" t="n">
        <x:v>832</x:v>
      </x:c>
      <x:c r="B851" s="53" t="n">
        <x:v>2</x:v>
      </x:c>
      <x:c r="C851" s="40" t="str">
        <x:v>Large-Basket Occasional Shoppers</x:v>
      </x:c>
      <x:c r="D851" s="60" t="n">
        <x:v>479.24</x:v>
      </x:c>
      <x:c r="E851" s="50" t="n">
        <x:v>14</x:v>
      </x:c>
      <x:c r="F851" s="46" t="n">
        <x:v>1.1666666666666667</x:v>
      </x:c>
      <x:c r="G851" s="46" t="n">
        <x:v>11</x:v>
      </x:c>
      <x:c r="H851" s="61" t="n">
        <x:v>34.231428571428566</x:v>
      </x:c>
      <x:c r="I851" s="52" t="n">
        <x:v>0.8571428571428571</x:v>
      </x:c>
      <x:c r="J851" s="52" t="n">
        <x:v>0.3735915199065186</x:v>
      </x:c>
      <x:c r="K851" s="60" t="n">
        <x:v>425.82</x:v>
      </x:c>
      <x:c r="L851" s="60" t="n">
        <x:v>53.42</x:v>
      </x:c>
      <x:c r="M851" s="50" t="n">
        <x:v>12</x:v>
      </x:c>
      <x:c r="N851" s="50" t="n">
        <x:v>2</x:v>
      </x:c>
      <x:c r="O851" s="50" t="n">
        <x:v>56</x:v>
      </x:c>
      <x:c r="P851" s="50" t="n">
        <x:v>12</x:v>
      </x:c>
    </x:row>
    <x:row r="852" ht="36" customHeight="1">
      <x:c r="A852" s="53" t="n">
        <x:v>833</x:v>
      </x:c>
      <x:c r="B852" s="53" t="n">
        <x:v>2</x:v>
      </x:c>
      <x:c r="C852" s="40" t="str">
        <x:v>Large-Basket Occasional Shoppers</x:v>
      </x:c>
      <x:c r="D852" s="60" t="n">
        <x:v>1975.56</x:v>
      </x:c>
      <x:c r="E852" s="50" t="n">
        <x:v>34</x:v>
      </x:c>
      <x:c r="F852" s="46" t="n">
        <x:v>2.2666666666666666</x:v>
      </x:c>
      <x:c r="G852" s="46" t="n">
        <x:v>106</x:v>
      </x:c>
      <x:c r="H852" s="61" t="n">
        <x:v>58.10470588235295</x:v>
      </x:c>
      <x:c r="I852" s="52" t="n">
        <x:v>0.9117647058823528</x:v>
      </x:c>
      <x:c r="J852" s="52" t="n">
        <x:v>0.579243353783231</x:v>
      </x:c>
      <x:c r="K852" s="60" t="n">
        <x:v>1925.92</x:v>
      </x:c>
      <x:c r="L852" s="60" t="n">
        <x:v>49.64</x:v>
      </x:c>
      <x:c r="M852" s="50" t="n">
        <x:v>31</x:v>
      </x:c>
      <x:c r="N852" s="50" t="n">
        <x:v>3</x:v>
      </x:c>
      <x:c r="O852" s="50" t="n">
        <x:v>113</x:v>
      </x:c>
      <x:c r="P852" s="50" t="n">
        <x:v>15</x:v>
      </x:c>
    </x:row>
    <x:row r="853" ht="36" customHeight="1">
      <x:c r="A853" s="53" t="n">
        <x:v>834</x:v>
      </x:c>
      <x:c r="B853" s="53" t="n">
        <x:v>2</x:v>
      </x:c>
      <x:c r="C853" s="40" t="str">
        <x:v>Large-Basket Occasional Shoppers</x:v>
      </x:c>
      <x:c r="D853" s="60" t="n">
        <x:v>946.28</x:v>
      </x:c>
      <x:c r="E853" s="50" t="n">
        <x:v>28</x:v>
      </x:c>
      <x:c r="F853" s="46" t="n">
        <x:v>2.1538461538461537</x:v>
      </x:c>
      <x:c r="G853" s="46" t="n">
        <x:v>4</x:v>
      </x:c>
      <x:c r="H853" s="61" t="n">
        <x:v>33.79571428571428</x:v>
      </x:c>
      <x:c r="I853" s="52" t="n">
        <x:v>0.75</x:v>
      </x:c>
      <x:c r="J853" s="52" t="n">
        <x:v>0.586168998605064</x:v>
      </x:c>
      <x:c r="K853" s="60" t="n">
        <x:v>874.03</x:v>
      </x:c>
      <x:c r="L853" s="60" t="n">
        <x:v>72.25</x:v>
      </x:c>
      <x:c r="M853" s="50" t="n">
        <x:v>21</x:v>
      </x:c>
      <x:c r="N853" s="50" t="n">
        <x:v>7</x:v>
      </x:c>
      <x:c r="O853" s="50" t="n">
        <x:v>85</x:v>
      </x:c>
      <x:c r="P853" s="50" t="n">
        <x:v>13</x:v>
      </x:c>
    </x:row>
    <x:row r="854" ht="36" customHeight="1">
      <x:c r="A854" s="53" t="n">
        <x:v>835</x:v>
      </x:c>
      <x:c r="B854" s="53" t="n">
        <x:v>3</x:v>
      </x:c>
      <x:c r="C854" s="40" t="str">
        <x:v>Low-Value Low-Engagement Shoppers</x:v>
      </x:c>
      <x:c r="D854" s="60" t="n">
        <x:v>273.81</x:v>
      </x:c>
      <x:c r="E854" s="50" t="n">
        <x:v>17</x:v>
      </x:c>
      <x:c r="F854" s="46" t="n">
        <x:v>1.7</x:v>
      </x:c>
      <x:c r="G854" s="46" t="n">
        <x:v>123</x:v>
      </x:c>
      <x:c r="H854" s="61" t="n">
        <x:v>16.106470588235293</x:v>
      </x:c>
      <x:c r="I854" s="52" t="n">
        <x:v>0.7058823529411764</x:v>
      </x:c>
      <x:c r="J854" s="52" t="n">
        <x:v>0.2566743362185457</x:v>
      </x:c>
      <x:c r="K854" s="60" t="n">
        <x:v>209.85</x:v>
      </x:c>
      <x:c r="L854" s="60" t="n">
        <x:v>63.96</x:v>
      </x:c>
      <x:c r="M854" s="50" t="n">
        <x:v>12</x:v>
      </x:c>
      <x:c r="N854" s="50" t="n">
        <x:v>5</x:v>
      </x:c>
      <x:c r="O854" s="50" t="n">
        <x:v>34</x:v>
      </x:c>
      <x:c r="P854" s="50" t="n">
        <x:v>10</x:v>
      </x:c>
    </x:row>
    <x:row r="855" ht="36" customHeight="1">
      <x:c r="A855" s="53" t="n">
        <x:v>836</x:v>
      </x:c>
      <x:c r="B855" s="53" t="n">
        <x:v>2</x:v>
      </x:c>
      <x:c r="C855" s="40" t="str">
        <x:v>Large-Basket Occasional Shoppers</x:v>
      </x:c>
      <x:c r="D855" s="60" t="n">
        <x:v>1564.35</x:v>
      </x:c>
      <x:c r="E855" s="50" t="n">
        <x:v>73</x:v>
      </x:c>
      <x:c r="F855" s="46" t="n">
        <x:v>4.055555555555556</x:v>
      </x:c>
      <x:c r="G855" s="46" t="n">
        <x:v>20</x:v>
      </x:c>
      <x:c r="H855" s="61" t="n">
        <x:v>21.42945205479452</x:v>
      </x:c>
      <x:c r="I855" s="52" t="n">
        <x:v>0.8082191780821917</x:v>
      </x:c>
      <x:c r="J855" s="52" t="n">
        <x:v>0.4552050372359126</x:v>
      </x:c>
      <x:c r="K855" s="60" t="n">
        <x:v>1351.46</x:v>
      </x:c>
      <x:c r="L855" s="60" t="n">
        <x:v>212.89</x:v>
      </x:c>
      <x:c r="M855" s="50" t="n">
        <x:v>59</x:v>
      </x:c>
      <x:c r="N855" s="50" t="n">
        <x:v>14</x:v>
      </x:c>
      <x:c r="O855" s="50" t="n">
        <x:v>86</x:v>
      </x:c>
      <x:c r="P855" s="50" t="n">
        <x:v>18</x:v>
      </x:c>
    </x:row>
    <x:row r="856" ht="36" customHeight="1">
      <x:c r="A856" s="53" t="n">
        <x:v>837</x:v>
      </x:c>
      <x:c r="B856" s="53" t="n">
        <x:v>2</x:v>
      </x:c>
      <x:c r="C856" s="40" t="str">
        <x:v>Large-Basket Occasional Shoppers</x:v>
      </x:c>
      <x:c r="D856" s="60" t="n">
        <x:v>793.38</x:v>
      </x:c>
      <x:c r="E856" s="50" t="n">
        <x:v>36</x:v>
      </x:c>
      <x:c r="F856" s="46" t="n">
        <x:v>2</x:v>
      </x:c>
      <x:c r="G856" s="46" t="n">
        <x:v>3</x:v>
      </x:c>
      <x:c r="H856" s="61" t="n">
        <x:v>22.03833333333333</x:v>
      </x:c>
      <x:c r="I856" s="52" t="n">
        <x:v>0.8888888888888888</x:v>
      </x:c>
      <x:c r="J856" s="52" t="n">
        <x:v>0.6372734376969421</x:v>
      </x:c>
      <x:c r="K856" s="60" t="n">
        <x:v>764.34</x:v>
      </x:c>
      <x:c r="L856" s="60" t="n">
        <x:v>29.04</x:v>
      </x:c>
      <x:c r="M856" s="50" t="n">
        <x:v>32</x:v>
      </x:c>
      <x:c r="N856" s="50" t="n">
        <x:v>4</x:v>
      </x:c>
      <x:c r="O856" s="50" t="n">
        <x:v>79</x:v>
      </x:c>
      <x:c r="P856" s="50" t="n">
        <x:v>18</x:v>
      </x:c>
    </x:row>
    <x:row r="857" ht="36" customHeight="1">
      <x:c r="A857" s="53" t="n">
        <x:v>838</x:v>
      </x:c>
      <x:c r="B857" s="53" t="n">
        <x:v>3</x:v>
      </x:c>
      <x:c r="C857" s="40" t="str">
        <x:v>Low-Value Low-Engagement Shoppers</x:v>
      </x:c>
      <x:c r="D857" s="60" t="n">
        <x:v>384.69</x:v>
      </x:c>
      <x:c r="E857" s="50" t="n">
        <x:v>32</x:v>
      </x:c>
      <x:c r="F857" s="46" t="n">
        <x:v>1.777777777777778</x:v>
      </x:c>
      <x:c r="G857" s="46" t="n">
        <x:v>1</x:v>
      </x:c>
      <x:c r="H857" s="61" t="n">
        <x:v>12.0215625</x:v>
      </x:c>
      <x:c r="I857" s="52" t="n">
        <x:v>0.84375</x:v>
      </x:c>
      <x:c r="J857" s="52" t="n">
        <x:v>0.4073149808937066</x:v>
      </x:c>
      <x:c r="K857" s="60" t="n">
        <x:v>324.68</x:v>
      </x:c>
      <x:c r="L857" s="60" t="n">
        <x:v>60.01</x:v>
      </x:c>
      <x:c r="M857" s="50" t="n">
        <x:v>27</x:v>
      </x:c>
      <x:c r="N857" s="50" t="n">
        <x:v>5</x:v>
      </x:c>
      <x:c r="O857" s="50" t="n">
        <x:v>61</x:v>
      </x:c>
      <x:c r="P857" s="50" t="n">
        <x:v>18</x:v>
      </x:c>
    </x:row>
    <x:row r="858" ht="36" customHeight="1">
      <x:c r="A858" s="53" t="n">
        <x:v>839</x:v>
      </x:c>
      <x:c r="B858" s="53" t="n">
        <x:v>2</x:v>
      </x:c>
      <x:c r="C858" s="40" t="str">
        <x:v>Large-Basket Occasional Shoppers</x:v>
      </x:c>
      <x:c r="D858" s="60" t="n">
        <x:v>846.7</x:v>
      </x:c>
      <x:c r="E858" s="50" t="n">
        <x:v>10</x:v>
      </x:c>
      <x:c r="F858" s="46" t="n">
        <x:v>1.6666666666666667</x:v>
      </x:c>
      <x:c r="G858" s="46" t="n">
        <x:v>19</x:v>
      </x:c>
      <x:c r="H858" s="61" t="n">
        <x:v>84.67</x:v>
      </x:c>
      <x:c r="I858" s="52" t="n">
        <x:v>0.9</x:v>
      </x:c>
      <x:c r="J858" s="52" t="n">
        <x:v>0.3123302232195582</x:v>
      </x:c>
      <x:c r="K858" s="60" t="n">
        <x:v>837.53</x:v>
      </x:c>
      <x:c r="L858" s="60" t="n">
        <x:v>9.17</x:v>
      </x:c>
      <x:c r="M858" s="50" t="n">
        <x:v>9</x:v>
      </x:c>
      <x:c r="N858" s="50" t="n">
        <x:v>1</x:v>
      </x:c>
      <x:c r="O858" s="50" t="n">
        <x:v>101</x:v>
      </x:c>
      <x:c r="P858" s="50" t="n">
        <x:v>6</x:v>
      </x:c>
    </x:row>
    <x:row r="859" ht="36" customHeight="1">
      <x:c r="A859" s="53" t="n">
        <x:v>840</x:v>
      </x:c>
      <x:c r="B859" s="53" t="n">
        <x:v>1</x:v>
      </x:c>
      <x:c r="C859" s="40" t="str">
        <x:v>High-Value Frequent Shoppers</x:v>
      </x:c>
      <x:c r="D859" s="60" t="n">
        <x:v>11944.57</x:v>
      </x:c>
      <x:c r="E859" s="50" t="n">
        <x:v>212</x:v>
      </x:c>
      <x:c r="F859" s="46" t="n">
        <x:v>9.636363636363637</x:v>
      </x:c>
      <x:c r="G859" s="46" t="n">
        <x:v>0</x:v>
      </x:c>
      <x:c r="H859" s="61" t="n">
        <x:v>56.34231132075472</x:v>
      </x:c>
      <x:c r="I859" s="52" t="n">
        <x:v>0.8915094339622641</x:v>
      </x:c>
      <x:c r="J859" s="52" t="n">
        <x:v>0.3223623788884823</x:v>
      </x:c>
      <x:c r="K859" s="60" t="n">
        <x:v>11581.12</x:v>
      </x:c>
      <x:c r="L859" s="60" t="n">
        <x:v>363.45</x:v>
      </x:c>
      <x:c r="M859" s="50" t="n">
        <x:v>189</x:v>
      </x:c>
      <x:c r="N859" s="50" t="n">
        <x:v>23</x:v>
      </x:c>
      <x:c r="O859" s="50" t="n">
        <x:v>201</x:v>
      </x:c>
      <x:c r="P859" s="50" t="n">
        <x:v>22</x:v>
      </x:c>
    </x:row>
    <x:row r="860" ht="36" customHeight="1">
      <x:c r="A860" s="53" t="n">
        <x:v>841</x:v>
      </x:c>
      <x:c r="B860" s="53" t="n">
        <x:v>1</x:v>
      </x:c>
      <x:c r="C860" s="40" t="str">
        <x:v>High-Value Frequent Shoppers</x:v>
      </x:c>
      <x:c r="D860" s="60" t="n">
        <x:v>2550.37</x:v>
      </x:c>
      <x:c r="E860" s="50" t="n">
        <x:v>157</x:v>
      </x:c>
      <x:c r="F860" s="46" t="n">
        <x:v>7.85</x:v>
      </x:c>
      <x:c r="G860" s="46" t="n">
        <x:v>0</x:v>
      </x:c>
      <x:c r="H860" s="61" t="n">
        <x:v>16.2443949044586</x:v>
      </x:c>
      <x:c r="I860" s="52" t="n">
        <x:v>0.7961783439490445</x:v>
      </x:c>
      <x:c r="J860" s="52" t="n">
        <x:v>0.5871775467873288</x:v>
      </x:c>
      <x:c r="K860" s="60" t="n">
        <x:v>2194.66</x:v>
      </x:c>
      <x:c r="L860" s="60" t="n">
        <x:v>355.71</x:v>
      </x:c>
      <x:c r="M860" s="50" t="n">
        <x:v>125</x:v>
      </x:c>
      <x:c r="N860" s="50" t="n">
        <x:v>32</x:v>
      </x:c>
      <x:c r="O860" s="50" t="n">
        <x:v>118</x:v>
      </x:c>
      <x:c r="P860" s="50" t="n">
        <x:v>20</x:v>
      </x:c>
    </x:row>
    <x:row r="861" ht="36" customHeight="1">
      <x:c r="A861" s="53" t="n">
        <x:v>842</x:v>
      </x:c>
      <x:c r="B861" s="53" t="n">
        <x:v>1</x:v>
      </x:c>
      <x:c r="C861" s="40" t="str">
        <x:v>High-Value Frequent Shoppers</x:v>
      </x:c>
      <x:c r="D861" s="60" t="n">
        <x:v>7527.27</x:v>
      </x:c>
      <x:c r="E861" s="50" t="n">
        <x:v>503</x:v>
      </x:c>
      <x:c r="F861" s="46" t="n">
        <x:v>25.15</x:v>
      </x:c>
      <x:c r="G861" s="46" t="n">
        <x:v>11</x:v>
      </x:c>
      <x:c r="H861" s="61" t="n">
        <x:v>14.964751491053676</x:v>
      </x:c>
      <x:c r="I861" s="52" t="n">
        <x:v>0.7614314115308151</x:v>
      </x:c>
      <x:c r="J861" s="52" t="n">
        <x:v>0.7405845678446501</x:v>
      </x:c>
      <x:c r="K861" s="60" t="n">
        <x:v>6808.08</x:v>
      </x:c>
      <x:c r="L861" s="60" t="n">
        <x:v>719.19</x:v>
      </x:c>
      <x:c r="M861" s="50" t="n">
        <x:v>383</x:v>
      </x:c>
      <x:c r="N861" s="50" t="n">
        <x:v>120</x:v>
      </x:c>
      <x:c r="O861" s="50" t="n">
        <x:v>152</x:v>
      </x:c>
      <x:c r="P861" s="50" t="n">
        <x:v>20</x:v>
      </x:c>
    </x:row>
    <x:row r="862" ht="36" customHeight="1">
      <x:c r="A862" s="53" t="n">
        <x:v>843</x:v>
      </x:c>
      <x:c r="B862" s="53" t="n">
        <x:v>2</x:v>
      </x:c>
      <x:c r="C862" s="40" t="str">
        <x:v>Large-Basket Occasional Shoppers</x:v>
      </x:c>
      <x:c r="D862" s="60" t="n">
        <x:v>2619.23</x:v>
      </x:c>
      <x:c r="E862" s="50" t="n">
        <x:v>74</x:v>
      </x:c>
      <x:c r="F862" s="46" t="n">
        <x:v>3.523809523809524</x:v>
      </x:c>
      <x:c r="G862" s="46" t="n">
        <x:v>1</x:v>
      </x:c>
      <x:c r="H862" s="61" t="n">
        <x:v>35.395</x:v>
      </x:c>
      <x:c r="I862" s="52" t="n">
        <x:v>0.8918918918918918</x:v>
      </x:c>
      <x:c r="J862" s="52" t="n">
        <x:v>0.4894186459379283</x:v>
      </x:c>
      <x:c r="K862" s="60" t="n">
        <x:v>2533.29</x:v>
      </x:c>
      <x:c r="L862" s="60" t="n">
        <x:v>85.94</x:v>
      </x:c>
      <x:c r="M862" s="50" t="n">
        <x:v>66</x:v>
      </x:c>
      <x:c r="N862" s="50" t="n">
        <x:v>8</x:v>
      </x:c>
      <x:c r="O862" s="50" t="n">
        <x:v>127</x:v>
      </x:c>
      <x:c r="P862" s="50" t="n">
        <x:v>21</x:v>
      </x:c>
    </x:row>
    <x:row r="863" ht="36" customHeight="1">
      <x:c r="A863" s="53" t="n">
        <x:v>844</x:v>
      </x:c>
      <x:c r="B863" s="53" t="n">
        <x:v>1</x:v>
      </x:c>
      <x:c r="C863" s="40" t="str">
        <x:v>High-Value Frequent Shoppers</x:v>
      </x:c>
      <x:c r="D863" s="60" t="n">
        <x:v>5399.64</x:v>
      </x:c>
      <x:c r="E863" s="50" t="n">
        <x:v>141</x:v>
      </x:c>
      <x:c r="F863" s="46" t="n">
        <x:v>6.409090909090909</x:v>
      </x:c>
      <x:c r="G863" s="46" t="n">
        <x:v>1</x:v>
      </x:c>
      <x:c r="H863" s="61" t="n">
        <x:v>38.295319148936166</x:v>
      </x:c>
      <x:c r="I863" s="52" t="n">
        <x:v>0.8368794326241134</x:v>
      </x:c>
      <x:c r="J863" s="52" t="n">
        <x:v>0.3407023431191709</x:v>
      </x:c>
      <x:c r="K863" s="60" t="n">
        <x:v>4988.17</x:v>
      </x:c>
      <x:c r="L863" s="60" t="n">
        <x:v>411.47</x:v>
      </x:c>
      <x:c r="M863" s="50" t="n">
        <x:v>118</x:v>
      </x:c>
      <x:c r="N863" s="50" t="n">
        <x:v>23</x:v>
      </x:c>
      <x:c r="O863" s="50" t="n">
        <x:v>151</x:v>
      </x:c>
      <x:c r="P863" s="50" t="n">
        <x:v>22</x:v>
      </x:c>
    </x:row>
    <x:row r="864" ht="36" customHeight="1">
      <x:c r="A864" s="53" t="n">
        <x:v>845</x:v>
      </x:c>
      <x:c r="B864" s="53" t="n">
        <x:v>1</x:v>
      </x:c>
      <x:c r="C864" s="40" t="str">
        <x:v>High-Value Frequent Shoppers</x:v>
      </x:c>
      <x:c r="D864" s="60" t="n">
        <x:v>5097.28</x:v>
      </x:c>
      <x:c r="E864" s="50" t="n">
        <x:v>117</x:v>
      </x:c>
      <x:c r="F864" s="46" t="n">
        <x:v>5.571428571428571</x:v>
      </x:c>
      <x:c r="G864" s="46" t="n">
        <x:v>6</x:v>
      </x:c>
      <x:c r="H864" s="61" t="n">
        <x:v>43.56649572649573</x:v>
      </x:c>
      <x:c r="I864" s="52" t="n">
        <x:v>0.9316239316239316</x:v>
      </x:c>
      <x:c r="J864" s="52" t="n">
        <x:v>0.4650676439198945</x:v>
      </x:c>
      <x:c r="K864" s="60" t="n">
        <x:v>4966.67</x:v>
      </x:c>
      <x:c r="L864" s="60" t="n">
        <x:v>130.61</x:v>
      </x:c>
      <x:c r="M864" s="50" t="n">
        <x:v>109</x:v>
      </x:c>
      <x:c r="N864" s="50" t="n">
        <x:v>8</x:v>
      </x:c>
      <x:c r="O864" s="50" t="n">
        <x:v>177</x:v>
      </x:c>
      <x:c r="P864" s="50" t="n">
        <x:v>21</x:v>
      </x:c>
    </x:row>
    <x:row r="865" ht="36" customHeight="1">
      <x:c r="A865" s="53" t="n">
        <x:v>846</x:v>
      </x:c>
      <x:c r="B865" s="53" t="n">
        <x:v>2</x:v>
      </x:c>
      <x:c r="C865" s="40" t="str">
        <x:v>Large-Basket Occasional Shoppers</x:v>
      </x:c>
      <x:c r="D865" s="60" t="n">
        <x:v>1120.9</x:v>
      </x:c>
      <x:c r="E865" s="50" t="n">
        <x:v>34</x:v>
      </x:c>
      <x:c r="F865" s="46" t="n">
        <x:v>2.833333333333333</x:v>
      </x:c>
      <x:c r="G865" s="46" t="n">
        <x:v>27</x:v>
      </x:c>
      <x:c r="H865" s="61" t="n">
        <x:v>32.96764705882353</x:v>
      </x:c>
      <x:c r="I865" s="52" t="n">
        <x:v>0.9411764705882352</x:v>
      </x:c>
      <x:c r="J865" s="52" t="n">
        <x:v>0.4821036666964046</x:v>
      </x:c>
      <x:c r="K865" s="60" t="n">
        <x:v>1105.24</x:v>
      </x:c>
      <x:c r="L865" s="60" t="n">
        <x:v>15.66</x:v>
      </x:c>
      <x:c r="M865" s="50" t="n">
        <x:v>32</x:v>
      </x:c>
      <x:c r="N865" s="50" t="n">
        <x:v>2</x:v>
      </x:c>
      <x:c r="O865" s="50" t="n">
        <x:v>94</x:v>
      </x:c>
      <x:c r="P865" s="50" t="n">
        <x:v>12</x:v>
      </x:c>
    </x:row>
    <x:row r="866" ht="36" customHeight="1">
      <x:c r="A866" s="53" t="n">
        <x:v>847</x:v>
      </x:c>
      <x:c r="B866" s="53" t="n">
        <x:v>2</x:v>
      </x:c>
      <x:c r="C866" s="40" t="str">
        <x:v>Large-Basket Occasional Shoppers</x:v>
      </x:c>
      <x:c r="D866" s="60" t="n">
        <x:v>1463.32</x:v>
      </x:c>
      <x:c r="E866" s="50" t="n">
        <x:v>53</x:v>
      </x:c>
      <x:c r="F866" s="46" t="n">
        <x:v>2.944444444444444</x:v>
      </x:c>
      <x:c r="G866" s="46" t="n">
        <x:v>3</x:v>
      </x:c>
      <x:c r="H866" s="61" t="n">
        <x:v>27.60981132075472</x:v>
      </x:c>
      <x:c r="I866" s="52" t="n">
        <x:v>0.9056603773584904</x:v>
      </x:c>
      <x:c r="J866" s="52" t="n">
        <x:v>0.5227359702594101</x:v>
      </x:c>
      <x:c r="K866" s="60" t="n">
        <x:v>1345.56</x:v>
      </x:c>
      <x:c r="L866" s="60" t="n">
        <x:v>117.76</x:v>
      </x:c>
      <x:c r="M866" s="50" t="n">
        <x:v>48</x:v>
      </x:c>
      <x:c r="N866" s="50" t="n">
        <x:v>5</x:v>
      </x:c>
      <x:c r="O866" s="50" t="n">
        <x:v>114</x:v>
      </x:c>
      <x:c r="P866" s="50" t="n">
        <x:v>18</x:v>
      </x:c>
    </x:row>
    <x:row r="867" ht="36" customHeight="1">
      <x:c r="A867" s="53" t="n">
        <x:v>848</x:v>
      </x:c>
      <x:c r="B867" s="53" t="n">
        <x:v>2</x:v>
      </x:c>
      <x:c r="C867" s="40" t="str">
        <x:v>Large-Basket Occasional Shoppers</x:v>
      </x:c>
      <x:c r="D867" s="60" t="n">
        <x:v>2684.13</x:v>
      </x:c>
      <x:c r="E867" s="50" t="n">
        <x:v>29</x:v>
      </x:c>
      <x:c r="F867" s="46" t="n">
        <x:v>1.6111111111111112</x:v>
      </x:c>
      <x:c r="G867" s="46" t="n">
        <x:v>7</x:v>
      </x:c>
      <x:c r="H867" s="61" t="n">
        <x:v>92.55620689655171</x:v>
      </x:c>
      <x:c r="I867" s="52" t="n">
        <x:v>0.9310344827586206</x:v>
      </x:c>
      <x:c r="J867" s="52" t="n">
        <x:v>0.4798724353887479</x:v>
      </x:c>
      <x:c r="K867" s="60" t="n">
        <x:v>2654.18</x:v>
      </x:c>
      <x:c r="L867" s="60" t="n">
        <x:v>29.95</x:v>
      </x:c>
      <x:c r="M867" s="50" t="n">
        <x:v>27</x:v>
      </x:c>
      <x:c r="N867" s="50" t="n">
        <x:v>2</x:v>
      </x:c>
      <x:c r="O867" s="50" t="n">
        <x:v>111</x:v>
      </x:c>
      <x:c r="P867" s="50" t="n">
        <x:v>18</x:v>
      </x:c>
    </x:row>
    <x:row r="868" ht="36" customHeight="1">
      <x:c r="A868" s="53" t="n">
        <x:v>849</x:v>
      </x:c>
      <x:c r="B868" s="53" t="n">
        <x:v>2</x:v>
      </x:c>
      <x:c r="C868" s="40" t="str">
        <x:v>Large-Basket Occasional Shoppers</x:v>
      </x:c>
      <x:c r="D868" s="60" t="n">
        <x:v>4599.52</x:v>
      </x:c>
      <x:c r="E868" s="50" t="n">
        <x:v>62</x:v>
      </x:c>
      <x:c r="F868" s="46" t="n">
        <x:v>3.1</x:v>
      </x:c>
      <x:c r="G868" s="46" t="n">
        <x:v>3</x:v>
      </x:c>
      <x:c r="H868" s="61" t="n">
        <x:v>74.18580645161289</x:v>
      </x:c>
      <x:c r="I868" s="52" t="n">
        <x:v>0.9516129032258064</x:v>
      </x:c>
      <x:c r="J868" s="52" t="n">
        <x:v>0.322977180227502</x:v>
      </x:c>
      <x:c r="K868" s="60" t="n">
        <x:v>4526.68</x:v>
      </x:c>
      <x:c r="L868" s="60" t="n">
        <x:v>72.84</x:v>
      </x:c>
      <x:c r="M868" s="50" t="n">
        <x:v>59</x:v>
      </x:c>
      <x:c r="N868" s="50" t="n">
        <x:v>3</x:v>
      </x:c>
      <x:c r="O868" s="50" t="n">
        <x:v>149</x:v>
      </x:c>
      <x:c r="P868" s="50" t="n">
        <x:v>20</x:v>
      </x:c>
    </x:row>
    <x:row r="869" ht="36" customHeight="1">
      <x:c r="A869" s="53" t="n">
        <x:v>850</x:v>
      </x:c>
      <x:c r="B869" s="53" t="n">
        <x:v>3</x:v>
      </x:c>
      <x:c r="C869" s="40" t="str">
        <x:v>Low-Value Low-Engagement Shoppers</x:v>
      </x:c>
      <x:c r="D869" s="60" t="n">
        <x:v>1252.91</x:v>
      </x:c>
      <x:c r="E869" s="50" t="n">
        <x:v>97</x:v>
      </x:c>
      <x:c r="F869" s="46" t="n">
        <x:v>4.217391304347825</x:v>
      </x:c>
      <x:c r="G869" s="46" t="n">
        <x:v>10</x:v>
      </x:c>
      <x:c r="H869" s="61" t="n">
        <x:v>12.916597938144328</x:v>
      </x:c>
      <x:c r="I869" s="52" t="n">
        <x:v>0.7422680412371134</x:v>
      </x:c>
      <x:c r="J869" s="52" t="n">
        <x:v>0.4356737515064928</x:v>
      </x:c>
      <x:c r="K869" s="60" t="n">
        <x:v>1167.68</x:v>
      </x:c>
      <x:c r="L869" s="60" t="n">
        <x:v>85.23</x:v>
      </x:c>
      <x:c r="M869" s="50" t="n">
        <x:v>72</x:v>
      </x:c>
      <x:c r="N869" s="50" t="n">
        <x:v>25</x:v>
      </x:c>
      <x:c r="O869" s="50" t="n">
        <x:v>99</x:v>
      </x:c>
      <x:c r="P869" s="50" t="n">
        <x:v>23</x:v>
      </x:c>
    </x:row>
    <x:row r="870" ht="36" customHeight="1">
      <x:c r="A870" s="53" t="n">
        <x:v>851</x:v>
      </x:c>
      <x:c r="B870" s="53" t="n">
        <x:v>3</x:v>
      </x:c>
      <x:c r="C870" s="40" t="str">
        <x:v>Low-Value Low-Engagement Shoppers</x:v>
      </x:c>
      <x:c r="D870" s="60" t="n">
        <x:v>166.78</x:v>
      </x:c>
      <x:c r="E870" s="50" t="n">
        <x:v>21</x:v>
      </x:c>
      <x:c r="F870" s="46" t="n">
        <x:v>1.6153846153846154</x:v>
      </x:c>
      <x:c r="G870" s="46" t="n">
        <x:v>49</x:v>
      </x:c>
      <x:c r="H870" s="61" t="n">
        <x:v>7.941904761904763</x:v>
      </x:c>
      <x:c r="I870" s="52" t="n">
        <x:v>0.5238095238095238</x:v>
      </x:c>
      <x:c r="J870" s="52" t="n">
        <x:v>0.3635327976975656</x:v>
      </x:c>
      <x:c r="K870" s="60" t="n">
        <x:v>116.52</x:v>
      </x:c>
      <x:c r="L870" s="60" t="n">
        <x:v>50.26</x:v>
      </x:c>
      <x:c r="M870" s="50" t="n">
        <x:v>11</x:v>
      </x:c>
      <x:c r="N870" s="50" t="n">
        <x:v>10</x:v>
      </x:c>
      <x:c r="O870" s="50" t="n">
        <x:v>18</x:v>
      </x:c>
      <x:c r="P870" s="50" t="n">
        <x:v>13</x:v>
      </x:c>
    </x:row>
    <x:row r="871" ht="36" customHeight="1">
      <x:c r="A871" s="53" t="n">
        <x:v>852</x:v>
      </x:c>
      <x:c r="B871" s="53" t="n">
        <x:v>1</x:v>
      </x:c>
      <x:c r="C871" s="40" t="str">
        <x:v>High-Value Frequent Shoppers</x:v>
      </x:c>
      <x:c r="D871" s="60" t="n">
        <x:v>1943.73</x:v>
      </x:c>
      <x:c r="E871" s="50" t="n">
        <x:v>94</x:v>
      </x:c>
      <x:c r="F871" s="46" t="n">
        <x:v>4.476190476190476</x:v>
      </x:c>
      <x:c r="G871" s="46" t="n">
        <x:v>7</x:v>
      </x:c>
      <x:c r="H871" s="61" t="n">
        <x:v>20.67797872340425</x:v>
      </x:c>
      <x:c r="I871" s="52" t="n">
        <x:v>0.7659574468085106</x:v>
      </x:c>
      <x:c r="J871" s="52" t="n">
        <x:v>0.3359931677753597</x:v>
      </x:c>
      <x:c r="K871" s="60" t="n">
        <x:v>1746.35</x:v>
      </x:c>
      <x:c r="L871" s="60" t="n">
        <x:v>197.38</x:v>
      </x:c>
      <x:c r="M871" s="50" t="n">
        <x:v>72</x:v>
      </x:c>
      <x:c r="N871" s="50" t="n">
        <x:v>22</x:v>
      </x:c>
      <x:c r="O871" s="50" t="n">
        <x:v>135</x:v>
      </x:c>
      <x:c r="P871" s="50" t="n">
        <x:v>21</x:v>
      </x:c>
    </x:row>
    <x:row r="872" ht="36" customHeight="1">
      <x:c r="A872" s="53" t="n">
        <x:v>853</x:v>
      </x:c>
      <x:c r="B872" s="53" t="n">
        <x:v>1</x:v>
      </x:c>
      <x:c r="C872" s="40" t="str">
        <x:v>High-Value Frequent Shoppers</x:v>
      </x:c>
      <x:c r="D872" s="60" t="n">
        <x:v>13497.29</x:v>
      </x:c>
      <x:c r="E872" s="50" t="n">
        <x:v>516</x:v>
      </x:c>
      <x:c r="F872" s="46" t="n">
        <x:v>23.454545454545453</x:v>
      </x:c>
      <x:c r="G872" s="46" t="n">
        <x:v>1</x:v>
      </x:c>
      <x:c r="H872" s="61" t="n">
        <x:v>26.15753875968992</x:v>
      </x:c>
      <x:c r="I872" s="52" t="n">
        <x:v>0.7364341085271316</x:v>
      </x:c>
      <x:c r="J872" s="52" t="n">
        <x:v>0.2446950461907538</x:v>
      </x:c>
      <x:c r="K872" s="60" t="n">
        <x:v>10810.88</x:v>
      </x:c>
      <x:c r="L872" s="60" t="n">
        <x:v>2686.41</x:v>
      </x:c>
      <x:c r="M872" s="50" t="n">
        <x:v>380</x:v>
      </x:c>
      <x:c r="N872" s="50" t="n">
        <x:v>136</x:v>
      </x:c>
      <x:c r="O872" s="50" t="n">
        <x:v>160</x:v>
      </x:c>
      <x:c r="P872" s="50" t="n">
        <x:v>22</x:v>
      </x:c>
    </x:row>
    <x:row r="873" ht="36" customHeight="1">
      <x:c r="A873" s="53" t="n">
        <x:v>854</x:v>
      </x:c>
      <x:c r="B873" s="53" t="n">
        <x:v>3</x:v>
      </x:c>
      <x:c r="C873" s="40" t="str">
        <x:v>Low-Value Low-Engagement Shoppers</x:v>
      </x:c>
      <x:c r="D873" s="60" t="n">
        <x:v>551.87</x:v>
      </x:c>
      <x:c r="E873" s="50" t="n">
        <x:v>36</x:v>
      </x:c>
      <x:c r="F873" s="46" t="n">
        <x:v>2.117647058823529</x:v>
      </x:c>
      <x:c r="G873" s="46" t="n">
        <x:v>33</x:v>
      </x:c>
      <x:c r="H873" s="61" t="n">
        <x:v>15.32972222222222</x:v>
      </x:c>
      <x:c r="I873" s="52" t="n">
        <x:v>0.7777777777777777</x:v>
      </x:c>
      <x:c r="J873" s="52" t="n">
        <x:v>0.4544548534981064</x:v>
      </x:c>
      <x:c r="K873" s="60" t="n">
        <x:v>483.48</x:v>
      </x:c>
      <x:c r="L873" s="60" t="n">
        <x:v>68.39</x:v>
      </x:c>
      <x:c r="M873" s="50" t="n">
        <x:v>28</x:v>
      </x:c>
      <x:c r="N873" s="50" t="n">
        <x:v>8</x:v>
      </x:c>
      <x:c r="O873" s="50" t="n">
        <x:v>78</x:v>
      </x:c>
      <x:c r="P873" s="50" t="n">
        <x:v>17</x:v>
      </x:c>
    </x:row>
    <x:row r="874" ht="36" customHeight="1">
      <x:c r="A874" s="53" t="n">
        <x:v>855</x:v>
      </x:c>
      <x:c r="B874" s="53" t="n">
        <x:v>1</x:v>
      </x:c>
      <x:c r="C874" s="40" t="str">
        <x:v>High-Value Frequent Shoppers</x:v>
      </x:c>
      <x:c r="D874" s="60" t="n">
        <x:v>5617.79</x:v>
      </x:c>
      <x:c r="E874" s="50" t="n">
        <x:v>209</x:v>
      </x:c>
      <x:c r="F874" s="46" t="n">
        <x:v>12.294117647058824</x:v>
      </x:c>
      <x:c r="G874" s="46" t="n">
        <x:v>1</x:v>
      </x:c>
      <x:c r="H874" s="61" t="n">
        <x:v>26.879377990430623</x:v>
      </x:c>
      <x:c r="I874" s="52" t="n">
        <x:v>0.8086124401913874</x:v>
      </x:c>
      <x:c r="J874" s="52" t="n">
        <x:v>0.5728391413705389</x:v>
      </x:c>
      <x:c r="K874" s="60" t="n">
        <x:v>5170.81</x:v>
      </x:c>
      <x:c r="L874" s="60" t="n">
        <x:v>446.98</x:v>
      </x:c>
      <x:c r="M874" s="50" t="n">
        <x:v>169</x:v>
      </x:c>
      <x:c r="N874" s="50" t="n">
        <x:v>40</x:v>
      </x:c>
      <x:c r="O874" s="50" t="n">
        <x:v>166</x:v>
      </x:c>
      <x:c r="P874" s="50" t="n">
        <x:v>17</x:v>
      </x:c>
    </x:row>
    <x:row r="875" ht="36" customHeight="1">
      <x:c r="A875" s="53" t="n">
        <x:v>856</x:v>
      </x:c>
      <x:c r="B875" s="53" t="n">
        <x:v>1</x:v>
      </x:c>
      <x:c r="C875" s="40" t="str">
        <x:v>High-Value Frequent Shoppers</x:v>
      </x:c>
      <x:c r="D875" s="60" t="n">
        <x:v>5080.04</x:v>
      </x:c>
      <x:c r="E875" s="50" t="n">
        <x:v>182</x:v>
      </x:c>
      <x:c r="F875" s="46" t="n">
        <x:v>8.666666666666666</x:v>
      </x:c>
      <x:c r="G875" s="46" t="n">
        <x:v>1</x:v>
      </x:c>
      <x:c r="H875" s="61" t="n">
        <x:v>27.91230769230769</x:v>
      </x:c>
      <x:c r="I875" s="52" t="n">
        <x:v>0.934065934065934</x:v>
      </x:c>
      <x:c r="J875" s="52" t="n">
        <x:v>0.6238100487397737</x:v>
      </x:c>
      <x:c r="K875" s="60" t="n">
        <x:v>4998.59</x:v>
      </x:c>
      <x:c r="L875" s="60" t="n">
        <x:v>81.45</x:v>
      </x:c>
      <x:c r="M875" s="50" t="n">
        <x:v>170</x:v>
      </x:c>
      <x:c r="N875" s="50" t="n">
        <x:v>12</x:v>
      </x:c>
      <x:c r="O875" s="50" t="n">
        <x:v>154</x:v>
      </x:c>
      <x:c r="P875" s="50" t="n">
        <x:v>21</x:v>
      </x:c>
    </x:row>
    <x:row r="876" ht="36" customHeight="1">
      <x:c r="A876" s="53" t="n">
        <x:v>857</x:v>
      </x:c>
      <x:c r="B876" s="53" t="n">
        <x:v>2</x:v>
      </x:c>
      <x:c r="C876" s="40" t="str">
        <x:v>Large-Basket Occasional Shoppers</x:v>
      </x:c>
      <x:c r="D876" s="60" t="n">
        <x:v>4040.81</x:v>
      </x:c>
      <x:c r="E876" s="50" t="n">
        <x:v>43</x:v>
      </x:c>
      <x:c r="F876" s="46" t="n">
        <x:v>2.15</x:v>
      </x:c>
      <x:c r="G876" s="46" t="n">
        <x:v>8</x:v>
      </x:c>
      <x:c r="H876" s="61" t="n">
        <x:v>93.97232558139537</x:v>
      </x:c>
      <x:c r="I876" s="52" t="n">
        <x:v>0.9767441860465116</x:v>
      </x:c>
      <x:c r="J876" s="52" t="n">
        <x:v>0.4451063029442116</x:v>
      </x:c>
      <x:c r="K876" s="60" t="n">
        <x:v>4034.69</x:v>
      </x:c>
      <x:c r="L876" s="60" t="n">
        <x:v>6.12</x:v>
      </x:c>
      <x:c r="M876" s="50" t="n">
        <x:v>42</x:v>
      </x:c>
      <x:c r="N876" s="50" t="n">
        <x:v>1</x:v>
      </x:c>
      <x:c r="O876" s="50" t="n">
        <x:v>131</x:v>
      </x:c>
      <x:c r="P876" s="50" t="n">
        <x:v>20</x:v>
      </x:c>
    </x:row>
    <x:row r="877" ht="36" customHeight="1">
      <x:c r="A877" s="53" t="n">
        <x:v>858</x:v>
      </x:c>
      <x:c r="B877" s="53" t="n">
        <x:v>3</x:v>
      </x:c>
      <x:c r="C877" s="40" t="str">
        <x:v>Low-Value Low-Engagement Shoppers</x:v>
      </x:c>
      <x:c r="D877" s="60" t="n">
        <x:v>594.23</x:v>
      </x:c>
      <x:c r="E877" s="50" t="n">
        <x:v>42</x:v>
      </x:c>
      <x:c r="F877" s="46" t="n">
        <x:v>2.1</x:v>
      </x:c>
      <x:c r="G877" s="46" t="n">
        <x:v>1</x:v>
      </x:c>
      <x:c r="H877" s="61" t="n">
        <x:v>14.148333333333332</x:v>
      </x:c>
      <x:c r="I877" s="52" t="n">
        <x:v>0.7619047619047619</x:v>
      </x:c>
      <x:c r="J877" s="52" t="n">
        <x:v>0.4027396799219157</x:v>
      </x:c>
      <x:c r="K877" s="60" t="n">
        <x:v>534.69</x:v>
      </x:c>
      <x:c r="L877" s="60" t="n">
        <x:v>59.54</x:v>
      </x:c>
      <x:c r="M877" s="50" t="n">
        <x:v>32</x:v>
      </x:c>
      <x:c r="N877" s="50" t="n">
        <x:v>10</x:v>
      </x:c>
      <x:c r="O877" s="50" t="n">
        <x:v>85</x:v>
      </x:c>
      <x:c r="P877" s="50" t="n">
        <x:v>20</x:v>
      </x:c>
    </x:row>
    <x:row r="878" ht="36" customHeight="1">
      <x:c r="A878" s="53" t="n">
        <x:v>859</x:v>
      </x:c>
      <x:c r="B878" s="53" t="n">
        <x:v>1</x:v>
      </x:c>
      <x:c r="C878" s="40" t="str">
        <x:v>High-Value Frequent Shoppers</x:v>
      </x:c>
      <x:c r="D878" s="60" t="n">
        <x:v>7074.2</x:v>
      </x:c>
      <x:c r="E878" s="50" t="n">
        <x:v>194</x:v>
      </x:c>
      <x:c r="F878" s="46" t="n">
        <x:v>8.818181818181818</x:v>
      </x:c>
      <x:c r="G878" s="46" t="n">
        <x:v>1</x:v>
      </x:c>
      <x:c r="H878" s="61" t="n">
        <x:v>36.46494845360825</x:v>
      </x:c>
      <x:c r="I878" s="52" t="n">
        <x:v>0.9484536082474226</x:v>
      </x:c>
      <x:c r="J878" s="52" t="n">
        <x:v>0.4761259223657798</x:v>
      </x:c>
      <x:c r="K878" s="60" t="n">
        <x:v>7017.17</x:v>
      </x:c>
      <x:c r="L878" s="60" t="n">
        <x:v>57.03</x:v>
      </x:c>
      <x:c r="M878" s="50" t="n">
        <x:v>184</x:v>
      </x:c>
      <x:c r="N878" s="50" t="n">
        <x:v>10</x:v>
      </x:c>
      <x:c r="O878" s="50" t="n">
        <x:v>179</x:v>
      </x:c>
      <x:c r="P878" s="50" t="n">
        <x:v>22</x:v>
      </x:c>
    </x:row>
    <x:row r="879" ht="36" customHeight="1">
      <x:c r="A879" s="53" t="n">
        <x:v>860</x:v>
      </x:c>
      <x:c r="B879" s="53" t="n">
        <x:v>3</x:v>
      </x:c>
      <x:c r="C879" s="40" t="str">
        <x:v>Low-Value Low-Engagement Shoppers</x:v>
      </x:c>
      <x:c r="D879" s="60" t="n">
        <x:v>261.06</x:v>
      </x:c>
      <x:c r="E879" s="50" t="n">
        <x:v>52</x:v>
      </x:c>
      <x:c r="F879" s="46" t="n">
        <x:v>8.666666666666666</x:v>
      </x:c>
      <x:c r="G879" s="46" t="n">
        <x:v>75</x:v>
      </x:c>
      <x:c r="H879" s="61" t="n">
        <x:v>5.020384615384616</x:v>
      </x:c>
      <x:c r="I879" s="52" t="n">
        <x:v>0.8076923076923076</x:v>
      </x:c>
      <x:c r="J879" s="52" t="n">
        <x:v>0.5566153374703133</x:v>
      </x:c>
      <x:c r="K879" s="60" t="n">
        <x:v>226.63</x:v>
      </x:c>
      <x:c r="L879" s="60" t="n">
        <x:v>34.43</x:v>
      </x:c>
      <x:c r="M879" s="50" t="n">
        <x:v>42</x:v>
      </x:c>
      <x:c r="N879" s="50" t="n">
        <x:v>10</x:v>
      </x:c>
      <x:c r="O879" s="50" t="n">
        <x:v>29</x:v>
      </x:c>
      <x:c r="P879" s="50" t="n">
        <x:v>6</x:v>
      </x:c>
    </x:row>
    <x:row r="880" ht="36" customHeight="1">
      <x:c r="A880" s="53" t="n">
        <x:v>861</x:v>
      </x:c>
      <x:c r="B880" s="53" t="n">
        <x:v>2</x:v>
      </x:c>
      <x:c r="C880" s="40" t="str">
        <x:v>Large-Basket Occasional Shoppers</x:v>
      </x:c>
      <x:c r="D880" s="60" t="n">
        <x:v>1382.53</x:v>
      </x:c>
      <x:c r="E880" s="50" t="n">
        <x:v>34</x:v>
      </x:c>
      <x:c r="F880" s="46" t="n">
        <x:v>2.125</x:v>
      </x:c>
      <x:c r="G880" s="46" t="n">
        <x:v>5</x:v>
      </x:c>
      <x:c r="H880" s="61" t="n">
        <x:v>40.66264705882353</x:v>
      </x:c>
      <x:c r="I880" s="52" t="n">
        <x:v>0.7352941176470588</x:v>
      </x:c>
      <x:c r="J880" s="52" t="n">
        <x:v>0.2856646872038943</x:v>
      </x:c>
      <x:c r="K880" s="60" t="n">
        <x:v>1266.09</x:v>
      </x:c>
      <x:c r="L880" s="60" t="n">
        <x:v>116.44</x:v>
      </x:c>
      <x:c r="M880" s="50" t="n">
        <x:v>25</x:v>
      </x:c>
      <x:c r="N880" s="50" t="n">
        <x:v>9</x:v>
      </x:c>
      <x:c r="O880" s="50" t="n">
        <x:v>76</x:v>
      </x:c>
      <x:c r="P880" s="50" t="n">
        <x:v>16</x:v>
      </x:c>
    </x:row>
    <x:row r="881" ht="36" customHeight="1">
      <x:c r="A881" s="53" t="n">
        <x:v>862</x:v>
      </x:c>
      <x:c r="B881" s="53" t="n">
        <x:v>1</x:v>
      </x:c>
      <x:c r="C881" s="40" t="str">
        <x:v>High-Value Frequent Shoppers</x:v>
      </x:c>
      <x:c r="D881" s="60" t="n">
        <x:v>1753.9</x:v>
      </x:c>
      <x:c r="E881" s="50" t="n">
        <x:v>71</x:v>
      </x:c>
      <x:c r="F881" s="46" t="n">
        <x:v>3.9444444444444446</x:v>
      </x:c>
      <x:c r="G881" s="46" t="n">
        <x:v>0</x:v>
      </x:c>
      <x:c r="H881" s="61" t="n">
        <x:v>24.702816901408447</x:v>
      </x:c>
      <x:c r="I881" s="52" t="n">
        <x:v>0.8169014084507042</x:v>
      </x:c>
      <x:c r="J881" s="52" t="n">
        <x:v>0.4905752893551513</x:v>
      </x:c>
      <x:c r="K881" s="60" t="n">
        <x:v>1700.22</x:v>
      </x:c>
      <x:c r="L881" s="60" t="n">
        <x:v>53.68</x:v>
      </x:c>
      <x:c r="M881" s="50" t="n">
        <x:v>58</x:v>
      </x:c>
      <x:c r="N881" s="50" t="n">
        <x:v>13</x:v>
      </x:c>
      <x:c r="O881" s="50" t="n">
        <x:v>117</x:v>
      </x:c>
      <x:c r="P881" s="50" t="n">
        <x:v>18</x:v>
      </x:c>
    </x:row>
    <x:row r="882" ht="36" customHeight="1">
      <x:c r="A882" s="53" t="n">
        <x:v>863</x:v>
      </x:c>
      <x:c r="B882" s="53" t="n">
        <x:v>1</x:v>
      </x:c>
      <x:c r="C882" s="40" t="str">
        <x:v>High-Value Frequent Shoppers</x:v>
      </x:c>
      <x:c r="D882" s="60" t="n">
        <x:v>2183.53</x:v>
      </x:c>
      <x:c r="E882" s="50" t="n">
        <x:v>146</x:v>
      </x:c>
      <x:c r="F882" s="46" t="n">
        <x:v>8.11111111111111</x:v>
      </x:c>
      <x:c r="G882" s="46" t="n">
        <x:v>0</x:v>
      </x:c>
      <x:c r="H882" s="61" t="n">
        <x:v>14.955684931506848</x:v>
      </x:c>
      <x:c r="I882" s="52" t="n">
        <x:v>0.7876712328767123</x:v>
      </x:c>
      <x:c r="J882" s="52" t="n">
        <x:v>0.6080795775647689</x:v>
      </x:c>
      <x:c r="K882" s="60" t="n">
        <x:v>1896.44</x:v>
      </x:c>
      <x:c r="L882" s="60" t="n">
        <x:v>287.09</x:v>
      </x:c>
      <x:c r="M882" s="50" t="n">
        <x:v>115</x:v>
      </x:c>
      <x:c r="N882" s="50" t="n">
        <x:v>31</x:v>
      </x:c>
      <x:c r="O882" s="50" t="n">
        <x:v>111</x:v>
      </x:c>
      <x:c r="P882" s="50" t="n">
        <x:v>18</x:v>
      </x:c>
    </x:row>
    <x:row r="883" ht="36" customHeight="1">
      <x:c r="A883" s="53" t="n">
        <x:v>864</x:v>
      </x:c>
      <x:c r="B883" s="53" t="n">
        <x:v>1</x:v>
      </x:c>
      <x:c r="C883" s="40" t="str">
        <x:v>High-Value Frequent Shoppers</x:v>
      </x:c>
      <x:c r="D883" s="60" t="n">
        <x:v>7892.97</x:v>
      </x:c>
      <x:c r="E883" s="50" t="n">
        <x:v>109</x:v>
      </x:c>
      <x:c r="F883" s="46" t="n">
        <x:v>4.541666666666666</x:v>
      </x:c>
      <x:c r="G883" s="46" t="n">
        <x:v>0</x:v>
      </x:c>
      <x:c r="H883" s="61" t="n">
        <x:v>72.41256880733945</x:v>
      </x:c>
      <x:c r="I883" s="52" t="n">
        <x:v>0.963302752293578</x:v>
      </x:c>
      <x:c r="J883" s="52" t="n">
        <x:v>0.4461919911009417</x:v>
      </x:c>
      <x:c r="K883" s="60" t="n">
        <x:v>7854.2</x:v>
      </x:c>
      <x:c r="L883" s="60" t="n">
        <x:v>38.77</x:v>
      </x:c>
      <x:c r="M883" s="50" t="n">
        <x:v>105</x:v>
      </x:c>
      <x:c r="N883" s="50" t="n">
        <x:v>4</x:v>
      </x:c>
      <x:c r="O883" s="50" t="n">
        <x:v>163</x:v>
      </x:c>
      <x:c r="P883" s="50" t="n">
        <x:v>24</x:v>
      </x:c>
    </x:row>
    <x:row r="884" ht="36" customHeight="1">
      <x:c r="A884" s="53" t="n">
        <x:v>865</x:v>
      </x:c>
      <x:c r="B884" s="53" t="n">
        <x:v>2</x:v>
      </x:c>
      <x:c r="C884" s="40" t="str">
        <x:v>Large-Basket Occasional Shoppers</x:v>
      </x:c>
      <x:c r="D884" s="60" t="n">
        <x:v>1887.73</x:v>
      </x:c>
      <x:c r="E884" s="50" t="n">
        <x:v>35</x:v>
      </x:c>
      <x:c r="F884" s="46" t="n">
        <x:v>2.916666666666667</x:v>
      </x:c>
      <x:c r="G884" s="46" t="n">
        <x:v>16</x:v>
      </x:c>
      <x:c r="H884" s="61" t="n">
        <x:v>53.93514285714286</x:v>
      </x:c>
      <x:c r="I884" s="52" t="n">
        <x:v>0.9714285714285714</x:v>
      </x:c>
      <x:c r="J884" s="52" t="n">
        <x:v>0.6271659612338628</x:v>
      </x:c>
      <x:c r="K884" s="60" t="n">
        <x:v>1872.41</x:v>
      </x:c>
      <x:c r="L884" s="60" t="n">
        <x:v>15.32</x:v>
      </x:c>
      <x:c r="M884" s="50" t="n">
        <x:v>34</x:v>
      </x:c>
      <x:c r="N884" s="50" t="n">
        <x:v>1</x:v>
      </x:c>
      <x:c r="O884" s="50" t="n">
        <x:v>90</x:v>
      </x:c>
      <x:c r="P884" s="50" t="n">
        <x:v>12</x:v>
      </x:c>
    </x:row>
    <x:row r="885" ht="36" customHeight="1">
      <x:c r="A885" s="53" t="n">
        <x:v>866</x:v>
      </x:c>
      <x:c r="B885" s="53" t="n">
        <x:v>1</x:v>
      </x:c>
      <x:c r="C885" s="40" t="str">
        <x:v>High-Value Frequent Shoppers</x:v>
      </x:c>
      <x:c r="D885" s="60" t="n">
        <x:v>5519.35</x:v>
      </x:c>
      <x:c r="E885" s="50" t="n">
        <x:v>135</x:v>
      </x:c>
      <x:c r="F885" s="46" t="n">
        <x:v>5.869565217391304</x:v>
      </x:c>
      <x:c r="G885" s="46" t="n">
        <x:v>18</x:v>
      </x:c>
      <x:c r="H885" s="61" t="n">
        <x:v>40.88407407407408</x:v>
      </x:c>
      <x:c r="I885" s="52" t="n">
        <x:v>0.9111111111111112</x:v>
      </x:c>
      <x:c r="J885" s="52" t="n">
        <x:v>0.535276798898421</x:v>
      </x:c>
      <x:c r="K885" s="60" t="n">
        <x:v>5378.27</x:v>
      </x:c>
      <x:c r="L885" s="60" t="n">
        <x:v>141.08</x:v>
      </x:c>
      <x:c r="M885" s="50" t="n">
        <x:v>123</x:v>
      </x:c>
      <x:c r="N885" s="50" t="n">
        <x:v>12</x:v>
      </x:c>
      <x:c r="O885" s="50" t="n">
        <x:v>140</x:v>
      </x:c>
      <x:c r="P885" s="50" t="n">
        <x:v>23</x:v>
      </x:c>
    </x:row>
    <x:row r="886" ht="36" customHeight="1">
      <x:c r="A886" s="53" t="n">
        <x:v>867</x:v>
      </x:c>
      <x:c r="B886" s="53" t="n">
        <x:v>1</x:v>
      </x:c>
      <x:c r="C886" s="40" t="str">
        <x:v>High-Value Frequent Shoppers</x:v>
      </x:c>
      <x:c r="D886" s="60" t="n">
        <x:v>6088.84</x:v>
      </x:c>
      <x:c r="E886" s="50" t="n">
        <x:v>181</x:v>
      </x:c>
      <x:c r="F886" s="46" t="n">
        <x:v>7.541666666666665</x:v>
      </x:c>
      <x:c r="G886" s="46" t="n">
        <x:v>0</x:v>
      </x:c>
      <x:c r="H886" s="61" t="n">
        <x:v>33.64</x:v>
      </x:c>
      <x:c r="I886" s="52" t="n">
        <x:v>0.8895027624309392</x:v>
      </x:c>
      <x:c r="J886" s="52" t="n">
        <x:v>0.5625406481365908</x:v>
      </x:c>
      <x:c r="K886" s="60" t="n">
        <x:v>5881.24</x:v>
      </x:c>
      <x:c r="L886" s="60" t="n">
        <x:v>207.6</x:v>
      </x:c>
      <x:c r="M886" s="50" t="n">
        <x:v>161</x:v>
      </x:c>
      <x:c r="N886" s="50" t="n">
        <x:v>20</x:v>
      </x:c>
      <x:c r="O886" s="50" t="n">
        <x:v>177</x:v>
      </x:c>
      <x:c r="P886" s="50" t="n">
        <x:v>24</x:v>
      </x:c>
    </x:row>
    <x:row r="887" ht="36" customHeight="1">
      <x:c r="A887" s="53" t="n">
        <x:v>868</x:v>
      </x:c>
      <x:c r="B887" s="53" t="n">
        <x:v>1</x:v>
      </x:c>
      <x:c r="C887" s="40" t="str">
        <x:v>High-Value Frequent Shoppers</x:v>
      </x:c>
      <x:c r="D887" s="60" t="n">
        <x:v>6836.65</x:v>
      </x:c>
      <x:c r="E887" s="50" t="n">
        <x:v>162</x:v>
      </x:c>
      <x:c r="F887" s="46" t="n">
        <x:v>7.7142857142857135</x:v>
      </x:c>
      <x:c r="G887" s="46" t="n">
        <x:v>3</x:v>
      </x:c>
      <x:c r="H887" s="61" t="n">
        <x:v>42.20154320987655</x:v>
      </x:c>
      <x:c r="I887" s="52" t="n">
        <x:v>0.8888888888888888</x:v>
      </x:c>
      <x:c r="J887" s="52" t="n">
        <x:v>0.5163786357353382</x:v>
      </x:c>
      <x:c r="K887" s="60" t="n">
        <x:v>6545.49</x:v>
      </x:c>
      <x:c r="L887" s="60" t="n">
        <x:v>291.16</x:v>
      </x:c>
      <x:c r="M887" s="50" t="n">
        <x:v>144</x:v>
      </x:c>
      <x:c r="N887" s="50" t="n">
        <x:v>18</x:v>
      </x:c>
      <x:c r="O887" s="50" t="n">
        <x:v>169</x:v>
      </x:c>
      <x:c r="P887" s="50" t="n">
        <x:v>21</x:v>
      </x:c>
    </x:row>
    <x:row r="888" ht="36" customHeight="1">
      <x:c r="A888" s="53" t="n">
        <x:v>869</x:v>
      </x:c>
      <x:c r="B888" s="53" t="n">
        <x:v>3</x:v>
      </x:c>
      <x:c r="C888" s="40" t="str">
        <x:v>Low-Value Low-Engagement Shoppers</x:v>
      </x:c>
      <x:c r="D888" s="60" t="n">
        <x:v>1428.67</x:v>
      </x:c>
      <x:c r="E888" s="50" t="n">
        <x:v>130</x:v>
      </x:c>
      <x:c r="F888" s="46" t="n">
        <x:v>6.190476190476192</x:v>
      </x:c>
      <x:c r="G888" s="46" t="n">
        <x:v>1</x:v>
      </x:c>
      <x:c r="H888" s="61" t="n">
        <x:v>10.98976923076923</x:v>
      </x:c>
      <x:c r="I888" s="52" t="n">
        <x:v>0.7461538461538461</x:v>
      </x:c>
      <x:c r="J888" s="52" t="n">
        <x:v>0.3957526930641785</x:v>
      </x:c>
      <x:c r="K888" s="60" t="n">
        <x:v>1127.44</x:v>
      </x:c>
      <x:c r="L888" s="60" t="n">
        <x:v>301.23</x:v>
      </x:c>
      <x:c r="M888" s="50" t="n">
        <x:v>97</x:v>
      </x:c>
      <x:c r="N888" s="50" t="n">
        <x:v>33</x:v>
      </x:c>
      <x:c r="O888" s="50" t="n">
        <x:v>106</x:v>
      </x:c>
      <x:c r="P888" s="50" t="n">
        <x:v>21</x:v>
      </x:c>
    </x:row>
    <x:row r="889" ht="36" customHeight="1">
      <x:c r="A889" s="53" t="n">
        <x:v>870</x:v>
      </x:c>
      <x:c r="B889" s="53" t="n">
        <x:v>3</x:v>
      </x:c>
      <x:c r="C889" s="40" t="str">
        <x:v>Low-Value Low-Engagement Shoppers</x:v>
      </x:c>
      <x:c r="D889" s="60" t="n">
        <x:v>241.41</x:v>
      </x:c>
      <x:c r="E889" s="50" t="n">
        <x:v>12</x:v>
      </x:c>
      <x:c r="F889" s="46" t="n">
        <x:v>2</x:v>
      </x:c>
      <x:c r="G889" s="46" t="n">
        <x:v>293</x:v>
      </x:c>
      <x:c r="H889" s="61" t="n">
        <x:v>20.1175</x:v>
      </x:c>
      <x:c r="I889" s="52" t="n">
        <x:v>0.75</x:v>
      </x:c>
      <x:c r="J889" s="52" t="n">
        <x:v>0.4817944575618242</x:v>
      </x:c>
      <x:c r="K889" s="60" t="n">
        <x:v>222.01</x:v>
      </x:c>
      <x:c r="L889" s="60" t="n">
        <x:v>19.4</x:v>
      </x:c>
      <x:c r="M889" s="50" t="n">
        <x:v>9</x:v>
      </x:c>
      <x:c r="N889" s="50" t="n">
        <x:v>3</x:v>
      </x:c>
      <x:c r="O889" s="50" t="n">
        <x:v>46</x:v>
      </x:c>
      <x:c r="P889" s="50" t="n">
        <x:v>6</x:v>
      </x:c>
    </x:row>
    <x:row r="890" ht="36" customHeight="1">
      <x:c r="A890" s="53" t="n">
        <x:v>871</x:v>
      </x:c>
      <x:c r="B890" s="53" t="n">
        <x:v>1</x:v>
      </x:c>
      <x:c r="C890" s="40" t="str">
        <x:v>High-Value Frequent Shoppers</x:v>
      </x:c>
      <x:c r="D890" s="60" t="n">
        <x:v>10435.96</x:v>
      </x:c>
      <x:c r="E890" s="50" t="n">
        <x:v>132</x:v>
      </x:c>
      <x:c r="F890" s="46" t="n">
        <x:v>6.285714285714286</x:v>
      </x:c>
      <x:c r="G890" s="46" t="n">
        <x:v>2</x:v>
      </x:c>
      <x:c r="H890" s="61" t="n">
        <x:v>79.06030303030302</x:v>
      </x:c>
      <x:c r="I890" s="52" t="n">
        <x:v>0.8939393939393939</x:v>
      </x:c>
      <x:c r="J890" s="52" t="n">
        <x:v>0.3698423527878604</x:v>
      </x:c>
      <x:c r="K890" s="60" t="n">
        <x:v>10183.85</x:v>
      </x:c>
      <x:c r="L890" s="60" t="n">
        <x:v>252.11</x:v>
      </x:c>
      <x:c r="M890" s="50" t="n">
        <x:v>118</x:v>
      </x:c>
      <x:c r="N890" s="50" t="n">
        <x:v>14</x:v>
      </x:c>
      <x:c r="O890" s="50" t="n">
        <x:v>179</x:v>
      </x:c>
      <x:c r="P890" s="50" t="n">
        <x:v>21</x:v>
      </x:c>
    </x:row>
    <x:row r="891" ht="36" customHeight="1">
      <x:c r="A891" s="53" t="n">
        <x:v>872</x:v>
      </x:c>
      <x:c r="B891" s="53" t="n">
        <x:v>3</x:v>
      </x:c>
      <x:c r="C891" s="40" t="str">
        <x:v>Low-Value Low-Engagement Shoppers</x:v>
      </x:c>
      <x:c r="D891" s="60" t="n">
        <x:v>172.07</x:v>
      </x:c>
      <x:c r="E891" s="50" t="n">
        <x:v>9</x:v>
      </x:c>
      <x:c r="F891" s="46" t="n">
        <x:v>3</x:v>
      </x:c>
      <x:c r="G891" s="46" t="n">
        <x:v>21</x:v>
      </x:c>
      <x:c r="H891" s="61" t="n">
        <x:v>19.11888888888889</x:v>
      </x:c>
      <x:c r="I891" s="52" t="n">
        <x:v>0.5555555555555555</x:v>
      </x:c>
      <x:c r="J891" s="52" t="n">
        <x:v>0.2173534026849537</x:v>
      </x:c>
      <x:c r="K891" s="60" t="n">
        <x:v>143.02</x:v>
      </x:c>
      <x:c r="L891" s="60" t="n">
        <x:v>29.05</x:v>
      </x:c>
      <x:c r="M891" s="50" t="n">
        <x:v>5</x:v>
      </x:c>
      <x:c r="N891" s="50" t="n">
        <x:v>4</x:v>
      </x:c>
      <x:c r="O891" s="50" t="n">
        <x:v>33</x:v>
      </x:c>
      <x:c r="P891" s="50" t="n">
        <x:v>3</x:v>
      </x:c>
    </x:row>
    <x:row r="892" ht="36" customHeight="1">
      <x:c r="A892" s="53" t="n">
        <x:v>873</x:v>
      </x:c>
      <x:c r="B892" s="53" t="n">
        <x:v>2</x:v>
      </x:c>
      <x:c r="C892" s="40" t="str">
        <x:v>Large-Basket Occasional Shoppers</x:v>
      </x:c>
      <x:c r="D892" s="60" t="n">
        <x:v>2938.15</x:v>
      </x:c>
      <x:c r="E892" s="50" t="n">
        <x:v>113</x:v>
      </x:c>
      <x:c r="F892" s="46" t="n">
        <x:v>5.3809523809523805</x:v>
      </x:c>
      <x:c r="G892" s="46" t="n">
        <x:v>13</x:v>
      </x:c>
      <x:c r="H892" s="61" t="n">
        <x:v>26.00132743362832</x:v>
      </x:c>
      <x:c r="I892" s="52" t="n">
        <x:v>0.8938053097345132</x:v>
      </x:c>
      <x:c r="J892" s="52" t="n">
        <x:v>0.6389803107397511</x:v>
      </x:c>
      <x:c r="K892" s="60" t="n">
        <x:v>2846.82</x:v>
      </x:c>
      <x:c r="L892" s="60" t="n">
        <x:v>91.33</x:v>
      </x:c>
      <x:c r="M892" s="50" t="n">
        <x:v>101</x:v>
      </x:c>
      <x:c r="N892" s="50" t="n">
        <x:v>12</x:v>
      </x:c>
      <x:c r="O892" s="50" t="n">
        <x:v>116</x:v>
      </x:c>
      <x:c r="P892" s="50" t="n">
        <x:v>21</x:v>
      </x:c>
    </x:row>
    <x:row r="893" ht="36" customHeight="1">
      <x:c r="A893" s="53" t="n">
        <x:v>874</x:v>
      </x:c>
      <x:c r="B893" s="53" t="n">
        <x:v>3</x:v>
      </x:c>
      <x:c r="C893" s="40" t="str">
        <x:v>Low-Value Low-Engagement Shoppers</x:v>
      </x:c>
      <x:c r="D893" s="60" t="n">
        <x:v>222.22</x:v>
      </x:c>
      <x:c r="E893" s="50" t="n">
        <x:v>5</x:v>
      </x:c>
      <x:c r="F893" s="46" t="n">
        <x:v>1</x:v>
      </x:c>
      <x:c r="G893" s="46" t="n">
        <x:v>154</x:v>
      </x:c>
      <x:c r="H893" s="61" t="n">
        <x:v>44.444</x:v>
      </x:c>
      <x:c r="I893" s="52" t="n">
        <x:v>0.8</x:v>
      </x:c>
      <x:c r="J893" s="52" t="n">
        <x:v>0.2812528125281252</x:v>
      </x:c>
      <x:c r="K893" s="60" t="n">
        <x:v>206.05</x:v>
      </x:c>
      <x:c r="L893" s="60" t="n">
        <x:v>16.17</x:v>
      </x:c>
      <x:c r="M893" s="50" t="n">
        <x:v>4</x:v>
      </x:c>
      <x:c r="N893" s="50" t="n">
        <x:v>1</x:v>
      </x:c>
      <x:c r="O893" s="50" t="n">
        <x:v>34</x:v>
      </x:c>
      <x:c r="P893" s="50" t="n">
        <x:v>5</x:v>
      </x:c>
    </x:row>
    <x:row r="894" ht="36" customHeight="1">
      <x:c r="A894" s="53" t="n">
        <x:v>875</x:v>
      </x:c>
      <x:c r="B894" s="53" t="n">
        <x:v>2</x:v>
      </x:c>
      <x:c r="C894" s="40" t="str">
        <x:v>Large-Basket Occasional Shoppers</x:v>
      </x:c>
      <x:c r="D894" s="60" t="n">
        <x:v>1473.27</x:v>
      </x:c>
      <x:c r="E894" s="50" t="n">
        <x:v>68</x:v>
      </x:c>
      <x:c r="F894" s="46" t="n">
        <x:v>3.090909090909091</x:v>
      </x:c>
      <x:c r="G894" s="46" t="n">
        <x:v>22</x:v>
      </x:c>
      <x:c r="H894" s="61" t="n">
        <x:v>21.66573529411765</x:v>
      </x:c>
      <x:c r="I894" s="52" t="n">
        <x:v>0.8235294117647058</x:v>
      </x:c>
      <x:c r="J894" s="52" t="n">
        <x:v>0.5941952255866202</x:v>
      </x:c>
      <x:c r="K894" s="60" t="n">
        <x:v>1401.58</x:v>
      </x:c>
      <x:c r="L894" s="60" t="n">
        <x:v>71.69</x:v>
      </x:c>
      <x:c r="M894" s="50" t="n">
        <x:v>56</x:v>
      </x:c>
      <x:c r="N894" s="50" t="n">
        <x:v>12</x:v>
      </x:c>
      <x:c r="O894" s="50" t="n">
        <x:v>118</x:v>
      </x:c>
      <x:c r="P894" s="50" t="n">
        <x:v>22</x:v>
      </x:c>
    </x:row>
    <x:row r="895" ht="36" customHeight="1">
      <x:c r="A895" s="53" t="n">
        <x:v>876</x:v>
      </x:c>
      <x:c r="B895" s="53" t="n">
        <x:v>1</x:v>
      </x:c>
      <x:c r="C895" s="40" t="str">
        <x:v>High-Value Frequent Shoppers</x:v>
      </x:c>
      <x:c r="D895" s="60" t="n">
        <x:v>5899.04</x:v>
      </x:c>
      <x:c r="E895" s="50" t="n">
        <x:v>200</x:v>
      </x:c>
      <x:c r="F895" s="46" t="n">
        <x:v>9.523809523809524</x:v>
      </x:c>
      <x:c r="G895" s="46" t="n">
        <x:v>3</x:v>
      </x:c>
      <x:c r="H895" s="61" t="n">
        <x:v>29.4952</x:v>
      </x:c>
      <x:c r="I895" s="52" t="n">
        <x:v>0.905</x:v>
      </x:c>
      <x:c r="J895" s="52" t="n">
        <x:v>0.5590468957660907</x:v>
      </x:c>
      <x:c r="K895" s="60" t="n">
        <x:v>5715.82</x:v>
      </x:c>
      <x:c r="L895" s="60" t="n">
        <x:v>183.22</x:v>
      </x:c>
      <x:c r="M895" s="50" t="n">
        <x:v>181</x:v>
      </x:c>
      <x:c r="N895" s="50" t="n">
        <x:v>19</x:v>
      </x:c>
      <x:c r="O895" s="50" t="n">
        <x:v>156</x:v>
      </x:c>
      <x:c r="P895" s="50" t="n">
        <x:v>21</x:v>
      </x:c>
    </x:row>
    <x:row r="896" ht="36" customHeight="1">
      <x:c r="A896" s="53" t="n">
        <x:v>877</x:v>
      </x:c>
      <x:c r="B896" s="53" t="n">
        <x:v>2</x:v>
      </x:c>
      <x:c r="C896" s="40" t="str">
        <x:v>Large-Basket Occasional Shoppers</x:v>
      </x:c>
      <x:c r="D896" s="60" t="n">
        <x:v>3355.07</x:v>
      </x:c>
      <x:c r="E896" s="50" t="n">
        <x:v>63</x:v>
      </x:c>
      <x:c r="F896" s="46" t="n">
        <x:v>3.15</x:v>
      </x:c>
      <x:c r="G896" s="46" t="n">
        <x:v>11</x:v>
      </x:c>
      <x:c r="H896" s="61" t="n">
        <x:v>53.25507936507937</x:v>
      </x:c>
      <x:c r="I896" s="52" t="n">
        <x:v>0.873015873015873</x:v>
      </x:c>
      <x:c r="J896" s="52" t="n">
        <x:v>0.5491837726187531</x:v>
      </x:c>
      <x:c r="K896" s="60" t="n">
        <x:v>3303.59</x:v>
      </x:c>
      <x:c r="L896" s="60" t="n">
        <x:v>51.48</x:v>
      </x:c>
      <x:c r="M896" s="50" t="n">
        <x:v>55</x:v>
      </x:c>
      <x:c r="N896" s="50" t="n">
        <x:v>8</x:v>
      </x:c>
      <x:c r="O896" s="50" t="n">
        <x:v>137</x:v>
      </x:c>
      <x:c r="P896" s="50" t="n">
        <x:v>20</x:v>
      </x:c>
    </x:row>
    <x:row r="897" ht="36" customHeight="1">
      <x:c r="A897" s="53" t="n">
        <x:v>878</x:v>
      </x:c>
      <x:c r="B897" s="53" t="n">
        <x:v>1</x:v>
      </x:c>
      <x:c r="C897" s="40" t="str">
        <x:v>High-Value Frequent Shoppers</x:v>
      </x:c>
      <x:c r="D897" s="60" t="n">
        <x:v>5980.71</x:v>
      </x:c>
      <x:c r="E897" s="50" t="n">
        <x:v>181</x:v>
      </x:c>
      <x:c r="F897" s="46" t="n">
        <x:v>8.227272727272727</x:v>
      </x:c>
      <x:c r="G897" s="46" t="n">
        <x:v>2</x:v>
      </x:c>
      <x:c r="H897" s="61" t="n">
        <x:v>33.04259668508287</x:v>
      </x:c>
      <x:c r="I897" s="52" t="n">
        <x:v>0.9171270718232044</x:v>
      </x:c>
      <x:c r="J897" s="52" t="n">
        <x:v>0.5441945855926804</x:v>
      </x:c>
      <x:c r="K897" s="60" t="n">
        <x:v>5856.02</x:v>
      </x:c>
      <x:c r="L897" s="60" t="n">
        <x:v>124.69</x:v>
      </x:c>
      <x:c r="M897" s="50" t="n">
        <x:v>166</x:v>
      </x:c>
      <x:c r="N897" s="50" t="n">
        <x:v>15</x:v>
      </x:c>
      <x:c r="O897" s="50" t="n">
        <x:v>149</x:v>
      </x:c>
      <x:c r="P897" s="50" t="n">
        <x:v>22</x:v>
      </x:c>
    </x:row>
    <x:row r="898" ht="36" customHeight="1">
      <x:c r="A898" s="53" t="n">
        <x:v>879</x:v>
      </x:c>
      <x:c r="B898" s="53" t="n">
        <x:v>2</x:v>
      </x:c>
      <x:c r="C898" s="40" t="str">
        <x:v>Large-Basket Occasional Shoppers</x:v>
      </x:c>
      <x:c r="D898" s="60" t="n">
        <x:v>2448.6</x:v>
      </x:c>
      <x:c r="E898" s="50" t="n">
        <x:v>96</x:v>
      </x:c>
      <x:c r="F898" s="46" t="n">
        <x:v>5.052631578947368</x:v>
      </x:c>
      <x:c r="G898" s="46" t="n">
        <x:v>7</x:v>
      </x:c>
      <x:c r="H898" s="61" t="n">
        <x:v>25.50625</x:v>
      </x:c>
      <x:c r="I898" s="52" t="n">
        <x:v>0.9375</x:v>
      </x:c>
      <x:c r="J898" s="52" t="n">
        <x:v>0.6096054888507718</x:v>
      </x:c>
      <x:c r="K898" s="60" t="n">
        <x:v>2390.84</x:v>
      </x:c>
      <x:c r="L898" s="60" t="n">
        <x:v>57.76</x:v>
      </x:c>
      <x:c r="M898" s="50" t="n">
        <x:v>90</x:v>
      </x:c>
      <x:c r="N898" s="50" t="n">
        <x:v>6</x:v>
      </x:c>
      <x:c r="O898" s="50" t="n">
        <x:v>113</x:v>
      </x:c>
      <x:c r="P898" s="50" t="n">
        <x:v>19</x:v>
      </x:c>
    </x:row>
    <x:row r="899" ht="36" customHeight="1">
      <x:c r="A899" s="53" t="n">
        <x:v>880</x:v>
      </x:c>
      <x:c r="B899" s="53" t="n">
        <x:v>3</x:v>
      </x:c>
      <x:c r="C899" s="40" t="str">
        <x:v>Low-Value Low-Engagement Shoppers</x:v>
      </x:c>
      <x:c r="D899" s="60" t="n">
        <x:v>197.39</x:v>
      </x:c>
      <x:c r="E899" s="50" t="n">
        <x:v>12</x:v>
      </x:c>
      <x:c r="F899" s="46" t="n">
        <x:v>1.7142857142857144</x:v>
      </x:c>
      <x:c r="G899" s="46" t="n">
        <x:v>38</x:v>
      </x:c>
      <x:c r="H899" s="61" t="n">
        <x:v>16.449166666666667</x:v>
      </x:c>
      <x:c r="I899" s="52" t="n">
        <x:v>1</x:v>
      </x:c>
      <x:c r="J899" s="52" t="n">
        <x:v>0.485232281270581</x:v>
      </x:c>
      <x:c r="K899" s="60" t="n">
        <x:v>197.39</x:v>
      </x:c>
      <x:c r="L899" s="60" t="n">
        <x:v>0</x:v>
      </x:c>
      <x:c r="M899" s="50" t="n">
        <x:v>12</x:v>
      </x:c>
      <x:c r="N899" s="50" t="n">
        <x:v>0</x:v>
      </x:c>
      <x:c r="O899" s="50" t="n">
        <x:v>55</x:v>
      </x:c>
      <x:c r="P899" s="50" t="n">
        <x:v>7</x:v>
      </x:c>
    </x:row>
    <x:row r="900" ht="36" customHeight="1">
      <x:c r="A900" s="53" t="n">
        <x:v>881</x:v>
      </x:c>
      <x:c r="B900" s="53" t="n">
        <x:v>1</x:v>
      </x:c>
      <x:c r="C900" s="40" t="str">
        <x:v>High-Value Frequent Shoppers</x:v>
      </x:c>
      <x:c r="D900" s="60" t="n">
        <x:v>4295.11</x:v>
      </x:c>
      <x:c r="E900" s="50" t="n">
        <x:v>139</x:v>
      </x:c>
      <x:c r="F900" s="46" t="n">
        <x:v>6.95</x:v>
      </x:c>
      <x:c r="G900" s="46" t="n">
        <x:v>0</x:v>
      </x:c>
      <x:c r="H900" s="61" t="n">
        <x:v>30.900071942446043</x:v>
      </x:c>
      <x:c r="I900" s="52" t="n">
        <x:v>0.9640287769784172</x:v>
      </x:c>
      <x:c r="J900" s="52" t="n">
        <x:v>0.5150345392783886</x:v>
      </x:c>
      <x:c r="K900" s="60" t="n">
        <x:v>4224.61</x:v>
      </x:c>
      <x:c r="L900" s="60" t="n">
        <x:v>70.5</x:v>
      </x:c>
      <x:c r="M900" s="50" t="n">
        <x:v>134</x:v>
      </x:c>
      <x:c r="N900" s="50" t="n">
        <x:v>5</x:v>
      </x:c>
      <x:c r="O900" s="50" t="n">
        <x:v>150</x:v>
      </x:c>
      <x:c r="P900" s="50" t="n">
        <x:v>20</x:v>
      </x:c>
    </x:row>
    <x:row r="901" ht="36" customHeight="1">
      <x:c r="A901" s="53" t="n">
        <x:v>882</x:v>
      </x:c>
      <x:c r="B901" s="53" t="n">
        <x:v>1</x:v>
      </x:c>
      <x:c r="C901" s="40" t="str">
        <x:v>High-Value Frequent Shoppers</x:v>
      </x:c>
      <x:c r="D901" s="60" t="n">
        <x:v>4609.8</x:v>
      </x:c>
      <x:c r="E901" s="50" t="n">
        <x:v>238</x:v>
      </x:c>
      <x:c r="F901" s="46" t="n">
        <x:v>11.333333333333332</x:v>
      </x:c>
      <x:c r="G901" s="46" t="n">
        <x:v>9</x:v>
      </x:c>
      <x:c r="H901" s="61" t="n">
        <x:v>19.368907563025207</x:v>
      </x:c>
      <x:c r="I901" s="52" t="n">
        <x:v>0.8361344537815126</x:v>
      </x:c>
      <x:c r="J901" s="52" t="n">
        <x:v>0.5558484099093236</x:v>
      </x:c>
      <x:c r="K901" s="60" t="n">
        <x:v>4315.76</x:v>
      </x:c>
      <x:c r="L901" s="60" t="n">
        <x:v>294.04</x:v>
      </x:c>
      <x:c r="M901" s="50" t="n">
        <x:v>199</x:v>
      </x:c>
      <x:c r="N901" s="50" t="n">
        <x:v>39</x:v>
      </x:c>
      <x:c r="O901" s="50" t="n">
        <x:v>153</x:v>
      </x:c>
      <x:c r="P901" s="50" t="n">
        <x:v>21</x:v>
      </x:c>
    </x:row>
    <x:row r="902" ht="36" customHeight="1">
      <x:c r="A902" s="53" t="n">
        <x:v>883</x:v>
      </x:c>
      <x:c r="B902" s="53" t="n">
        <x:v>1</x:v>
      </x:c>
      <x:c r="C902" s="40" t="str">
        <x:v>High-Value Frequent Shoppers</x:v>
      </x:c>
      <x:c r="D902" s="60" t="n">
        <x:v>10165.13</x:v>
      </x:c>
      <x:c r="E902" s="50" t="n">
        <x:v>352</x:v>
      </x:c>
      <x:c r="F902" s="46" t="n">
        <x:v>15.304347826086955</x:v>
      </x:c>
      <x:c r="G902" s="46" t="n">
        <x:v>1</x:v>
      </x:c>
      <x:c r="H902" s="61" t="n">
        <x:v>28.878210227272728</x:v>
      </x:c>
      <x:c r="I902" s="52" t="n">
        <x:v>0.9204545454545454</x:v>
      </x:c>
      <x:c r="J902" s="52" t="n">
        <x:v>0.6072504729403362</x:v>
      </x:c>
      <x:c r="K902" s="60" t="n">
        <x:v>9643.41</x:v>
      </x:c>
      <x:c r="L902" s="60" t="n">
        <x:v>521.72</x:v>
      </x:c>
      <x:c r="M902" s="50" t="n">
        <x:v>324</x:v>
      </x:c>
      <x:c r="N902" s="50" t="n">
        <x:v>28</x:v>
      </x:c>
      <x:c r="O902" s="50" t="n">
        <x:v>179</x:v>
      </x:c>
      <x:c r="P902" s="50" t="n">
        <x:v>23</x:v>
      </x:c>
    </x:row>
    <x:row r="903" ht="36" customHeight="1">
      <x:c r="A903" s="53" t="n">
        <x:v>884</x:v>
      </x:c>
      <x:c r="B903" s="53" t="n">
        <x:v>3</x:v>
      </x:c>
      <x:c r="C903" s="40" t="str">
        <x:v>Low-Value Low-Engagement Shoppers</x:v>
      </x:c>
      <x:c r="D903" s="60" t="n">
        <x:v>674.35</x:v>
      </x:c>
      <x:c r="E903" s="50" t="n">
        <x:v>70</x:v>
      </x:c>
      <x:c r="F903" s="46" t="n">
        <x:v>4.666666666666666</x:v>
      </x:c>
      <x:c r="G903" s="46" t="n">
        <x:v>2</x:v>
      </x:c>
      <x:c r="H903" s="61" t="n">
        <x:v>9.633571428571427</x:v>
      </x:c>
      <x:c r="I903" s="52" t="n">
        <x:v>0.8285714285714285</x:v>
      </x:c>
      <x:c r="J903" s="52" t="n">
        <x:v>0.4206569288944909</x:v>
      </x:c>
      <x:c r="K903" s="60" t="n">
        <x:v>552.62</x:v>
      </x:c>
      <x:c r="L903" s="60" t="n">
        <x:v>121.73</x:v>
      </x:c>
      <x:c r="M903" s="50" t="n">
        <x:v>58</x:v>
      </x:c>
      <x:c r="N903" s="50" t="n">
        <x:v>12</x:v>
      </x:c>
      <x:c r="O903" s="50" t="n">
        <x:v>77</x:v>
      </x:c>
      <x:c r="P903" s="50" t="n">
        <x:v>15</x:v>
      </x:c>
    </x:row>
    <x:row r="904" ht="36" customHeight="1">
      <x:c r="A904" s="53" t="n">
        <x:v>885</x:v>
      </x:c>
      <x:c r="B904" s="53" t="n">
        <x:v>1</x:v>
      </x:c>
      <x:c r="C904" s="40" t="str">
        <x:v>High-Value Frequent Shoppers</x:v>
      </x:c>
      <x:c r="D904" s="60" t="n">
        <x:v>2602.8</x:v>
      </x:c>
      <x:c r="E904" s="50" t="n">
        <x:v>87</x:v>
      </x:c>
      <x:c r="F904" s="46" t="n">
        <x:v>4.578947368421053</x:v>
      </x:c>
      <x:c r="G904" s="46" t="n">
        <x:v>2</x:v>
      </x:c>
      <x:c r="H904" s="61" t="n">
        <x:v>29.917241379310344</x:v>
      </x:c>
      <x:c r="I904" s="52" t="n">
        <x:v>0.793103448275862</x:v>
      </x:c>
      <x:c r="J904" s="52" t="n">
        <x:v>0.5616413093591516</x:v>
      </x:c>
      <x:c r="K904" s="60" t="n">
        <x:v>2453.03</x:v>
      </x:c>
      <x:c r="L904" s="60" t="n">
        <x:v>149.77</x:v>
      </x:c>
      <x:c r="M904" s="50" t="n">
        <x:v>69</x:v>
      </x:c>
      <x:c r="N904" s="50" t="n">
        <x:v>18</x:v>
      </x:c>
      <x:c r="O904" s="50" t="n">
        <x:v>119</x:v>
      </x:c>
      <x:c r="P904" s="50" t="n">
        <x:v>19</x:v>
      </x:c>
    </x:row>
    <x:row r="905" ht="36" customHeight="1">
      <x:c r="A905" s="53" t="n">
        <x:v>886</x:v>
      </x:c>
      <x:c r="B905" s="53" t="n">
        <x:v>1</x:v>
      </x:c>
      <x:c r="C905" s="40" t="str">
        <x:v>High-Value Frequent Shoppers</x:v>
      </x:c>
      <x:c r="D905" s="60" t="n">
        <x:v>4890.11</x:v>
      </x:c>
      <x:c r="E905" s="50" t="n">
        <x:v>198</x:v>
      </x:c>
      <x:c r="F905" s="46" t="n">
        <x:v>9</x:v>
      </x:c>
      <x:c r="G905" s="46" t="n">
        <x:v>2</x:v>
      </x:c>
      <x:c r="H905" s="61" t="n">
        <x:v>24.69752525252525</x:v>
      </x:c>
      <x:c r="I905" s="52" t="n">
        <x:v>0.8989898989898989</x:v>
      </x:c>
      <x:c r="J905" s="52" t="n">
        <x:v>0.4813531801943105</x:v>
      </x:c>
      <x:c r="K905" s="60" t="n">
        <x:v>4598.3</x:v>
      </x:c>
      <x:c r="L905" s="60" t="n">
        <x:v>291.81</x:v>
      </x:c>
      <x:c r="M905" s="50" t="n">
        <x:v>178</x:v>
      </x:c>
      <x:c r="N905" s="50" t="n">
        <x:v>20</x:v>
      </x:c>
      <x:c r="O905" s="50" t="n">
        <x:v>160</x:v>
      </x:c>
      <x:c r="P905" s="50" t="n">
        <x:v>22</x:v>
      </x:c>
    </x:row>
    <x:row r="906" ht="36" customHeight="1">
      <x:c r="A906" s="53" t="n">
        <x:v>887</x:v>
      </x:c>
      <x:c r="B906" s="53" t="n">
        <x:v>2</x:v>
      </x:c>
      <x:c r="C906" s="40" t="str">
        <x:v>Large-Basket Occasional Shoppers</x:v>
      </x:c>
      <x:c r="D906" s="60" t="n">
        <x:v>1133.71</x:v>
      </x:c>
      <x:c r="E906" s="50" t="n">
        <x:v>48</x:v>
      </x:c>
      <x:c r="F906" s="46" t="n">
        <x:v>2.0869565217391304</x:v>
      </x:c>
      <x:c r="G906" s="46" t="n">
        <x:v>17</x:v>
      </x:c>
      <x:c r="H906" s="61" t="n">
        <x:v>23.61895833333333</x:v>
      </x:c>
      <x:c r="I906" s="52" t="n">
        <x:v>0.7916666666666666</x:v>
      </x:c>
      <x:c r="J906" s="52" t="n">
        <x:v>0.4477423679777015</x:v>
      </x:c>
      <x:c r="K906" s="60" t="n">
        <x:v>1063.3</x:v>
      </x:c>
      <x:c r="L906" s="60" t="n">
        <x:v>70.41</x:v>
      </x:c>
      <x:c r="M906" s="50" t="n">
        <x:v>38</x:v>
      </x:c>
      <x:c r="N906" s="50" t="n">
        <x:v>10</x:v>
      </x:c>
      <x:c r="O906" s="50" t="n">
        <x:v>102</x:v>
      </x:c>
      <x:c r="P906" s="50" t="n">
        <x:v>23</x:v>
      </x:c>
    </x:row>
    <x:row r="907" ht="36" customHeight="1">
      <x:c r="A907" s="53" t="n">
        <x:v>888</x:v>
      </x:c>
      <x:c r="B907" s="53" t="n">
        <x:v>2</x:v>
      </x:c>
      <x:c r="C907" s="40" t="str">
        <x:v>Large-Basket Occasional Shoppers</x:v>
      </x:c>
      <x:c r="D907" s="60" t="n">
        <x:v>8689.01</x:v>
      </x:c>
      <x:c r="E907" s="50" t="n">
        <x:v>79</x:v>
      </x:c>
      <x:c r="F907" s="46" t="n">
        <x:v>3.291666666666667</x:v>
      </x:c>
      <x:c r="G907" s="46" t="n">
        <x:v>5</x:v>
      </x:c>
      <x:c r="H907" s="61" t="n">
        <x:v>109.98746835443036</x:v>
      </x:c>
      <x:c r="I907" s="52" t="n">
        <x:v>0.9746835443037974</x:v>
      </x:c>
      <x:c r="J907" s="52" t="n">
        <x:v>0.5555753762511494</x:v>
      </x:c>
      <x:c r="K907" s="60" t="n">
        <x:v>8680.33</x:v>
      </x:c>
      <x:c r="L907" s="60" t="n">
        <x:v>8.68</x:v>
      </x:c>
      <x:c r="M907" s="50" t="n">
        <x:v>77</x:v>
      </x:c>
      <x:c r="N907" s="50" t="n">
        <x:v>2</x:v>
      </x:c>
      <x:c r="O907" s="50" t="n">
        <x:v>166</x:v>
      </x:c>
      <x:c r="P907" s="50" t="n">
        <x:v>24</x:v>
      </x:c>
    </x:row>
    <x:row r="908" ht="36" customHeight="1">
      <x:c r="A908" s="53" t="n">
        <x:v>889</x:v>
      </x:c>
      <x:c r="B908" s="53" t="n">
        <x:v>1</x:v>
      </x:c>
      <x:c r="C908" s="40" t="str">
        <x:v>High-Value Frequent Shoppers</x:v>
      </x:c>
      <x:c r="D908" s="60" t="n">
        <x:v>12983.01</x:v>
      </x:c>
      <x:c r="E908" s="50" t="n">
        <x:v>216</x:v>
      </x:c>
      <x:c r="F908" s="46" t="n">
        <x:v>9.391304347826088</x:v>
      </x:c>
      <x:c r="G908" s="46" t="n">
        <x:v>0</x:v>
      </x:c>
      <x:c r="H908" s="61" t="n">
        <x:v>60.10652777777778</x:v>
      </x:c>
      <x:c r="I908" s="52" t="n">
        <x:v>0.9166666666666666</x:v>
      </x:c>
      <x:c r="J908" s="52" t="n">
        <x:v>0.6162168865309354</x:v>
      </x:c>
      <x:c r="K908" s="60" t="n">
        <x:v>12787.8</x:v>
      </x:c>
      <x:c r="L908" s="60" t="n">
        <x:v>195.21</x:v>
      </x:c>
      <x:c r="M908" s="50" t="n">
        <x:v>198</x:v>
      </x:c>
      <x:c r="N908" s="50" t="n">
        <x:v>18</x:v>
      </x:c>
      <x:c r="O908" s="50" t="n">
        <x:v>166</x:v>
      </x:c>
      <x:c r="P908" s="50" t="n">
        <x:v>23</x:v>
      </x:c>
    </x:row>
    <x:row r="909" ht="36" customHeight="1">
      <x:c r="A909" s="53" t="n">
        <x:v>890</x:v>
      </x:c>
      <x:c r="B909" s="53" t="n">
        <x:v>2</x:v>
      </x:c>
      <x:c r="C909" s="40" t="str">
        <x:v>Large-Basket Occasional Shoppers</x:v>
      </x:c>
      <x:c r="D909" s="60" t="n">
        <x:v>1068.91</x:v>
      </x:c>
      <x:c r="E909" s="50" t="n">
        <x:v>31</x:v>
      </x:c>
      <x:c r="F909" s="46" t="n">
        <x:v>1.9375</x:v>
      </x:c>
      <x:c r="G909" s="46" t="n">
        <x:v>17</x:v>
      </x:c>
      <x:c r="H909" s="61" t="n">
        <x:v>34.48096774193549</x:v>
      </x:c>
      <x:c r="I909" s="52" t="n">
        <x:v>0.9677419354838708</x:v>
      </x:c>
      <x:c r="J909" s="52" t="n">
        <x:v>0.5730604073308323</x:v>
      </x:c>
      <x:c r="K909" s="60" t="n">
        <x:v>1031.64</x:v>
      </x:c>
      <x:c r="L909" s="60" t="n">
        <x:v>37.27</x:v>
      </x:c>
      <x:c r="M909" s="50" t="n">
        <x:v>30</x:v>
      </x:c>
      <x:c r="N909" s="50" t="n">
        <x:v>1</x:v>
      </x:c>
      <x:c r="O909" s="50" t="n">
        <x:v>102</x:v>
      </x:c>
      <x:c r="P909" s="50" t="n">
        <x:v>16</x:v>
      </x:c>
    </x:row>
    <x:row r="910" ht="36" customHeight="1">
      <x:c r="A910" s="53" t="n">
        <x:v>891</x:v>
      </x:c>
      <x:c r="B910" s="53" t="n">
        <x:v>1</x:v>
      </x:c>
      <x:c r="C910" s="40" t="str">
        <x:v>High-Value Frequent Shoppers</x:v>
      </x:c>
      <x:c r="D910" s="60" t="n">
        <x:v>7035.21</x:v>
      </x:c>
      <x:c r="E910" s="50" t="n">
        <x:v>112</x:v>
      </x:c>
      <x:c r="F910" s="46" t="n">
        <x:v>5.090909090909091</x:v>
      </x:c>
      <x:c r="G910" s="46" t="n">
        <x:v>0</x:v>
      </x:c>
      <x:c r="H910" s="61" t="n">
        <x:v>62.814375</x:v>
      </x:c>
      <x:c r="I910" s="52" t="n">
        <x:v>0.8928571428571428</x:v>
      </x:c>
      <x:c r="J910" s="52" t="n">
        <x:v>0.4756560216397236</x:v>
      </x:c>
      <x:c r="K910" s="60" t="n">
        <x:v>6915.31</x:v>
      </x:c>
      <x:c r="L910" s="60" t="n">
        <x:v>119.9</x:v>
      </x:c>
      <x:c r="M910" s="50" t="n">
        <x:v>100</x:v>
      </x:c>
      <x:c r="N910" s="50" t="n">
        <x:v>12</x:v>
      </x:c>
      <x:c r="O910" s="50" t="n">
        <x:v>160</x:v>
      </x:c>
      <x:c r="P910" s="50" t="n">
        <x:v>22</x:v>
      </x:c>
    </x:row>
    <x:row r="911" ht="36" customHeight="1">
      <x:c r="A911" s="53" t="n">
        <x:v>892</x:v>
      </x:c>
      <x:c r="B911" s="53" t="n">
        <x:v>2</x:v>
      </x:c>
      <x:c r="C911" s="40" t="str">
        <x:v>Large-Basket Occasional Shoppers</x:v>
      </x:c>
      <x:c r="D911" s="60" t="n">
        <x:v>443.31</x:v>
      </x:c>
      <x:c r="E911" s="50" t="n">
        <x:v>22</x:v>
      </x:c>
      <x:c r="F911" s="46" t="n">
        <x:v>1.8333333333333333</x:v>
      </x:c>
      <x:c r="G911" s="46" t="n">
        <x:v>106</x:v>
      </x:c>
      <x:c r="H911" s="61" t="n">
        <x:v>20.150454545454544</x:v>
      </x:c>
      <x:c r="I911" s="52" t="n">
        <x:v>1</x:v>
      </x:c>
      <x:c r="J911" s="52" t="n">
        <x:v>0.7973878324423089</x:v>
      </x:c>
      <x:c r="K911" s="60" t="n">
        <x:v>443.31</x:v>
      </x:c>
      <x:c r="L911" s="60" t="n">
        <x:v>0</x:v>
      </x:c>
      <x:c r="M911" s="50" t="n">
        <x:v>22</x:v>
      </x:c>
      <x:c r="N911" s="50" t="n">
        <x:v>0</x:v>
      </x:c>
      <x:c r="O911" s="50" t="n">
        <x:v>87</x:v>
      </x:c>
      <x:c r="P911" s="50" t="n">
        <x:v>12</x:v>
      </x:c>
    </x:row>
    <x:row r="912" ht="36" customHeight="1">
      <x:c r="A912" s="53" t="n">
        <x:v>893</x:v>
      </x:c>
      <x:c r="B912" s="53" t="n">
        <x:v>1</x:v>
      </x:c>
      <x:c r="C912" s="40" t="str">
        <x:v>High-Value Frequent Shoppers</x:v>
      </x:c>
      <x:c r="D912" s="60" t="n">
        <x:v>4729.01</x:v>
      </x:c>
      <x:c r="E912" s="50" t="n">
        <x:v>111</x:v>
      </x:c>
      <x:c r="F912" s="46" t="n">
        <x:v>5.55</x:v>
      </x:c>
      <x:c r="G912" s="46" t="n">
        <x:v>2</x:v>
      </x:c>
      <x:c r="H912" s="61" t="n">
        <x:v>42.603693693693685</x:v>
      </x:c>
      <x:c r="I912" s="52" t="n">
        <x:v>0.8558558558558558</x:v>
      </x:c>
      <x:c r="J912" s="52" t="n">
        <x:v>0.4377047204383158</x:v>
      </x:c>
      <x:c r="K912" s="60" t="n">
        <x:v>4534.29</x:v>
      </x:c>
      <x:c r="L912" s="60" t="n">
        <x:v>194.72</x:v>
      </x:c>
      <x:c r="M912" s="50" t="n">
        <x:v>95</x:v>
      </x:c>
      <x:c r="N912" s="50" t="n">
        <x:v>16</x:v>
      </x:c>
      <x:c r="O912" s="50" t="n">
        <x:v>124</x:v>
      </x:c>
      <x:c r="P912" s="50" t="n">
        <x:v>20</x:v>
      </x:c>
    </x:row>
    <x:row r="913" ht="36" customHeight="1">
      <x:c r="A913" s="53" t="n">
        <x:v>894</x:v>
      </x:c>
      <x:c r="B913" s="53" t="n">
        <x:v>2</x:v>
      </x:c>
      <x:c r="C913" s="40" t="str">
        <x:v>Large-Basket Occasional Shoppers</x:v>
      </x:c>
      <x:c r="D913" s="60" t="n">
        <x:v>1095.29</x:v>
      </x:c>
      <x:c r="E913" s="50" t="n">
        <x:v>31</x:v>
      </x:c>
      <x:c r="F913" s="46" t="n">
        <x:v>2.3846153846153846</x:v>
      </x:c>
      <x:c r="G913" s="46" t="n">
        <x:v>27</x:v>
      </x:c>
      <x:c r="H913" s="61" t="n">
        <x:v>35.33193548387097</x:v>
      </x:c>
      <x:c r="I913" s="52" t="n">
        <x:v>0.935483870967742</x:v>
      </x:c>
      <x:c r="J913" s="52" t="n">
        <x:v>0.4616402961772681</x:v>
      </x:c>
      <x:c r="K913" s="60" t="n">
        <x:v>1083.14</x:v>
      </x:c>
      <x:c r="L913" s="60" t="n">
        <x:v>12.15</x:v>
      </x:c>
      <x:c r="M913" s="50" t="n">
        <x:v>29</x:v>
      </x:c>
      <x:c r="N913" s="50" t="n">
        <x:v>2</x:v>
      </x:c>
      <x:c r="O913" s="50" t="n">
        <x:v>86</x:v>
      </x:c>
      <x:c r="P913" s="50" t="n">
        <x:v>13</x:v>
      </x:c>
    </x:row>
    <x:row r="914" ht="36" customHeight="1">
      <x:c r="A914" s="53" t="n">
        <x:v>895</x:v>
      </x:c>
      <x:c r="B914" s="53" t="n">
        <x:v>1</x:v>
      </x:c>
      <x:c r="C914" s="40" t="str">
        <x:v>High-Value Frequent Shoppers</x:v>
      </x:c>
      <x:c r="D914" s="60" t="n">
        <x:v>8700.15</x:v>
      </x:c>
      <x:c r="E914" s="50" t="n">
        <x:v>211</x:v>
      </x:c>
      <x:c r="F914" s="46" t="n">
        <x:v>9.173913043478262</x:v>
      </x:c>
      <x:c r="G914" s="46" t="n">
        <x:v>11</x:v>
      </x:c>
      <x:c r="H914" s="61" t="n">
        <x:v>41.23293838862559</x:v>
      </x:c>
      <x:c r="I914" s="52" t="n">
        <x:v>0.924170616113744</x:v>
      </x:c>
      <x:c r="J914" s="52" t="n">
        <x:v>0.4581196875915932</x:v>
      </x:c>
      <x:c r="K914" s="60" t="n">
        <x:v>8427.83</x:v>
      </x:c>
      <x:c r="L914" s="60" t="n">
        <x:v>272.32</x:v>
      </x:c>
      <x:c r="M914" s="50" t="n">
        <x:v>195</x:v>
      </x:c>
      <x:c r="N914" s="50" t="n">
        <x:v>16</x:v>
      </x:c>
      <x:c r="O914" s="50" t="n">
        <x:v>146</x:v>
      </x:c>
      <x:c r="P914" s="50" t="n">
        <x:v>23</x:v>
      </x:c>
    </x:row>
    <x:row r="915" ht="36" customHeight="1">
      <x:c r="A915" s="53" t="n">
        <x:v>896</x:v>
      </x:c>
      <x:c r="B915" s="53" t="n">
        <x:v>1</x:v>
      </x:c>
      <x:c r="C915" s="40" t="str">
        <x:v>High-Value Frequent Shoppers</x:v>
      </x:c>
      <x:c r="D915" s="60" t="n">
        <x:v>5274.46</x:v>
      </x:c>
      <x:c r="E915" s="50" t="n">
        <x:v>112</x:v>
      </x:c>
      <x:c r="F915" s="46" t="n">
        <x:v>4.869565217391304</x:v>
      </x:c>
      <x:c r="G915" s="46" t="n">
        <x:v>5</x:v>
      </x:c>
      <x:c r="H915" s="61" t="n">
        <x:v>47.09339285714286</x:v>
      </x:c>
      <x:c r="I915" s="52" t="n">
        <x:v>0.9642857142857142</x:v>
      </x:c>
      <x:c r="J915" s="52" t="n">
        <x:v>0.6894999677692123</x:v>
      </x:c>
      <x:c r="K915" s="60" t="n">
        <x:v>5239.69</x:v>
      </x:c>
      <x:c r="L915" s="60" t="n">
        <x:v>34.77</x:v>
      </x:c>
      <x:c r="M915" s="50" t="n">
        <x:v>108</x:v>
      </x:c>
      <x:c r="N915" s="50" t="n">
        <x:v>4</x:v>
      </x:c>
      <x:c r="O915" s="50" t="n">
        <x:v>167</x:v>
      </x:c>
      <x:c r="P915" s="50" t="n">
        <x:v>23</x:v>
      </x:c>
    </x:row>
    <x:row r="916" ht="36" customHeight="1">
      <x:c r="A916" s="53" t="n">
        <x:v>897</x:v>
      </x:c>
      <x:c r="B916" s="53" t="n">
        <x:v>3</x:v>
      </x:c>
      <x:c r="C916" s="40" t="str">
        <x:v>Low-Value Low-Engagement Shoppers</x:v>
      </x:c>
      <x:c r="D916" s="60" t="n">
        <x:v>840.23</x:v>
      </x:c>
      <x:c r="E916" s="50" t="n">
        <x:v>62</x:v>
      </x:c>
      <x:c r="F916" s="46" t="n">
        <x:v>3.263157894736842</x:v>
      </x:c>
      <x:c r="G916" s="46" t="n">
        <x:v>1</x:v>
      </x:c>
      <x:c r="H916" s="61" t="n">
        <x:v>13.552096774193547</x:v>
      </x:c>
      <x:c r="I916" s="52" t="n">
        <x:v>0.564516129032258</x:v>
      </x:c>
      <x:c r="J916" s="52" t="n">
        <x:v>0.3391214310367399</x:v>
      </x:c>
      <x:c r="K916" s="60" t="n">
        <x:v>701.59</x:v>
      </x:c>
      <x:c r="L916" s="60" t="n">
        <x:v>138.64</x:v>
      </x:c>
      <x:c r="M916" s="50" t="n">
        <x:v>35</x:v>
      </x:c>
      <x:c r="N916" s="50" t="n">
        <x:v>27</x:v>
      </x:c>
      <x:c r="O916" s="50" t="n">
        <x:v>84</x:v>
      </x:c>
      <x:c r="P916" s="50" t="n">
        <x:v>19</x:v>
      </x:c>
    </x:row>
    <x:row r="917" ht="36" customHeight="1">
      <x:c r="A917" s="53" t="n">
        <x:v>898</x:v>
      </x:c>
      <x:c r="B917" s="53" t="n">
        <x:v>1</x:v>
      </x:c>
      <x:c r="C917" s="40" t="str">
        <x:v>High-Value Frequent Shoppers</x:v>
      </x:c>
      <x:c r="D917" s="60" t="n">
        <x:v>8355.23</x:v>
      </x:c>
      <x:c r="E917" s="50" t="n">
        <x:v>314</x:v>
      </x:c>
      <x:c r="F917" s="46" t="n">
        <x:v>14.952380952380953</x:v>
      </x:c>
      <x:c r="G917" s="46" t="n">
        <x:v>0</x:v>
      </x:c>
      <x:c r="H917" s="61" t="n">
        <x:v>26.609012738853504</x:v>
      </x:c>
      <x:c r="I917" s="52" t="n">
        <x:v>0.8980891719745222</x:v>
      </x:c>
      <x:c r="J917" s="52" t="n">
        <x:v>0.5167254522017946</x:v>
      </x:c>
      <x:c r="K917" s="60" t="n">
        <x:v>7899.36</x:v>
      </x:c>
      <x:c r="L917" s="60" t="n">
        <x:v>455.87</x:v>
      </x:c>
      <x:c r="M917" s="50" t="n">
        <x:v>282</x:v>
      </x:c>
      <x:c r="N917" s="50" t="n">
        <x:v>32</x:v>
      </x:c>
      <x:c r="O917" s="50" t="n">
        <x:v>161</x:v>
      </x:c>
      <x:c r="P917" s="50" t="n">
        <x:v>21</x:v>
      </x:c>
    </x:row>
    <x:row r="918" ht="36" customHeight="1">
      <x:c r="A918" s="53" t="n">
        <x:v>899</x:v>
      </x:c>
      <x:c r="B918" s="53" t="n">
        <x:v>3</x:v>
      </x:c>
      <x:c r="C918" s="40" t="str">
        <x:v>Low-Value Low-Engagement Shoppers</x:v>
      </x:c>
      <x:c r="D918" s="60" t="n">
        <x:v>315.15</x:v>
      </x:c>
      <x:c r="E918" s="50" t="n">
        <x:v>12</x:v>
      </x:c>
      <x:c r="F918" s="46" t="n">
        <x:v>1.7142857142857144</x:v>
      </x:c>
      <x:c r="G918" s="46" t="n">
        <x:v>73</x:v>
      </x:c>
      <x:c r="H918" s="61" t="n">
        <x:v>26.2625</x:v>
      </x:c>
      <x:c r="I918" s="52" t="n">
        <x:v>0.6666666666666666</x:v>
      </x:c>
      <x:c r="J918" s="52" t="n">
        <x:v>0.4523560209424083</x:v>
      </x:c>
      <x:c r="K918" s="60" t="n">
        <x:v>271.77</x:v>
      </x:c>
      <x:c r="L918" s="60" t="n">
        <x:v>43.38</x:v>
      </x:c>
      <x:c r="M918" s="50" t="n">
        <x:v>8</x:v>
      </x:c>
      <x:c r="N918" s="50" t="n">
        <x:v>4</x:v>
      </x:c>
      <x:c r="O918" s="50" t="n">
        <x:v>46</x:v>
      </x:c>
      <x:c r="P918" s="50" t="n">
        <x:v>7</x:v>
      </x:c>
    </x:row>
    <x:row r="919" ht="36" customHeight="1">
      <x:c r="A919" s="53" t="n">
        <x:v>900</x:v>
      </x:c>
      <x:c r="B919" s="53" t="n">
        <x:v>1</x:v>
      </x:c>
      <x:c r="C919" s="40" t="str">
        <x:v>High-Value Frequent Shoppers</x:v>
      </x:c>
      <x:c r="D919" s="60" t="n">
        <x:v>16450.53</x:v>
      </x:c>
      <x:c r="E919" s="50" t="n">
        <x:v>1223</x:v>
      </x:c>
      <x:c r="F919" s="46" t="n">
        <x:v>55.590909090909086</x:v>
      </x:c>
      <x:c r="G919" s="46" t="n">
        <x:v>0</x:v>
      </x:c>
      <x:c r="H919" s="61" t="n">
        <x:v>13.450964840556008</x:v>
      </x:c>
      <x:c r="I919" s="52" t="n">
        <x:v>0.615699100572363</x:v>
      </x:c>
      <x:c r="J919" s="52" t="n">
        <x:v>0.54996039641276</x:v>
      </x:c>
      <x:c r="K919" s="60" t="n">
        <x:v>14716.1</x:v>
      </x:c>
      <x:c r="L919" s="60" t="n">
        <x:v>1734.43</x:v>
      </x:c>
      <x:c r="M919" s="50" t="n">
        <x:v>753</x:v>
      </x:c>
      <x:c r="N919" s="50" t="n">
        <x:v>470</x:v>
      </x:c>
      <x:c r="O919" s="50" t="n">
        <x:v>213</x:v>
      </x:c>
      <x:c r="P919" s="50" t="n">
        <x:v>22</x:v>
      </x:c>
    </x:row>
    <x:row r="920" ht="36" customHeight="1">
      <x:c r="A920" s="53" t="n">
        <x:v>901</x:v>
      </x:c>
      <x:c r="B920" s="53" t="n">
        <x:v>1</x:v>
      </x:c>
      <x:c r="C920" s="40" t="str">
        <x:v>High-Value Frequent Shoppers</x:v>
      </x:c>
      <x:c r="D920" s="60" t="n">
        <x:v>2766.7</x:v>
      </x:c>
      <x:c r="E920" s="50" t="n">
        <x:v>76</x:v>
      </x:c>
      <x:c r="F920" s="46" t="n">
        <x:v>4</x:v>
      </x:c>
      <x:c r="G920" s="46" t="n">
        <x:v>2</x:v>
      </x:c>
      <x:c r="H920" s="61" t="n">
        <x:v>36.40394736842105</x:v>
      </x:c>
      <x:c r="I920" s="52" t="n">
        <x:v>0.8421052631578947</x:v>
      </x:c>
      <x:c r="J920" s="52" t="n">
        <x:v>0.4888929049047601</x:v>
      </x:c>
      <x:c r="K920" s="60" t="n">
        <x:v>2670.83</x:v>
      </x:c>
      <x:c r="L920" s="60" t="n">
        <x:v>95.87</x:v>
      </x:c>
      <x:c r="M920" s="50" t="n">
        <x:v>64</x:v>
      </x:c>
      <x:c r="N920" s="50" t="n">
        <x:v>12</x:v>
      </x:c>
      <x:c r="O920" s="50" t="n">
        <x:v>147</x:v>
      </x:c>
      <x:c r="P920" s="50" t="n">
        <x:v>19</x:v>
      </x:c>
    </x:row>
    <x:row r="921" ht="36" customHeight="1">
      <x:c r="A921" s="53" t="n">
        <x:v>902</x:v>
      </x:c>
      <x:c r="B921" s="53" t="n">
        <x:v>3</x:v>
      </x:c>
      <x:c r="C921" s="40" t="str">
        <x:v>Low-Value Low-Engagement Shoppers</x:v>
      </x:c>
      <x:c r="D921" s="60" t="n">
        <x:v>135.23</x:v>
      </x:c>
      <x:c r="E921" s="50" t="n">
        <x:v>10</x:v>
      </x:c>
      <x:c r="F921" s="46" t="n">
        <x:v>1.4285714285714286</x:v>
      </x:c>
      <x:c r="G921" s="46" t="n">
        <x:v>105</x:v>
      </x:c>
      <x:c r="H921" s="61" t="n">
        <x:v>13.523</x:v>
      </x:c>
      <x:c r="I921" s="52" t="n">
        <x:v>0.5</x:v>
      </x:c>
      <x:c r="J921" s="52" t="n">
        <x:v>0.1581749611772535</x:v>
      </x:c>
      <x:c r="K921" s="60" t="n">
        <x:v>67.66</x:v>
      </x:c>
      <x:c r="L921" s="60" t="n">
        <x:v>67.57</x:v>
      </x:c>
      <x:c r="M921" s="50" t="n">
        <x:v>5</x:v>
      </x:c>
      <x:c r="N921" s="50" t="n">
        <x:v>5</x:v>
      </x:c>
      <x:c r="O921" s="50" t="n">
        <x:v>17</x:v>
      </x:c>
      <x:c r="P921" s="50" t="n">
        <x:v>7</x:v>
      </x:c>
    </x:row>
    <x:row r="922" ht="36" customHeight="1">
      <x:c r="A922" s="53" t="n">
        <x:v>903</x:v>
      </x:c>
      <x:c r="B922" s="53" t="n">
        <x:v>2</x:v>
      </x:c>
      <x:c r="C922" s="40" t="str">
        <x:v>Large-Basket Occasional Shoppers</x:v>
      </x:c>
      <x:c r="D922" s="60" t="n">
        <x:v>2949.56</x:v>
      </x:c>
      <x:c r="E922" s="50" t="n">
        <x:v>72</x:v>
      </x:c>
      <x:c r="F922" s="46" t="n">
        <x:v>3.428571428571429</x:v>
      </x:c>
      <x:c r="G922" s="46" t="n">
        <x:v>10</x:v>
      </x:c>
      <x:c r="H922" s="61" t="n">
        <x:v>40.96611111111111</x:v>
      </x:c>
      <x:c r="I922" s="52" t="n">
        <x:v>0.8333333333333333</x:v>
      </x:c>
      <x:c r="J922" s="52" t="n">
        <x:v>0.332771667638563</x:v>
      </x:c>
      <x:c r="K922" s="60" t="n">
        <x:v>2763.34</x:v>
      </x:c>
      <x:c r="L922" s="60" t="n">
        <x:v>186.22</x:v>
      </x:c>
      <x:c r="M922" s="50" t="n">
        <x:v>60</x:v>
      </x:c>
      <x:c r="N922" s="50" t="n">
        <x:v>12</x:v>
      </x:c>
      <x:c r="O922" s="50" t="n">
        <x:v>129</x:v>
      </x:c>
      <x:c r="P922" s="50" t="n">
        <x:v>21</x:v>
      </x:c>
    </x:row>
    <x:row r="923" ht="36" customHeight="1">
      <x:c r="A923" s="53" t="n">
        <x:v>904</x:v>
      </x:c>
      <x:c r="B923" s="53" t="n">
        <x:v>2</x:v>
      </x:c>
      <x:c r="C923" s="40" t="str">
        <x:v>Large-Basket Occasional Shoppers</x:v>
      </x:c>
      <x:c r="D923" s="60" t="n">
        <x:v>890.25</x:v>
      </x:c>
      <x:c r="E923" s="50" t="n">
        <x:v>31</x:v>
      </x:c>
      <x:c r="F923" s="46" t="n">
        <x:v>1.6315789473684212</x:v>
      </x:c>
      <x:c r="G923" s="46" t="n">
        <x:v>1</x:v>
      </x:c>
      <x:c r="H923" s="61" t="n">
        <x:v>28.717741935483872</x:v>
      </x:c>
      <x:c r="I923" s="52" t="n">
        <x:v>0.8387096774193548</x:v>
      </x:c>
      <x:c r="J923" s="52" t="n">
        <x:v>0.4926481325470373</x:v>
      </x:c>
      <x:c r="K923" s="60" t="n">
        <x:v>860.88</x:v>
      </x:c>
      <x:c r="L923" s="60" t="n">
        <x:v>29.37</x:v>
      </x:c>
      <x:c r="M923" s="50" t="n">
        <x:v>26</x:v>
      </x:c>
      <x:c r="N923" s="50" t="n">
        <x:v>5</x:v>
      </x:c>
      <x:c r="O923" s="50" t="n">
        <x:v>91</x:v>
      </x:c>
      <x:c r="P923" s="50" t="n">
        <x:v>19</x:v>
      </x:c>
    </x:row>
    <x:row r="924" ht="36" customHeight="1">
      <x:c r="A924" s="53" t="n">
        <x:v>905</x:v>
      </x:c>
      <x:c r="B924" s="53" t="n">
        <x:v>2</x:v>
      </x:c>
      <x:c r="C924" s="40" t="str">
        <x:v>Large-Basket Occasional Shoppers</x:v>
      </x:c>
      <x:c r="D924" s="60" t="n">
        <x:v>851.93</x:v>
      </x:c>
      <x:c r="E924" s="50" t="n">
        <x:v>31</x:v>
      </x:c>
      <x:c r="F924" s="46" t="n">
        <x:v>1.9375</x:v>
      </x:c>
      <x:c r="G924" s="46" t="n">
        <x:v>51</x:v>
      </x:c>
      <x:c r="H924" s="61" t="n">
        <x:v>27.48161290322581</x:v>
      </x:c>
      <x:c r="I924" s="52" t="n">
        <x:v>0.8064516129032258</x:v>
      </x:c>
      <x:c r="J924" s="52" t="n">
        <x:v>0.4460695127533952</x:v>
      </x:c>
      <x:c r="K924" s="60" t="n">
        <x:v>764</x:v>
      </x:c>
      <x:c r="L924" s="60" t="n">
        <x:v>87.93</x:v>
      </x:c>
      <x:c r="M924" s="50" t="n">
        <x:v>25</x:v>
      </x:c>
      <x:c r="N924" s="50" t="n">
        <x:v>6</x:v>
      </x:c>
      <x:c r="O924" s="50" t="n">
        <x:v>97</x:v>
      </x:c>
      <x:c r="P924" s="50" t="n">
        <x:v>16</x:v>
      </x:c>
    </x:row>
    <x:row r="925" ht="36" customHeight="1">
      <x:c r="A925" s="53" t="n">
        <x:v>906</x:v>
      </x:c>
      <x:c r="B925" s="53" t="n">
        <x:v>1</x:v>
      </x:c>
      <x:c r="C925" s="40" t="str">
        <x:v>High-Value Frequent Shoppers</x:v>
      </x:c>
      <x:c r="D925" s="60" t="n">
        <x:v>7048.71</x:v>
      </x:c>
      <x:c r="E925" s="50" t="n">
        <x:v>382</x:v>
      </x:c>
      <x:c r="F925" s="46" t="n">
        <x:v>16.60869565217391</x:v>
      </x:c>
      <x:c r="G925" s="46" t="n">
        <x:v>0</x:v>
      </x:c>
      <x:c r="H925" s="61" t="n">
        <x:v>18.452120418848168</x:v>
      </x:c>
      <x:c r="I925" s="52" t="n">
        <x:v>0.918848167539267</x:v>
      </x:c>
      <x:c r="J925" s="52" t="n">
        <x:v>0.6871768025638733</x:v>
      </x:c>
      <x:c r="K925" s="60" t="n">
        <x:v>6684.1</x:v>
      </x:c>
      <x:c r="L925" s="60" t="n">
        <x:v>364.61</x:v>
      </x:c>
      <x:c r="M925" s="50" t="n">
        <x:v>351</x:v>
      </x:c>
      <x:c r="N925" s="50" t="n">
        <x:v>31</x:v>
      </x:c>
      <x:c r="O925" s="50" t="n">
        <x:v>110</x:v>
      </x:c>
      <x:c r="P925" s="50" t="n">
        <x:v>23</x:v>
      </x:c>
    </x:row>
    <x:row r="926" ht="36" customHeight="1">
      <x:c r="A926" s="53" t="n">
        <x:v>907</x:v>
      </x:c>
      <x:c r="B926" s="53" t="n">
        <x:v>2</x:v>
      </x:c>
      <x:c r="C926" s="40" t="str">
        <x:v>Large-Basket Occasional Shoppers</x:v>
      </x:c>
      <x:c r="D926" s="60" t="n">
        <x:v>1953.06</x:v>
      </x:c>
      <x:c r="E926" s="50" t="n">
        <x:v>92</x:v>
      </x:c>
      <x:c r="F926" s="46" t="n">
        <x:v>3.8333333333333326</x:v>
      </x:c>
      <x:c r="G926" s="46" t="n">
        <x:v>3</x:v>
      </x:c>
      <x:c r="H926" s="61" t="n">
        <x:v>21.22891304347826</x:v>
      </x:c>
      <x:c r="I926" s="52" t="n">
        <x:v>0.9130434782608696</x:v>
      </x:c>
      <x:c r="J926" s="52" t="n">
        <x:v>0.492534791557863</x:v>
      </x:c>
      <x:c r="K926" s="60" t="n">
        <x:v>1912.28</x:v>
      </x:c>
      <x:c r="L926" s="60" t="n">
        <x:v>40.78</x:v>
      </x:c>
      <x:c r="M926" s="50" t="n">
        <x:v>84</x:v>
      </x:c>
      <x:c r="N926" s="50" t="n">
        <x:v>8</x:v>
      </x:c>
      <x:c r="O926" s="50" t="n">
        <x:v>105</x:v>
      </x:c>
      <x:c r="P926" s="50" t="n">
        <x:v>24</x:v>
      </x:c>
    </x:row>
    <x:row r="927" ht="36" customHeight="1">
      <x:c r="A927" s="53" t="n">
        <x:v>908</x:v>
      </x:c>
      <x:c r="B927" s="53" t="n">
        <x:v>1</x:v>
      </x:c>
      <x:c r="C927" s="40" t="str">
        <x:v>High-Value Frequent Shoppers</x:v>
      </x:c>
      <x:c r="D927" s="60" t="n">
        <x:v>6097.47</x:v>
      </x:c>
      <x:c r="E927" s="50" t="n">
        <x:v>199</x:v>
      </x:c>
      <x:c r="F927" s="46" t="n">
        <x:v>9.476190476190476</x:v>
      </x:c>
      <x:c r="G927" s="46" t="n">
        <x:v>4</x:v>
      </x:c>
      <x:c r="H927" s="61" t="n">
        <x:v>30.64055276381909</x:v>
      </x:c>
      <x:c r="I927" s="52" t="n">
        <x:v>0.9095477386934672</x:v>
      </x:c>
      <x:c r="J927" s="52" t="n">
        <x:v>0.5933018120630359</x:v>
      </x:c>
      <x:c r="K927" s="60" t="n">
        <x:v>6002.44</x:v>
      </x:c>
      <x:c r="L927" s="60" t="n">
        <x:v>95.03</x:v>
      </x:c>
      <x:c r="M927" s="50" t="n">
        <x:v>181</x:v>
      </x:c>
      <x:c r="N927" s="50" t="n">
        <x:v>18</x:v>
      </x:c>
      <x:c r="O927" s="50" t="n">
        <x:v>160</x:v>
      </x:c>
      <x:c r="P927" s="50" t="n">
        <x:v>21</x:v>
      </x:c>
    </x:row>
    <x:row r="928" ht="36" customHeight="1">
      <x:c r="A928" s="53" t="n">
        <x:v>909</x:v>
      </x:c>
      <x:c r="B928" s="53" t="n">
        <x:v>1</x:v>
      </x:c>
      <x:c r="C928" s="40" t="str">
        <x:v>High-Value Frequent Shoppers</x:v>
      </x:c>
      <x:c r="D928" s="60" t="n">
        <x:v>12414.56</x:v>
      </x:c>
      <x:c r="E928" s="50" t="n">
        <x:v>707</x:v>
      </x:c>
      <x:c r="F928" s="46" t="n">
        <x:v>32.13636363636364</x:v>
      </x:c>
      <x:c r="G928" s="46" t="n">
        <x:v>0</x:v>
      </x:c>
      <x:c r="H928" s="61" t="n">
        <x:v>17.55949080622348</x:v>
      </x:c>
      <x:c r="I928" s="52" t="n">
        <x:v>0.7949080622347949</x:v>
      </x:c>
      <x:c r="J928" s="52" t="n">
        <x:v>0.654573339691459</x:v>
      </x:c>
      <x:c r="K928" s="60" t="n">
        <x:v>11715.08</x:v>
      </x:c>
      <x:c r="L928" s="60" t="n">
        <x:v>699.48</x:v>
      </x:c>
      <x:c r="M928" s="50" t="n">
        <x:v>562</x:v>
      </x:c>
      <x:c r="N928" s="50" t="n">
        <x:v>145</x:v>
      </x:c>
      <x:c r="O928" s="50" t="n">
        <x:v>229</x:v>
      </x:c>
      <x:c r="P928" s="50" t="n">
        <x:v>22</x:v>
      </x:c>
    </x:row>
    <x:row r="929" ht="36" customHeight="1">
      <x:c r="A929" s="53" t="n">
        <x:v>910</x:v>
      </x:c>
      <x:c r="B929" s="53" t="n">
        <x:v>2</x:v>
      </x:c>
      <x:c r="C929" s="40" t="str">
        <x:v>Large-Basket Occasional Shoppers</x:v>
      </x:c>
      <x:c r="D929" s="60" t="n">
        <x:v>1158.11</x:v>
      </x:c>
      <x:c r="E929" s="50" t="n">
        <x:v>34</x:v>
      </x:c>
      <x:c r="F929" s="46" t="n">
        <x:v>3.090909090909091</x:v>
      </x:c>
      <x:c r="G929" s="46" t="n">
        <x:v>69</x:v>
      </x:c>
      <x:c r="H929" s="61" t="n">
        <x:v>34.062058823529405</x:v>
      </x:c>
      <x:c r="I929" s="52" t="n">
        <x:v>0.9705882352941176</x:v>
      </x:c>
      <x:c r="J929" s="52" t="n">
        <x:v>0.5078705822417559</x:v>
      </x:c>
      <x:c r="K929" s="60" t="n">
        <x:v>1147.11</x:v>
      </x:c>
      <x:c r="L929" s="60" t="n">
        <x:v>11</x:v>
      </x:c>
      <x:c r="M929" s="50" t="n">
        <x:v>33</x:v>
      </x:c>
      <x:c r="N929" s="50" t="n">
        <x:v>1</x:v>
      </x:c>
      <x:c r="O929" s="50" t="n">
        <x:v>91</x:v>
      </x:c>
      <x:c r="P929" s="50" t="n">
        <x:v>11</x:v>
      </x:c>
    </x:row>
    <x:row r="930" ht="36" customHeight="1">
      <x:c r="A930" s="53" t="n">
        <x:v>911</x:v>
      </x:c>
      <x:c r="B930" s="53" t="n">
        <x:v>2</x:v>
      </x:c>
      <x:c r="C930" s="40" t="str">
        <x:v>Large-Basket Occasional Shoppers</x:v>
      </x:c>
      <x:c r="D930" s="60" t="n">
        <x:v>3696.76</x:v>
      </x:c>
      <x:c r="E930" s="50" t="n">
        <x:v>75</x:v>
      </x:c>
      <x:c r="F930" s="46" t="n">
        <x:v>3.571428571428572</x:v>
      </x:c>
      <x:c r="G930" s="46" t="n">
        <x:v>20</x:v>
      </x:c>
      <x:c r="H930" s="61" t="n">
        <x:v>49.29013333333333</x:v>
      </x:c>
      <x:c r="I930" s="52" t="n">
        <x:v>0.9333333333333332</x:v>
      </x:c>
      <x:c r="J930" s="52" t="n">
        <x:v>0.3725965440006924</x:v>
      </x:c>
      <x:c r="K930" s="60" t="n">
        <x:v>3615.37</x:v>
      </x:c>
      <x:c r="L930" s="60" t="n">
        <x:v>81.39</x:v>
      </x:c>
      <x:c r="M930" s="50" t="n">
        <x:v>70</x:v>
      </x:c>
      <x:c r="N930" s="50" t="n">
        <x:v>5</x:v>
      </x:c>
      <x:c r="O930" s="50" t="n">
        <x:v>153</x:v>
      </x:c>
      <x:c r="P930" s="50" t="n">
        <x:v>21</x:v>
      </x:c>
    </x:row>
    <x:row r="931" ht="36" customHeight="1">
      <x:c r="A931" s="53" t="n">
        <x:v>912</x:v>
      </x:c>
      <x:c r="B931" s="53" t="n">
        <x:v>2</x:v>
      </x:c>
      <x:c r="C931" s="40" t="str">
        <x:v>Large-Basket Occasional Shoppers</x:v>
      </x:c>
      <x:c r="D931" s="60" t="n">
        <x:v>1164.11</x:v>
      </x:c>
      <x:c r="E931" s="50" t="n">
        <x:v>20</x:v>
      </x:c>
      <x:c r="F931" s="46" t="n">
        <x:v>2</x:v>
      </x:c>
      <x:c r="G931" s="46" t="n">
        <x:v>95</x:v>
      </x:c>
      <x:c r="H931" s="61" t="n">
        <x:v>58.2055</x:v>
      </x:c>
      <x:c r="I931" s="52" t="n">
        <x:v>0.9</x:v>
      </x:c>
      <x:c r="J931" s="52" t="n">
        <x:v>0.4369604247021329</x:v>
      </x:c>
      <x:c r="K931" s="60" t="n">
        <x:v>1157.98</x:v>
      </x:c>
      <x:c r="L931" s="60" t="n">
        <x:v>6.13</x:v>
      </x:c>
      <x:c r="M931" s="50" t="n">
        <x:v>18</x:v>
      </x:c>
      <x:c r="N931" s="50" t="n">
        <x:v>2</x:v>
      </x:c>
      <x:c r="O931" s="50" t="n">
        <x:v>104</x:v>
      </x:c>
      <x:c r="P931" s="50" t="n">
        <x:v>10</x:v>
      </x:c>
    </x:row>
    <x:row r="932" ht="36" customHeight="1">
      <x:c r="A932" s="53" t="n">
        <x:v>913</x:v>
      </x:c>
      <x:c r="B932" s="53" t="n">
        <x:v>2</x:v>
      </x:c>
      <x:c r="C932" s="40" t="str">
        <x:v>Large-Basket Occasional Shoppers</x:v>
      </x:c>
      <x:c r="D932" s="60" t="n">
        <x:v>1830.63</x:v>
      </x:c>
      <x:c r="E932" s="50" t="n">
        <x:v>69</x:v>
      </x:c>
      <x:c r="F932" s="46" t="n">
        <x:v>2.875</x:v>
      </x:c>
      <x:c r="G932" s="46" t="n">
        <x:v>8</x:v>
      </x:c>
      <x:c r="H932" s="61" t="n">
        <x:v>26.53086956521739</x:v>
      </x:c>
      <x:c r="I932" s="52" t="n">
        <x:v>0.8405797101449275</x:v>
      </x:c>
      <x:c r="J932" s="52" t="n">
        <x:v>0.480785303420134</x:v>
      </x:c>
      <x:c r="K932" s="60" t="n">
        <x:v>1721.44</x:v>
      </x:c>
      <x:c r="L932" s="60" t="n">
        <x:v>109.19</x:v>
      </x:c>
      <x:c r="M932" s="50" t="n">
        <x:v>58</x:v>
      </x:c>
      <x:c r="N932" s="50" t="n">
        <x:v>11</x:v>
      </x:c>
      <x:c r="O932" s="50" t="n">
        <x:v>91</x:v>
      </x:c>
      <x:c r="P932" s="50" t="n">
        <x:v>24</x:v>
      </x:c>
    </x:row>
    <x:row r="933" ht="36" customHeight="1">
      <x:c r="A933" s="53" t="n">
        <x:v>914</x:v>
      </x:c>
      <x:c r="B933" s="53" t="n">
        <x:v>2</x:v>
      </x:c>
      <x:c r="C933" s="40" t="str">
        <x:v>Large-Basket Occasional Shoppers</x:v>
      </x:c>
      <x:c r="D933" s="60" t="n">
        <x:v>1834.08</x:v>
      </x:c>
      <x:c r="E933" s="50" t="n">
        <x:v>60</x:v>
      </x:c>
      <x:c r="F933" s="46" t="n">
        <x:v>2.8571428571428568</x:v>
      </x:c>
      <x:c r="G933" s="46" t="n">
        <x:v>2</x:v>
      </x:c>
      <x:c r="H933" s="61" t="n">
        <x:v>30.568</x:v>
      </x:c>
      <x:c r="I933" s="52" t="n">
        <x:v>0.75</x:v>
      </x:c>
      <x:c r="J933" s="52" t="n">
        <x:v>0.3256237459652795</x:v>
      </x:c>
      <x:c r="K933" s="60" t="n">
        <x:v>1711.45</x:v>
      </x:c>
      <x:c r="L933" s="60" t="n">
        <x:v>122.63</x:v>
      </x:c>
      <x:c r="M933" s="50" t="n">
        <x:v>45</x:v>
      </x:c>
      <x:c r="N933" s="50" t="n">
        <x:v>15</x:v>
      </x:c>
      <x:c r="O933" s="50" t="n">
        <x:v>97</x:v>
      </x:c>
      <x:c r="P933" s="50" t="n">
        <x:v>21</x:v>
      </x:c>
    </x:row>
    <x:row r="934" ht="36" customHeight="1">
      <x:c r="A934" s="53" t="n">
        <x:v>915</x:v>
      </x:c>
      <x:c r="B934" s="53" t="n">
        <x:v>3</x:v>
      </x:c>
      <x:c r="C934" s="40" t="str">
        <x:v>Low-Value Low-Engagement Shoppers</x:v>
      </x:c>
      <x:c r="D934" s="60" t="n">
        <x:v>970.11</x:v>
      </x:c>
      <x:c r="E934" s="50" t="n">
        <x:v>119</x:v>
      </x:c>
      <x:c r="F934" s="46" t="n">
        <x:v>5.409090909090909</x:v>
      </x:c>
      <x:c r="G934" s="46" t="n">
        <x:v>4</x:v>
      </x:c>
      <x:c r="H934" s="61" t="n">
        <x:v>8.152184873949581</x:v>
      </x:c>
      <x:c r="I934" s="52" t="n">
        <x:v>0.6302521008403361</x:v>
      </x:c>
      <x:c r="J934" s="52" t="n">
        <x:v>0.2530950098442444</x:v>
      </x:c>
      <x:c r="K934" s="60" t="n">
        <x:v>674.05</x:v>
      </x:c>
      <x:c r="L934" s="60" t="n">
        <x:v>296.06</x:v>
      </x:c>
      <x:c r="M934" s="50" t="n">
        <x:v>75</x:v>
      </x:c>
      <x:c r="N934" s="50" t="n">
        <x:v>44</x:v>
      </x:c>
      <x:c r="O934" s="50" t="n">
        <x:v>65</x:v>
      </x:c>
      <x:c r="P934" s="50" t="n">
        <x:v>22</x:v>
      </x:c>
    </x:row>
    <x:row r="935" ht="36" customHeight="1">
      <x:c r="A935" s="53" t="n">
        <x:v>916</x:v>
      </x:c>
      <x:c r="B935" s="53" t="n">
        <x:v>1</x:v>
      </x:c>
      <x:c r="C935" s="40" t="str">
        <x:v>High-Value Frequent Shoppers</x:v>
      </x:c>
      <x:c r="D935" s="60" t="n">
        <x:v>3764.6</x:v>
      </x:c>
      <x:c r="E935" s="50" t="n">
        <x:v>206</x:v>
      </x:c>
      <x:c r="F935" s="46" t="n">
        <x:v>9.809523809523808</x:v>
      </x:c>
      <x:c r="G935" s="46" t="n">
        <x:v>3</x:v>
      </x:c>
      <x:c r="H935" s="61" t="n">
        <x:v>18.2747572815534</x:v>
      </x:c>
      <x:c r="I935" s="52" t="n">
        <x:v>0.7475728155339805</x:v>
      </x:c>
      <x:c r="J935" s="52" t="n">
        <x:v>0.5548159166976571</x:v>
      </x:c>
      <x:c r="K935" s="60" t="n">
        <x:v>3401.19</x:v>
      </x:c>
      <x:c r="L935" s="60" t="n">
        <x:v>363.41</x:v>
      </x:c>
      <x:c r="M935" s="50" t="n">
        <x:v>154</x:v>
      </x:c>
      <x:c r="N935" s="50" t="n">
        <x:v>52</x:v>
      </x:c>
      <x:c r="O935" s="50" t="n">
        <x:v>150</x:v>
      </x:c>
      <x:c r="P935" s="50" t="n">
        <x:v>21</x:v>
      </x:c>
    </x:row>
    <x:row r="936" ht="36" customHeight="1">
      <x:c r="A936" s="53" t="n">
        <x:v>917</x:v>
      </x:c>
      <x:c r="B936" s="53" t="n">
        <x:v>3</x:v>
      </x:c>
      <x:c r="C936" s="40" t="str">
        <x:v>Low-Value Low-Engagement Shoppers</x:v>
      </x:c>
      <x:c r="D936" s="60" t="n">
        <x:v>488.48</x:v>
      </x:c>
      <x:c r="E936" s="50" t="n">
        <x:v>43</x:v>
      </x:c>
      <x:c r="F936" s="46" t="n">
        <x:v>4.777777777777778</x:v>
      </x:c>
      <x:c r="G936" s="46" t="n">
        <x:v>143</x:v>
      </x:c>
      <x:c r="H936" s="61" t="n">
        <x:v>11.36</x:v>
      </x:c>
      <x:c r="I936" s="52" t="n">
        <x:v>0.4651162790697674</x:v>
      </x:c>
      <x:c r="J936" s="52" t="n">
        <x:v>0.5085162135604323</x:v>
      </x:c>
      <x:c r="K936" s="60" t="n">
        <x:v>403.27</x:v>
      </x:c>
      <x:c r="L936" s="60" t="n">
        <x:v>85.21</x:v>
      </x:c>
      <x:c r="M936" s="50" t="n">
        <x:v>20</x:v>
      </x:c>
      <x:c r="N936" s="50" t="n">
        <x:v>23</x:v>
      </x:c>
      <x:c r="O936" s="50" t="n">
        <x:v>66</x:v>
      </x:c>
      <x:c r="P936" s="50" t="n">
        <x:v>9</x:v>
      </x:c>
    </x:row>
    <x:row r="937" ht="36" customHeight="1">
      <x:c r="A937" s="53" t="n">
        <x:v>918</x:v>
      </x:c>
      <x:c r="B937" s="53" t="n">
        <x:v>1</x:v>
      </x:c>
      <x:c r="C937" s="40" t="str">
        <x:v>High-Value Frequent Shoppers</x:v>
      </x:c>
      <x:c r="D937" s="60" t="n">
        <x:v>3135.38</x:v>
      </x:c>
      <x:c r="E937" s="50" t="n">
        <x:v>152</x:v>
      </x:c>
      <x:c r="F937" s="46" t="n">
        <x:v>9.5</x:v>
      </x:c>
      <x:c r="G937" s="46" t="n">
        <x:v>106</x:v>
      </x:c>
      <x:c r="H937" s="61" t="n">
        <x:v>20.6275</x:v>
      </x:c>
      <x:c r="I937" s="52" t="n">
        <x:v>0.9276315789473684</x:v>
      </x:c>
      <x:c r="J937" s="52" t="n">
        <x:v>0.5409073222384527</x:v>
      </x:c>
      <x:c r="K937" s="60" t="n">
        <x:v>3085.05</x:v>
      </x:c>
      <x:c r="L937" s="60" t="n">
        <x:v>50.33</x:v>
      </x:c>
      <x:c r="M937" s="50" t="n">
        <x:v>141</x:v>
      </x:c>
      <x:c r="N937" s="50" t="n">
        <x:v>11</x:v>
      </x:c>
      <x:c r="O937" s="50" t="n">
        <x:v>148</x:v>
      </x:c>
      <x:c r="P937" s="50" t="n">
        <x:v>16</x:v>
      </x:c>
    </x:row>
    <x:row r="938" ht="36" customHeight="1">
      <x:c r="A938" s="53" t="n">
        <x:v>919</x:v>
      </x:c>
      <x:c r="B938" s="53" t="n">
        <x:v>3</x:v>
      </x:c>
      <x:c r="C938" s="40" t="str">
        <x:v>Low-Value Low-Engagement Shoppers</x:v>
      </x:c>
      <x:c r="D938" s="60" t="n">
        <x:v>1469.45</x:v>
      </x:c>
      <x:c r="E938" s="50" t="n">
        <x:v>133</x:v>
      </x:c>
      <x:c r="F938" s="46" t="n">
        <x:v>6.333333333333333</x:v>
      </x:c>
      <x:c r="G938" s="46" t="n">
        <x:v>1</x:v>
      </x:c>
      <x:c r="H938" s="61" t="n">
        <x:v>11.048496240601503</x:v>
      </x:c>
      <x:c r="I938" s="52" t="n">
        <x:v>0.7293233082706766</x:v>
      </x:c>
      <x:c r="J938" s="52" t="n">
        <x:v>0.3981421620334138</x:v>
      </x:c>
      <x:c r="K938" s="60" t="n">
        <x:v>1307.24</x:v>
      </x:c>
      <x:c r="L938" s="60" t="n">
        <x:v>162.21</x:v>
      </x:c>
      <x:c r="M938" s="50" t="n">
        <x:v>97</x:v>
      </x:c>
      <x:c r="N938" s="50" t="n">
        <x:v>36</x:v>
      </x:c>
      <x:c r="O938" s="50" t="n">
        <x:v>100</x:v>
      </x:c>
      <x:c r="P938" s="50" t="n">
        <x:v>21</x:v>
      </x:c>
    </x:row>
    <x:row r="939" ht="36" customHeight="1">
      <x:c r="A939" s="53" t="n">
        <x:v>920</x:v>
      </x:c>
      <x:c r="B939" s="53" t="n">
        <x:v>1</x:v>
      </x:c>
      <x:c r="C939" s="40" t="str">
        <x:v>High-Value Frequent Shoppers</x:v>
      </x:c>
      <x:c r="D939" s="60" t="n">
        <x:v>5887.36</x:v>
      </x:c>
      <x:c r="E939" s="50" t="n">
        <x:v>238</x:v>
      </x:c>
      <x:c r="F939" s="46" t="n">
        <x:v>10.34782608695652</x:v>
      </x:c>
      <x:c r="G939" s="46" t="n">
        <x:v>1</x:v>
      </x:c>
      <x:c r="H939" s="61" t="n">
        <x:v>24.736806722689074</x:v>
      </x:c>
      <x:c r="I939" s="52" t="n">
        <x:v>0.8823529411764705</x:v>
      </x:c>
      <x:c r="J939" s="52" t="n">
        <x:v>0.5113633275356017</x:v>
      </x:c>
      <x:c r="K939" s="60" t="n">
        <x:v>5586.55</x:v>
      </x:c>
      <x:c r="L939" s="60" t="n">
        <x:v>300.81</x:v>
      </x:c>
      <x:c r="M939" s="50" t="n">
        <x:v>210</x:v>
      </x:c>
      <x:c r="N939" s="50" t="n">
        <x:v>28</x:v>
      </x:c>
      <x:c r="O939" s="50" t="n">
        <x:v>174</x:v>
      </x:c>
      <x:c r="P939" s="50" t="n">
        <x:v>23</x:v>
      </x:c>
    </x:row>
    <x:row r="940" ht="36" customHeight="1">
      <x:c r="A940" s="53" t="n">
        <x:v>921</x:v>
      </x:c>
      <x:c r="B940" s="53" t="n">
        <x:v>3</x:v>
      </x:c>
      <x:c r="C940" s="40" t="str">
        <x:v>Low-Value Low-Engagement Shoppers</x:v>
      </x:c>
      <x:c r="D940" s="60" t="n">
        <x:v>101.3</x:v>
      </x:c>
      <x:c r="E940" s="50" t="n">
        <x:v>8</x:v>
      </x:c>
      <x:c r="F940" s="46" t="n">
        <x:v>2</x:v>
      </x:c>
      <x:c r="G940" s="46" t="n">
        <x:v>106</x:v>
      </x:c>
      <x:c r="H940" s="61" t="n">
        <x:v>12.6625</x:v>
      </x:c>
      <x:c r="I940" s="52" t="n">
        <x:v>0.75</x:v>
      </x:c>
      <x:c r="J940" s="52" t="n">
        <x:v>0.3773938795656465</x:v>
      </x:c>
      <x:c r="K940" s="60" t="n">
        <x:v>89.93</x:v>
      </x:c>
      <x:c r="L940" s="60" t="n">
        <x:v>11.37</x:v>
      </x:c>
      <x:c r="M940" s="50" t="n">
        <x:v>6</x:v>
      </x:c>
      <x:c r="N940" s="50" t="n">
        <x:v>2</x:v>
      </x:c>
      <x:c r="O940" s="50" t="n">
        <x:v>20</x:v>
      </x:c>
      <x:c r="P940" s="50" t="n">
        <x:v>4</x:v>
      </x:c>
    </x:row>
    <x:row r="941" ht="36" customHeight="1">
      <x:c r="A941" s="53" t="n">
        <x:v>922</x:v>
      </x:c>
      <x:c r="B941" s="53" t="n">
        <x:v>1</x:v>
      </x:c>
      <x:c r="C941" s="40" t="str">
        <x:v>High-Value Frequent Shoppers</x:v>
      </x:c>
      <x:c r="D941" s="60" t="n">
        <x:v>3336.99</x:v>
      </x:c>
      <x:c r="E941" s="50" t="n">
        <x:v>150</x:v>
      </x:c>
      <x:c r="F941" s="46" t="n">
        <x:v>6.8181818181818175</x:v>
      </x:c>
      <x:c r="G941" s="46" t="n">
        <x:v>13</x:v>
      </x:c>
      <x:c r="H941" s="61" t="n">
        <x:v>22.2466</x:v>
      </x:c>
      <x:c r="I941" s="52" t="n">
        <x:v>0.8</x:v>
      </x:c>
      <x:c r="J941" s="52" t="n">
        <x:v>0.4384160575848294</x:v>
      </x:c>
      <x:c r="K941" s="60" t="n">
        <x:v>3070.85</x:v>
      </x:c>
      <x:c r="L941" s="60" t="n">
        <x:v>266.14</x:v>
      </x:c>
      <x:c r="M941" s="50" t="n">
        <x:v>120</x:v>
      </x:c>
      <x:c r="N941" s="50" t="n">
        <x:v>30</x:v>
      </x:c>
      <x:c r="O941" s="50" t="n">
        <x:v>157</x:v>
      </x:c>
      <x:c r="P941" s="50" t="n">
        <x:v>22</x:v>
      </x:c>
    </x:row>
    <x:row r="942" ht="36" customHeight="1">
      <x:c r="A942" s="53" t="n">
        <x:v>923</x:v>
      </x:c>
      <x:c r="B942" s="53" t="n">
        <x:v>1</x:v>
      </x:c>
      <x:c r="C942" s="40" t="str">
        <x:v>High-Value Frequent Shoppers</x:v>
      </x:c>
      <x:c r="D942" s="60" t="n">
        <x:v>3305.54</x:v>
      </x:c>
      <x:c r="E942" s="50" t="n">
        <x:v>161</x:v>
      </x:c>
      <x:c r="F942" s="46" t="n">
        <x:v>7</x:v>
      </x:c>
      <x:c r="G942" s="46" t="n">
        <x:v>3</x:v>
      </x:c>
      <x:c r="H942" s="61" t="n">
        <x:v>20.531304347826087</x:v>
      </x:c>
      <x:c r="I942" s="52" t="n">
        <x:v>0.7701863354037267</x:v>
      </x:c>
      <x:c r="J942" s="52" t="n">
        <x:v>0.6567277963661005</x:v>
      </x:c>
      <x:c r="K942" s="60" t="n">
        <x:v>2904.99</x:v>
      </x:c>
      <x:c r="L942" s="60" t="n">
        <x:v>400.55</x:v>
      </x:c>
      <x:c r="M942" s="50" t="n">
        <x:v>124</x:v>
      </x:c>
      <x:c r="N942" s="50" t="n">
        <x:v>37</x:v>
      </x:c>
      <x:c r="O942" s="50" t="n">
        <x:v>129</x:v>
      </x:c>
      <x:c r="P942" s="50" t="n">
        <x:v>23</x:v>
      </x:c>
    </x:row>
    <x:row r="943" ht="36" customHeight="1">
      <x:c r="A943" s="53" t="n">
        <x:v>924</x:v>
      </x:c>
      <x:c r="B943" s="53" t="n">
        <x:v>2</x:v>
      </x:c>
      <x:c r="C943" s="40" t="str">
        <x:v>Large-Basket Occasional Shoppers</x:v>
      </x:c>
      <x:c r="D943" s="60" t="n">
        <x:v>2336.18</x:v>
      </x:c>
      <x:c r="E943" s="50" t="n">
        <x:v>95</x:v>
      </x:c>
      <x:c r="F943" s="46" t="n">
        <x:v>3.9583333333333326</x:v>
      </x:c>
      <x:c r="G943" s="46" t="n">
        <x:v>3</x:v>
      </x:c>
      <x:c r="H943" s="61" t="n">
        <x:v>24.591368421052632</x:v>
      </x:c>
      <x:c r="I943" s="52" t="n">
        <x:v>0.8526315789473684</x:v>
      </x:c>
      <x:c r="J943" s="52" t="n">
        <x:v>0.3984924106875326</x:v>
      </x:c>
      <x:c r="K943" s="60" t="n">
        <x:v>2179.27</x:v>
      </x:c>
      <x:c r="L943" s="60" t="n">
        <x:v>156.91</x:v>
      </x:c>
      <x:c r="M943" s="50" t="n">
        <x:v>81</x:v>
      </x:c>
      <x:c r="N943" s="50" t="n">
        <x:v>14</x:v>
      </x:c>
      <x:c r="O943" s="50" t="n">
        <x:v>87</x:v>
      </x:c>
      <x:c r="P943" s="50" t="n">
        <x:v>24</x:v>
      </x:c>
    </x:row>
    <x:row r="944" ht="36" customHeight="1">
      <x:c r="A944" s="53" t="n">
        <x:v>925</x:v>
      </x:c>
      <x:c r="B944" s="53" t="n">
        <x:v>3</x:v>
      </x:c>
      <x:c r="C944" s="40" t="str">
        <x:v>Low-Value Low-Engagement Shoppers</x:v>
      </x:c>
      <x:c r="D944" s="60" t="n">
        <x:v>485.24</x:v>
      </x:c>
      <x:c r="E944" s="50" t="n">
        <x:v>79</x:v>
      </x:c>
      <x:c r="F944" s="46" t="n">
        <x:v>6.583333333333333</x:v>
      </x:c>
      <x:c r="G944" s="46" t="n">
        <x:v>60</x:v>
      </x:c>
      <x:c r="H944" s="61" t="n">
        <x:v>6.142278481012657</x:v>
      </x:c>
      <x:c r="I944" s="52" t="n">
        <x:v>0.5822784810126582</x:v>
      </x:c>
      <x:c r="J944" s="52" t="n">
        <x:v>0.376205588986893</x:v>
      </x:c>
      <x:c r="K944" s="60" t="n">
        <x:v>318.97</x:v>
      </x:c>
      <x:c r="L944" s="60" t="n">
        <x:v>166.27</x:v>
      </x:c>
      <x:c r="M944" s="50" t="n">
        <x:v>46</x:v>
      </x:c>
      <x:c r="N944" s="50" t="n">
        <x:v>33</x:v>
      </x:c>
      <x:c r="O944" s="50" t="n">
        <x:v>49</x:v>
      </x:c>
      <x:c r="P944" s="50" t="n">
        <x:v>12</x:v>
      </x:c>
    </x:row>
    <x:row r="945" ht="36" customHeight="1">
      <x:c r="A945" s="53" t="n">
        <x:v>926</x:v>
      </x:c>
      <x:c r="B945" s="53" t="n">
        <x:v>1</x:v>
      </x:c>
      <x:c r="C945" s="40" t="str">
        <x:v>High-Value Frequent Shoppers</x:v>
      </x:c>
      <x:c r="D945" s="60" t="n">
        <x:v>7274.1</x:v>
      </x:c>
      <x:c r="E945" s="50" t="n">
        <x:v>240</x:v>
      </x:c>
      <x:c r="F945" s="46" t="n">
        <x:v>10</x:v>
      </x:c>
      <x:c r="G945" s="46" t="n">
        <x:v>7</x:v>
      </x:c>
      <x:c r="H945" s="61" t="n">
        <x:v>30.30875</x:v>
      </x:c>
      <x:c r="I945" s="52" t="n">
        <x:v>0.8291666666666666</x:v>
      </x:c>
      <x:c r="J945" s="52" t="n">
        <x:v>0.5676413576937352</x:v>
      </x:c>
      <x:c r="K945" s="60" t="n">
        <x:v>6939.41</x:v>
      </x:c>
      <x:c r="L945" s="60" t="n">
        <x:v>334.69</x:v>
      </x:c>
      <x:c r="M945" s="50" t="n">
        <x:v>199</x:v>
      </x:c>
      <x:c r="N945" s="50" t="n">
        <x:v>41</x:v>
      </x:c>
      <x:c r="O945" s="50" t="n">
        <x:v>172</x:v>
      </x:c>
      <x:c r="P945" s="50" t="n">
        <x:v>24</x:v>
      </x:c>
    </x:row>
    <x:row r="946" ht="36" customHeight="1">
      <x:c r="A946" s="53" t="n">
        <x:v>927</x:v>
      </x:c>
      <x:c r="B946" s="53" t="n">
        <x:v>2</x:v>
      </x:c>
      <x:c r="C946" s="40" t="str">
        <x:v>Large-Basket Occasional Shoppers</x:v>
      </x:c>
      <x:c r="D946" s="60" t="n">
        <x:v>1530.88</x:v>
      </x:c>
      <x:c r="E946" s="50" t="n">
        <x:v>46</x:v>
      </x:c>
      <x:c r="F946" s="46" t="n">
        <x:v>2.555555555555556</x:v>
      </x:c>
      <x:c r="G946" s="46" t="n">
        <x:v>14</x:v>
      </x:c>
      <x:c r="H946" s="61" t="n">
        <x:v>33.28</x:v>
      </x:c>
      <x:c r="I946" s="52" t="n">
        <x:v>0.8695652173913043</x:v>
      </x:c>
      <x:c r="J946" s="52" t="n">
        <x:v>0.4996668582775919</x:v>
      </x:c>
      <x:c r="K946" s="60" t="n">
        <x:v>1465.5</x:v>
      </x:c>
      <x:c r="L946" s="60" t="n">
        <x:v>65.38</x:v>
      </x:c>
      <x:c r="M946" s="50" t="n">
        <x:v>40</x:v>
      </x:c>
      <x:c r="N946" s="50" t="n">
        <x:v>6</x:v>
      </x:c>
      <x:c r="O946" s="50" t="n">
        <x:v>126</x:v>
      </x:c>
      <x:c r="P946" s="50" t="n">
        <x:v>18</x:v>
      </x:c>
    </x:row>
    <x:row r="947" ht="36" customHeight="1">
      <x:c r="A947" s="53" t="n">
        <x:v>928</x:v>
      </x:c>
      <x:c r="B947" s="53" t="n">
        <x:v>1</x:v>
      </x:c>
      <x:c r="C947" s="40" t="str">
        <x:v>High-Value Frequent Shoppers</x:v>
      </x:c>
      <x:c r="D947" s="60" t="n">
        <x:v>3571.7</x:v>
      </x:c>
      <x:c r="E947" s="50" t="n">
        <x:v>137</x:v>
      </x:c>
      <x:c r="F947" s="46" t="n">
        <x:v>5.956521739130435</x:v>
      </x:c>
      <x:c r="G947" s="46" t="n">
        <x:v>5</x:v>
      </x:c>
      <x:c r="H947" s="61" t="n">
        <x:v>26.07080291970803</x:v>
      </x:c>
      <x:c r="I947" s="52" t="n">
        <x:v>0.7664233576642335</x:v>
      </x:c>
      <x:c r="J947" s="52" t="n">
        <x:v>0.5499062071282582</x:v>
      </x:c>
      <x:c r="K947" s="60" t="n">
        <x:v>3180.34</x:v>
      </x:c>
      <x:c r="L947" s="60" t="n">
        <x:v>391.36</x:v>
      </x:c>
      <x:c r="M947" s="50" t="n">
        <x:v>105</x:v>
      </x:c>
      <x:c r="N947" s="50" t="n">
        <x:v>32</x:v>
      </x:c>
      <x:c r="O947" s="50" t="n">
        <x:v>160</x:v>
      </x:c>
      <x:c r="P947" s="50" t="n">
        <x:v>23</x:v>
      </x:c>
    </x:row>
    <x:row r="948" ht="36" customHeight="1">
      <x:c r="A948" s="53" t="n">
        <x:v>929</x:v>
      </x:c>
      <x:c r="B948" s="53" t="n">
        <x:v>1</x:v>
      </x:c>
      <x:c r="C948" s="40" t="str">
        <x:v>High-Value Frequent Shoppers</x:v>
      </x:c>
      <x:c r="D948" s="60" t="n">
        <x:v>5342.55</x:v>
      </x:c>
      <x:c r="E948" s="50" t="n">
        <x:v>244</x:v>
      </x:c>
      <x:c r="F948" s="46" t="n">
        <x:v>11.09090909090909</x:v>
      </x:c>
      <x:c r="G948" s="46" t="n">
        <x:v>5</x:v>
      </x:c>
      <x:c r="H948" s="61" t="n">
        <x:v>21.89569672131148</x:v>
      </x:c>
      <x:c r="I948" s="52" t="n">
        <x:v>0.9467213114754098</x:v>
      </x:c>
      <x:c r="J948" s="52" t="n">
        <x:v>0.6417590850810942</x:v>
      </x:c>
      <x:c r="K948" s="60" t="n">
        <x:v>5245.95</x:v>
      </x:c>
      <x:c r="L948" s="60" t="n">
        <x:v>96.6</x:v>
      </x:c>
      <x:c r="M948" s="50" t="n">
        <x:v>231</x:v>
      </x:c>
      <x:c r="N948" s="50" t="n">
        <x:v>13</x:v>
      </x:c>
      <x:c r="O948" s="50" t="n">
        <x:v>150</x:v>
      </x:c>
      <x:c r="P948" s="50" t="n">
        <x:v>22</x:v>
      </x:c>
    </x:row>
    <x:row r="949" ht="36" customHeight="1">
      <x:c r="A949" s="53" t="n">
        <x:v>930</x:v>
      </x:c>
      <x:c r="B949" s="53" t="n">
        <x:v>3</x:v>
      </x:c>
      <x:c r="C949" s="40" t="str">
        <x:v>Low-Value Low-Engagement Shoppers</x:v>
      </x:c>
      <x:c r="D949" s="60" t="n">
        <x:v>966.88</x:v>
      </x:c>
      <x:c r="E949" s="50" t="n">
        <x:v>43</x:v>
      </x:c>
      <x:c r="F949" s="46" t="n">
        <x:v>2.5294117647058822</x:v>
      </x:c>
      <x:c r="G949" s="46" t="n">
        <x:v>0</x:v>
      </x:c>
      <x:c r="H949" s="61" t="n">
        <x:v>22.48558139534884</x:v>
      </x:c>
      <x:c r="I949" s="52" t="n">
        <x:v>0.7674418604651162</x:v>
      </x:c>
      <x:c r="J949" s="52" t="n">
        <x:v>0.7722468144961112</x:v>
      </x:c>
      <x:c r="K949" s="60" t="n">
        <x:v>866.09</x:v>
      </x:c>
      <x:c r="L949" s="60" t="n">
        <x:v>100.79</x:v>
      </x:c>
      <x:c r="M949" s="50" t="n">
        <x:v>33</x:v>
      </x:c>
      <x:c r="N949" s="50" t="n">
        <x:v>10</x:v>
      </x:c>
      <x:c r="O949" s="50" t="n">
        <x:v>46</x:v>
      </x:c>
      <x:c r="P949" s="50" t="n">
        <x:v>17</x:v>
      </x:c>
    </x:row>
    <x:row r="950" ht="36" customHeight="1">
      <x:c r="A950" s="53" t="n">
        <x:v>931</x:v>
      </x:c>
      <x:c r="B950" s="53" t="n">
        <x:v>2</x:v>
      </x:c>
      <x:c r="C950" s="40" t="str">
        <x:v>Large-Basket Occasional Shoppers</x:v>
      </x:c>
      <x:c r="D950" s="60" t="n">
        <x:v>4967.07</x:v>
      </x:c>
      <x:c r="E950" s="50" t="n">
        <x:v>42</x:v>
      </x:c>
      <x:c r="F950" s="46" t="n">
        <x:v>2.4705882352941178</x:v>
      </x:c>
      <x:c r="G950" s="46" t="n">
        <x:v>43</x:v>
      </x:c>
      <x:c r="H950" s="61" t="n">
        <x:v>118.26357142857142</x:v>
      </x:c>
      <x:c r="I950" s="52" t="n">
        <x:v>0.8571428571428571</x:v>
      </x:c>
      <x:c r="J950" s="52" t="n">
        <x:v>0.6162002951438171</x:v>
      </x:c>
      <x:c r="K950" s="60" t="n">
        <x:v>4907.13</x:v>
      </x:c>
      <x:c r="L950" s="60" t="n">
        <x:v>59.94</x:v>
      </x:c>
      <x:c r="M950" s="50" t="n">
        <x:v>36</x:v>
      </x:c>
      <x:c r="N950" s="50" t="n">
        <x:v>6</x:v>
      </x:c>
      <x:c r="O950" s="50" t="n">
        <x:v>124</x:v>
      </x:c>
      <x:c r="P950" s="50" t="n">
        <x:v>17</x:v>
      </x:c>
    </x:row>
    <x:row r="951" ht="36" customHeight="1">
      <x:c r="A951" s="53" t="n">
        <x:v>932</x:v>
      </x:c>
      <x:c r="B951" s="53" t="n">
        <x:v>1</x:v>
      </x:c>
      <x:c r="C951" s="40" t="str">
        <x:v>High-Value Frequent Shoppers</x:v>
      </x:c>
      <x:c r="D951" s="60" t="n">
        <x:v>5845.96</x:v>
      </x:c>
      <x:c r="E951" s="50" t="n">
        <x:v>158</x:v>
      </x:c>
      <x:c r="F951" s="46" t="n">
        <x:v>6.869565217391304</x:v>
      </x:c>
      <x:c r="G951" s="46" t="n">
        <x:v>20</x:v>
      </x:c>
      <x:c r="H951" s="61" t="n">
        <x:v>36.99974683544304</x:v>
      </x:c>
      <x:c r="I951" s="52" t="n">
        <x:v>0.7911392405063291</x:v>
      </x:c>
      <x:c r="J951" s="52" t="n">
        <x:v>0.44011933027253</x:v>
      </x:c>
      <x:c r="K951" s="60" t="n">
        <x:v>5517.8</x:v>
      </x:c>
      <x:c r="L951" s="60" t="n">
        <x:v>328.16</x:v>
      </x:c>
      <x:c r="M951" s="50" t="n">
        <x:v>125</x:v>
      </x:c>
      <x:c r="N951" s="50" t="n">
        <x:v>33</x:v>
      </x:c>
      <x:c r="O951" s="50" t="n">
        <x:v>159</x:v>
      </x:c>
      <x:c r="P951" s="50" t="n">
        <x:v>23</x:v>
      </x:c>
    </x:row>
    <x:row r="952" ht="36" customHeight="1">
      <x:c r="A952" s="53" t="n">
        <x:v>933</x:v>
      </x:c>
      <x:c r="B952" s="53" t="n">
        <x:v>2</x:v>
      </x:c>
      <x:c r="C952" s="40" t="str">
        <x:v>Large-Basket Occasional Shoppers</x:v>
      </x:c>
      <x:c r="D952" s="60" t="n">
        <x:v>2175.19</x:v>
      </x:c>
      <x:c r="E952" s="50" t="n">
        <x:v>78</x:v>
      </x:c>
      <x:c r="F952" s="46" t="n">
        <x:v>4.333333333333333</x:v>
      </x:c>
      <x:c r="G952" s="46" t="n">
        <x:v>53</x:v>
      </x:c>
      <x:c r="H952" s="61" t="n">
        <x:v>27.88705128205128</x:v>
      </x:c>
      <x:c r="I952" s="52" t="n">
        <x:v>0.8076923076923076</x:v>
      </x:c>
      <x:c r="J952" s="52" t="n">
        <x:v>0.5358474432118573</x:v>
      </x:c>
      <x:c r="K952" s="60" t="n">
        <x:v>2048.31</x:v>
      </x:c>
      <x:c r="L952" s="60" t="n">
        <x:v>126.88</x:v>
      </x:c>
      <x:c r="M952" s="50" t="n">
        <x:v>63</x:v>
      </x:c>
      <x:c r="N952" s="50" t="n">
        <x:v>15</x:v>
      </x:c>
      <x:c r="O952" s="50" t="n">
        <x:v>104</x:v>
      </x:c>
      <x:c r="P952" s="50" t="n">
        <x:v>18</x:v>
      </x:c>
    </x:row>
    <x:row r="953" ht="36" customHeight="1">
      <x:c r="A953" s="53" t="n">
        <x:v>934</x:v>
      </x:c>
      <x:c r="B953" s="53" t="n">
        <x:v>1</x:v>
      </x:c>
      <x:c r="C953" s="40" t="str">
        <x:v>High-Value Frequent Shoppers</x:v>
      </x:c>
      <x:c r="D953" s="60" t="n">
        <x:v>10709.38</x:v>
      </x:c>
      <x:c r="E953" s="50" t="n">
        <x:v>233</x:v>
      </x:c>
      <x:c r="F953" s="46" t="n">
        <x:v>10.130434782608695</x:v>
      </x:c>
      <x:c r="G953" s="46" t="n">
        <x:v>3</x:v>
      </x:c>
      <x:c r="H953" s="61" t="n">
        <x:v>45.963004291845486</x:v>
      </x:c>
      <x:c r="I953" s="52" t="n">
        <x:v>0.9527896995708154</x:v>
      </x:c>
      <x:c r="J953" s="52" t="n">
        <x:v>0.6219473022714666</x:v>
      </x:c>
      <x:c r="K953" s="60" t="n">
        <x:v>10572.76</x:v>
      </x:c>
      <x:c r="L953" s="60" t="n">
        <x:v>136.62</x:v>
      </x:c>
      <x:c r="M953" s="50" t="n">
        <x:v>222</x:v>
      </x:c>
      <x:c r="N953" s="50" t="n">
        <x:v>11</x:v>
      </x:c>
      <x:c r="O953" s="50" t="n">
        <x:v>199</x:v>
      </x:c>
      <x:c r="P953" s="50" t="n">
        <x:v>23</x:v>
      </x:c>
    </x:row>
    <x:row r="954" ht="36" customHeight="1">
      <x:c r="A954" s="53" t="n">
        <x:v>935</x:v>
      </x:c>
      <x:c r="B954" s="53" t="n">
        <x:v>2</x:v>
      </x:c>
      <x:c r="C954" s="40" t="str">
        <x:v>Large-Basket Occasional Shoppers</x:v>
      </x:c>
      <x:c r="D954" s="60" t="n">
        <x:v>1564.67</x:v>
      </x:c>
      <x:c r="E954" s="50" t="n">
        <x:v>57</x:v>
      </x:c>
      <x:c r="F954" s="46" t="n">
        <x:v>3.352941176470588</x:v>
      </x:c>
      <x:c r="G954" s="46" t="n">
        <x:v>21</x:v>
      </x:c>
      <x:c r="H954" s="61" t="n">
        <x:v>27.450350877192985</x:v>
      </x:c>
      <x:c r="I954" s="52" t="n">
        <x:v>0.9649122807017544</x:v>
      </x:c>
      <x:c r="J954" s="52" t="n">
        <x:v>0.6590590987236925</x:v>
      </x:c>
      <x:c r="K954" s="60" t="n">
        <x:v>1549.32</x:v>
      </x:c>
      <x:c r="L954" s="60" t="n">
        <x:v>15.35</x:v>
      </x:c>
      <x:c r="M954" s="50" t="n">
        <x:v>55</x:v>
      </x:c>
      <x:c r="N954" s="50" t="n">
        <x:v>2</x:v>
      </x:c>
      <x:c r="O954" s="50" t="n">
        <x:v>102</x:v>
      </x:c>
      <x:c r="P954" s="50" t="n">
        <x:v>17</x:v>
      </x:c>
    </x:row>
    <x:row r="955" ht="36" customHeight="1">
      <x:c r="A955" s="53" t="n">
        <x:v>936</x:v>
      </x:c>
      <x:c r="B955" s="53" t="n">
        <x:v>1</x:v>
      </x:c>
      <x:c r="C955" s="40" t="str">
        <x:v>High-Value Frequent Shoppers</x:v>
      </x:c>
      <x:c r="D955" s="60" t="n">
        <x:v>7089.49</x:v>
      </x:c>
      <x:c r="E955" s="50" t="n">
        <x:v>499</x:v>
      </x:c>
      <x:c r="F955" s="46" t="n">
        <x:v>22.68181818181818</x:v>
      </x:c>
      <x:c r="G955" s="46" t="n">
        <x:v>0</x:v>
      </x:c>
      <x:c r="H955" s="61" t="n">
        <x:v>14.207394789579158</x:v>
      </x:c>
      <x:c r="I955" s="52" t="n">
        <x:v>0.813627254509018</x:v>
      </x:c>
      <x:c r="J955" s="52" t="n">
        <x:v>0.7697704630375386</x:v>
      </x:c>
      <x:c r="K955" s="60" t="n">
        <x:v>6679.78</x:v>
      </x:c>
      <x:c r="L955" s="60" t="n">
        <x:v>409.71</x:v>
      </x:c>
      <x:c r="M955" s="50" t="n">
        <x:v>406</x:v>
      </x:c>
      <x:c r="N955" s="50" t="n">
        <x:v>93</x:v>
      </x:c>
      <x:c r="O955" s="50" t="n">
        <x:v>191</x:v>
      </x:c>
      <x:c r="P955" s="50" t="n">
        <x:v>22</x:v>
      </x:c>
    </x:row>
    <x:row r="956" ht="36" customHeight="1">
      <x:c r="A956" s="53" t="n">
        <x:v>937</x:v>
      </x:c>
      <x:c r="B956" s="53" t="n">
        <x:v>2</x:v>
      </x:c>
      <x:c r="C956" s="40" t="str">
        <x:v>Large-Basket Occasional Shoppers</x:v>
      </x:c>
      <x:c r="D956" s="60" t="n">
        <x:v>1669.89</x:v>
      </x:c>
      <x:c r="E956" s="50" t="n">
        <x:v>68</x:v>
      </x:c>
      <x:c r="F956" s="46" t="n">
        <x:v>3.090909090909091</x:v>
      </x:c>
      <x:c r="G956" s="46" t="n">
        <x:v>3</x:v>
      </x:c>
      <x:c r="H956" s="61" t="n">
        <x:v>24.55720588235294</x:v>
      </x:c>
      <x:c r="I956" s="52" t="n">
        <x:v>0.8823529411764705</x:v>
      </x:c>
      <x:c r="J956" s="52" t="n">
        <x:v>0.52059716508273</x:v>
      </x:c>
      <x:c r="K956" s="60" t="n">
        <x:v>1627.45</x:v>
      </x:c>
      <x:c r="L956" s="60" t="n">
        <x:v>42.44</x:v>
      </x:c>
      <x:c r="M956" s="50" t="n">
        <x:v>60</x:v>
      </x:c>
      <x:c r="N956" s="50" t="n">
        <x:v>8</x:v>
      </x:c>
      <x:c r="O956" s="50" t="n">
        <x:v>101</x:v>
      </x:c>
      <x:c r="P956" s="50" t="n">
        <x:v>22</x:v>
      </x:c>
    </x:row>
    <x:row r="957" ht="36" customHeight="1">
      <x:c r="A957" s="53" t="n">
        <x:v>938</x:v>
      </x:c>
      <x:c r="B957" s="53" t="n">
        <x:v>2</x:v>
      </x:c>
      <x:c r="C957" s="40" t="str">
        <x:v>Large-Basket Occasional Shoppers</x:v>
      </x:c>
      <x:c r="D957" s="60" t="n">
        <x:v>1647.36</x:v>
      </x:c>
      <x:c r="E957" s="50" t="n">
        <x:v>26</x:v>
      </x:c>
      <x:c r="F957" s="46" t="n">
        <x:v>1.7333333333333332</x:v>
      </x:c>
      <x:c r="G957" s="46" t="n">
        <x:v>69</x:v>
      </x:c>
      <x:c r="H957" s="61" t="n">
        <x:v>63.36</x:v>
      </x:c>
      <x:c r="I957" s="52" t="n">
        <x:v>0.6923076923076923</x:v>
      </x:c>
      <x:c r="J957" s="52" t="n">
        <x:v>0.4423076923076923</x:v>
      </x:c>
      <x:c r="K957" s="60" t="n">
        <x:v>1484.95</x:v>
      </x:c>
      <x:c r="L957" s="60" t="n">
        <x:v>162.41</x:v>
      </x:c>
      <x:c r="M957" s="50" t="n">
        <x:v>18</x:v>
      </x:c>
      <x:c r="N957" s="50" t="n">
        <x:v>8</x:v>
      </x:c>
      <x:c r="O957" s="50" t="n">
        <x:v>109</x:v>
      </x:c>
      <x:c r="P957" s="50" t="n">
        <x:v>15</x:v>
      </x:c>
    </x:row>
    <x:row r="958" ht="36" customHeight="1">
      <x:c r="A958" s="53" t="n">
        <x:v>939</x:v>
      </x:c>
      <x:c r="B958" s="53" t="n">
        <x:v>1</x:v>
      </x:c>
      <x:c r="C958" s="40" t="str">
        <x:v>High-Value Frequent Shoppers</x:v>
      </x:c>
      <x:c r="D958" s="60" t="n">
        <x:v>5254.66</x:v>
      </x:c>
      <x:c r="E958" s="50" t="n">
        <x:v>153</x:v>
      </x:c>
      <x:c r="F958" s="46" t="n">
        <x:v>7.285714285714285</x:v>
      </x:c>
      <x:c r="G958" s="46" t="n">
        <x:v>2</x:v>
      </x:c>
      <x:c r="H958" s="61" t="n">
        <x:v>34.34418300653595</x:v>
      </x:c>
      <x:c r="I958" s="52" t="n">
        <x:v>0.9281045751633986</x:v>
      </x:c>
      <x:c r="J958" s="52" t="n">
        <x:v>0.5340650013511816</x:v>
      </x:c>
      <x:c r="K958" s="60" t="n">
        <x:v>5146.71</x:v>
      </x:c>
      <x:c r="L958" s="60" t="n">
        <x:v>107.95</x:v>
      </x:c>
      <x:c r="M958" s="50" t="n">
        <x:v>142</x:v>
      </x:c>
      <x:c r="N958" s="50" t="n">
        <x:v>11</x:v>
      </x:c>
      <x:c r="O958" s="50" t="n">
        <x:v>166</x:v>
      </x:c>
      <x:c r="P958" s="50" t="n">
        <x:v>21</x:v>
      </x:c>
    </x:row>
    <x:row r="959" ht="36" customHeight="1">
      <x:c r="A959" s="53" t="n">
        <x:v>940</x:v>
      </x:c>
      <x:c r="B959" s="53" t="n">
        <x:v>2</x:v>
      </x:c>
      <x:c r="C959" s="40" t="str">
        <x:v>Large-Basket Occasional Shoppers</x:v>
      </x:c>
      <x:c r="D959" s="60" t="n">
        <x:v>1261.62</x:v>
      </x:c>
      <x:c r="E959" s="50" t="n">
        <x:v>65</x:v>
      </x:c>
      <x:c r="F959" s="46" t="n">
        <x:v>3.8235294117647056</x:v>
      </x:c>
      <x:c r="G959" s="46" t="n">
        <x:v>30</x:v>
      </x:c>
      <x:c r="H959" s="61" t="n">
        <x:v>19.40953846153846</x:v>
      </x:c>
      <x:c r="I959" s="52" t="n">
        <x:v>0.8923076923076922</x:v>
      </x:c>
      <x:c r="J959" s="52" t="n">
        <x:v>0.5133637703904503</x:v>
      </x:c>
      <x:c r="K959" s="60" t="n">
        <x:v>1203.25</x:v>
      </x:c>
      <x:c r="L959" s="60" t="n">
        <x:v>58.37</x:v>
      </x:c>
      <x:c r="M959" s="50" t="n">
        <x:v>58</x:v>
      </x:c>
      <x:c r="N959" s="50" t="n">
        <x:v>7</x:v>
      </x:c>
      <x:c r="O959" s="50" t="n">
        <x:v>100</x:v>
      </x:c>
      <x:c r="P959" s="50" t="n">
        <x:v>17</x:v>
      </x:c>
    </x:row>
    <x:row r="960" ht="36" customHeight="1">
      <x:c r="A960" s="53" t="n">
        <x:v>941</x:v>
      </x:c>
      <x:c r="B960" s="53" t="n">
        <x:v>1</x:v>
      </x:c>
      <x:c r="C960" s="40" t="str">
        <x:v>High-Value Frequent Shoppers</x:v>
      </x:c>
      <x:c r="D960" s="60" t="n">
        <x:v>2206.06</x:v>
      </x:c>
      <x:c r="E960" s="50" t="n">
        <x:v>122</x:v>
      </x:c>
      <x:c r="F960" s="46" t="n">
        <x:v>5.809523809523809</x:v>
      </x:c>
      <x:c r="G960" s="46" t="n">
        <x:v>1</x:v>
      </x:c>
      <x:c r="H960" s="61" t="n">
        <x:v>18.08245901639344</x:v>
      </x:c>
      <x:c r="I960" s="52" t="n">
        <x:v>0.7131147540983606</x:v>
      </x:c>
      <x:c r="J960" s="52" t="n">
        <x:v>0.4701458709191953</x:v>
      </x:c>
      <x:c r="K960" s="60" t="n">
        <x:v>1889.11</x:v>
      </x:c>
      <x:c r="L960" s="60" t="n">
        <x:v>316.95</x:v>
      </x:c>
      <x:c r="M960" s="50" t="n">
        <x:v>87</x:v>
      </x:c>
      <x:c r="N960" s="50" t="n">
        <x:v>35</x:v>
      </x:c>
      <x:c r="O960" s="50" t="n">
        <x:v>137</x:v>
      </x:c>
      <x:c r="P960" s="50" t="n">
        <x:v>21</x:v>
      </x:c>
    </x:row>
    <x:row r="961" ht="36" customHeight="1">
      <x:c r="A961" s="53" t="n">
        <x:v>942</x:v>
      </x:c>
      <x:c r="B961" s="53" t="n">
        <x:v>1</x:v>
      </x:c>
      <x:c r="C961" s="40" t="str">
        <x:v>High-Value Frequent Shoppers</x:v>
      </x:c>
      <x:c r="D961" s="60" t="n">
        <x:v>5890.14</x:v>
      </x:c>
      <x:c r="E961" s="50" t="n">
        <x:v>215</x:v>
      </x:c>
      <x:c r="F961" s="46" t="n">
        <x:v>10.75</x:v>
      </x:c>
      <x:c r="G961" s="46" t="n">
        <x:v>31</x:v>
      </x:c>
      <x:c r="H961" s="61" t="n">
        <x:v>27.396</x:v>
      </x:c>
      <x:c r="I961" s="52" t="n">
        <x:v>0.6790697674418604</x:v>
      </x:c>
      <x:c r="J961" s="52" t="n">
        <x:v>0.3369801057360266</x:v>
      </x:c>
      <x:c r="K961" s="60" t="n">
        <x:v>4849.09</x:v>
      </x:c>
      <x:c r="L961" s="60" t="n">
        <x:v>1041.05</x:v>
      </x:c>
      <x:c r="M961" s="50" t="n">
        <x:v>146</x:v>
      </x:c>
      <x:c r="N961" s="50" t="n">
        <x:v>69</x:v>
      </x:c>
      <x:c r="O961" s="50" t="n">
        <x:v>151</x:v>
      </x:c>
      <x:c r="P961" s="50" t="n">
        <x:v>20</x:v>
      </x:c>
    </x:row>
    <x:row r="962" ht="36" customHeight="1">
      <x:c r="A962" s="53" t="n">
        <x:v>943</x:v>
      </x:c>
      <x:c r="B962" s="53" t="n">
        <x:v>1</x:v>
      </x:c>
      <x:c r="C962" s="40" t="str">
        <x:v>High-Value Frequent Shoppers</x:v>
      </x:c>
      <x:c r="D962" s="60" t="n">
        <x:v>3434.14</x:v>
      </x:c>
      <x:c r="E962" s="50" t="n">
        <x:v>144</x:v>
      </x:c>
      <x:c r="F962" s="46" t="n">
        <x:v>9</x:v>
      </x:c>
      <x:c r="G962" s="46" t="n">
        <x:v>32</x:v>
      </x:c>
      <x:c r="H962" s="61" t="n">
        <x:v>23.848194444444445</x:v>
      </x:c>
      <x:c r="I962" s="52" t="n">
        <x:v>0.7638888888888888</x:v>
      </x:c>
      <x:c r="J962" s="52" t="n">
        <x:v>0.5098248760970723</x:v>
      </x:c>
      <x:c r="K962" s="60" t="n">
        <x:v>3139.31</x:v>
      </x:c>
      <x:c r="L962" s="60" t="n">
        <x:v>294.83</x:v>
      </x:c>
      <x:c r="M962" s="50" t="n">
        <x:v>110</x:v>
      </x:c>
      <x:c r="N962" s="50" t="n">
        <x:v>34</x:v>
      </x:c>
      <x:c r="O962" s="50" t="n">
        <x:v>142</x:v>
      </x:c>
      <x:c r="P962" s="50" t="n">
        <x:v>16</x:v>
      </x:c>
    </x:row>
    <x:row r="963" ht="36" customHeight="1">
      <x:c r="A963" s="53" t="n">
        <x:v>944</x:v>
      </x:c>
      <x:c r="B963" s="53" t="n">
        <x:v>1</x:v>
      </x:c>
      <x:c r="C963" s="40" t="str">
        <x:v>High-Value Frequent Shoppers</x:v>
      </x:c>
      <x:c r="D963" s="60" t="n">
        <x:v>2859.76</x:v>
      </x:c>
      <x:c r="E963" s="50" t="n">
        <x:v>104</x:v>
      </x:c>
      <x:c r="F963" s="46" t="n">
        <x:v>4.727272727272728</x:v>
      </x:c>
      <x:c r="G963" s="46" t="n">
        <x:v>10</x:v>
      </x:c>
      <x:c r="H963" s="61" t="n">
        <x:v>27.497692307692308</x:v>
      </x:c>
      <x:c r="I963" s="52" t="n">
        <x:v>0.8846153846153846</x:v>
      </x:c>
      <x:c r="J963" s="52" t="n">
        <x:v>0.5797864156432707</x:v>
      </x:c>
      <x:c r="K963" s="60" t="n">
        <x:v>2691.41</x:v>
      </x:c>
      <x:c r="L963" s="60" t="n">
        <x:v>168.35</x:v>
      </x:c>
      <x:c r="M963" s="50" t="n">
        <x:v>92</x:v>
      </x:c>
      <x:c r="N963" s="50" t="n">
        <x:v>12</x:v>
      </x:c>
      <x:c r="O963" s="50" t="n">
        <x:v>149</x:v>
      </x:c>
      <x:c r="P963" s="50" t="n">
        <x:v>22</x:v>
      </x:c>
    </x:row>
    <x:row r="964" ht="36" customHeight="1">
      <x:c r="A964" s="53" t="n">
        <x:v>945</x:v>
      </x:c>
      <x:c r="B964" s="53" t="n">
        <x:v>2</x:v>
      </x:c>
      <x:c r="C964" s="40" t="str">
        <x:v>Large-Basket Occasional Shoppers</x:v>
      </x:c>
      <x:c r="D964" s="60" t="n">
        <x:v>1926.03</x:v>
      </x:c>
      <x:c r="E964" s="50" t="n">
        <x:v>51</x:v>
      </x:c>
      <x:c r="F964" s="46" t="n">
        <x:v>2.428571428571429</x:v>
      </x:c>
      <x:c r="G964" s="46" t="n">
        <x:v>8</x:v>
      </x:c>
      <x:c r="H964" s="61" t="n">
        <x:v>37.76529411764706</x:v>
      </x:c>
      <x:c r="I964" s="52" t="n">
        <x:v>0.8823529411764705</x:v>
      </x:c>
      <x:c r="J964" s="52" t="n">
        <x:v>0.4930193195329252</x:v>
      </x:c>
      <x:c r="K964" s="60" t="n">
        <x:v>1885.57</x:v>
      </x:c>
      <x:c r="L964" s="60" t="n">
        <x:v>40.46</x:v>
      </x:c>
      <x:c r="M964" s="50" t="n">
        <x:v>45</x:v>
      </x:c>
      <x:c r="N964" s="50" t="n">
        <x:v>6</x:v>
      </x:c>
      <x:c r="O964" s="50" t="n">
        <x:v>108</x:v>
      </x:c>
      <x:c r="P964" s="50" t="n">
        <x:v>21</x:v>
      </x:c>
    </x:row>
    <x:row r="965" ht="36" customHeight="1">
      <x:c r="A965" s="53" t="n">
        <x:v>946</x:v>
      </x:c>
      <x:c r="B965" s="53" t="n">
        <x:v>1</x:v>
      </x:c>
      <x:c r="C965" s="40" t="str">
        <x:v>High-Value Frequent Shoppers</x:v>
      </x:c>
      <x:c r="D965" s="60" t="n">
        <x:v>2530.45</x:v>
      </x:c>
      <x:c r="E965" s="50" t="n">
        <x:v>136</x:v>
      </x:c>
      <x:c r="F965" s="46" t="n">
        <x:v>5.666666666666666</x:v>
      </x:c>
      <x:c r="G965" s="46" t="n">
        <x:v>2</x:v>
      </x:c>
      <x:c r="H965" s="61" t="n">
        <x:v>18.60625</x:v>
      </x:c>
      <x:c r="I965" s="52" t="n">
        <x:v>0.8161764705882352</x:v>
      </x:c>
      <x:c r="J965" s="52" t="n">
        <x:v>0.5126518998597087</x:v>
      </x:c>
      <x:c r="K965" s="60" t="n">
        <x:v>2411.31</x:v>
      </x:c>
      <x:c r="L965" s="60" t="n">
        <x:v>119.14</x:v>
      </x:c>
      <x:c r="M965" s="50" t="n">
        <x:v>111</x:v>
      </x:c>
      <x:c r="N965" s="50" t="n">
        <x:v>25</x:v>
      </x:c>
      <x:c r="O965" s="50" t="n">
        <x:v>136</x:v>
      </x:c>
      <x:c r="P965" s="50" t="n">
        <x:v>24</x:v>
      </x:c>
    </x:row>
    <x:row r="966" ht="36" customHeight="1">
      <x:c r="A966" s="53" t="n">
        <x:v>947</x:v>
      </x:c>
      <x:c r="B966" s="53" t="n">
        <x:v>1</x:v>
      </x:c>
      <x:c r="C966" s="40" t="str">
        <x:v>High-Value Frequent Shoppers</x:v>
      </x:c>
      <x:c r="D966" s="60" t="n">
        <x:v>2305.51</x:v>
      </x:c>
      <x:c r="E966" s="50" t="n">
        <x:v>221</x:v>
      </x:c>
      <x:c r="F966" s="46" t="n">
        <x:v>9.20833333333333</x:v>
      </x:c>
      <x:c r="G966" s="46" t="n">
        <x:v>1</x:v>
      </x:c>
      <x:c r="H966" s="61" t="n">
        <x:v>10.432171945701356</x:v>
      </x:c>
      <x:c r="I966" s="52" t="n">
        <x:v>0.6515837104072398</x:v>
      </x:c>
      <x:c r="J966" s="52" t="n">
        <x:v>0.330404118828372</x:v>
      </x:c>
      <x:c r="K966" s="60" t="n">
        <x:v>1716.95</x:v>
      </x:c>
      <x:c r="L966" s="60" t="n">
        <x:v>588.56</x:v>
      </x:c>
      <x:c r="M966" s="50" t="n">
        <x:v>144</x:v>
      </x:c>
      <x:c r="N966" s="50" t="n">
        <x:v>77</x:v>
      </x:c>
      <x:c r="O966" s="50" t="n">
        <x:v>103</x:v>
      </x:c>
      <x:c r="P966" s="50" t="n">
        <x:v>24</x:v>
      </x:c>
    </x:row>
    <x:row r="967" ht="36" customHeight="1">
      <x:c r="A967" s="53" t="n">
        <x:v>948</x:v>
      </x:c>
      <x:c r="B967" s="53" t="n">
        <x:v>2</x:v>
      </x:c>
      <x:c r="C967" s="40" t="str">
        <x:v>Large-Basket Occasional Shoppers</x:v>
      </x:c>
      <x:c r="D967" s="60" t="n">
        <x:v>304.85</x:v>
      </x:c>
      <x:c r="E967" s="50" t="n">
        <x:v>4</x:v>
      </x:c>
      <x:c r="F967" s="46" t="n">
        <x:v>2</x:v>
      </x:c>
      <x:c r="G967" s="46" t="n">
        <x:v>339</x:v>
      </x:c>
      <x:c r="H967" s="61" t="n">
        <x:v>76.2125</x:v>
      </x:c>
      <x:c r="I967" s="52" t="n">
        <x:v>1</x:v>
      </x:c>
      <x:c r="J967" s="52" t="n">
        <x:v>0.5433819911431851</x:v>
      </x:c>
      <x:c r="K967" s="60" t="n">
        <x:v>304.85</x:v>
      </x:c>
      <x:c r="L967" s="60" t="n">
        <x:v>0</x:v>
      </x:c>
      <x:c r="M967" s="50" t="n">
        <x:v>4</x:v>
      </x:c>
      <x:c r="N967" s="50" t="n">
        <x:v>0</x:v>
      </x:c>
      <x:c r="O967" s="50" t="n">
        <x:v>46</x:v>
      </x:c>
      <x:c r="P967" s="50" t="n">
        <x:v>2</x:v>
      </x:c>
    </x:row>
    <x:row r="968" ht="36" customHeight="1">
      <x:c r="A968" s="53" t="n">
        <x:v>949</x:v>
      </x:c>
      <x:c r="B968" s="53" t="n">
        <x:v>1</x:v>
      </x:c>
      <x:c r="C968" s="40" t="str">
        <x:v>High-Value Frequent Shoppers</x:v>
      </x:c>
      <x:c r="D968" s="60" t="n">
        <x:v>5799.97</x:v>
      </x:c>
      <x:c r="E968" s="50" t="n">
        <x:v>134</x:v>
      </x:c>
      <x:c r="F968" s="46" t="n">
        <x:v>6.3809523809523805</x:v>
      </x:c>
      <x:c r="G968" s="46" t="n">
        <x:v>4</x:v>
      </x:c>
      <x:c r="H968" s="61" t="n">
        <x:v>43.283358208955214</x:v>
      </x:c>
      <x:c r="I968" s="52" t="n">
        <x:v>0.9477611940298508</x:v>
      </x:c>
      <x:c r="J968" s="52" t="n">
        <x:v>0.5861823423224602</x:v>
      </x:c>
      <x:c r="K968" s="60" t="n">
        <x:v>5770.07</x:v>
      </x:c>
      <x:c r="L968" s="60" t="n">
        <x:v>29.9</x:v>
      </x:c>
      <x:c r="M968" s="50" t="n">
        <x:v>127</x:v>
      </x:c>
      <x:c r="N968" s="50" t="n">
        <x:v>7</x:v>
      </x:c>
      <x:c r="O968" s="50" t="n">
        <x:v>158</x:v>
      </x:c>
      <x:c r="P968" s="50" t="n">
        <x:v>21</x:v>
      </x:c>
    </x:row>
    <x:row r="969" ht="36" customHeight="1">
      <x:c r="A969" s="53" t="n">
        <x:v>950</x:v>
      </x:c>
      <x:c r="B969" s="53" t="n">
        <x:v>2</x:v>
      </x:c>
      <x:c r="C969" s="40" t="str">
        <x:v>Large-Basket Occasional Shoppers</x:v>
      </x:c>
      <x:c r="D969" s="60" t="n">
        <x:v>2027</x:v>
      </x:c>
      <x:c r="E969" s="50" t="n">
        <x:v>58</x:v>
      </x:c>
      <x:c r="F969" s="46" t="n">
        <x:v>3.411764705882353</x:v>
      </x:c>
      <x:c r="G969" s="46" t="n">
        <x:v>101</x:v>
      </x:c>
      <x:c r="H969" s="61" t="n">
        <x:v>34.94827586206896</x:v>
      </x:c>
      <x:c r="I969" s="52" t="n">
        <x:v>0.9310344827586206</x:v>
      </x:c>
      <x:c r="J969" s="52" t="n">
        <x:v>0.4680611741489886</x:v>
      </x:c>
      <x:c r="K969" s="60" t="n">
        <x:v>1970.3</x:v>
      </x:c>
      <x:c r="L969" s="60" t="n">
        <x:v>56.7</x:v>
      </x:c>
      <x:c r="M969" s="50" t="n">
        <x:v>54</x:v>
      </x:c>
      <x:c r="N969" s="50" t="n">
        <x:v>4</x:v>
      </x:c>
      <x:c r="O969" s="50" t="n">
        <x:v>117</x:v>
      </x:c>
      <x:c r="P969" s="50" t="n">
        <x:v>17</x:v>
      </x:c>
    </x:row>
    <x:row r="970" ht="36" customHeight="1">
      <x:c r="A970" s="53" t="n">
        <x:v>951</x:v>
      </x:c>
      <x:c r="B970" s="53" t="n">
        <x:v>2</x:v>
      </x:c>
      <x:c r="C970" s="40" t="str">
        <x:v>Large-Basket Occasional Shoppers</x:v>
      </x:c>
      <x:c r="D970" s="60" t="n">
        <x:v>690.22</x:v>
      </x:c>
      <x:c r="E970" s="50" t="n">
        <x:v>18</x:v>
      </x:c>
      <x:c r="F970" s="46" t="n">
        <x:v>1.6363636363636365</x:v>
      </x:c>
      <x:c r="G970" s="46" t="n">
        <x:v>0</x:v>
      </x:c>
      <x:c r="H970" s="61" t="n">
        <x:v>38.34555555555556</x:v>
      </x:c>
      <x:c r="I970" s="52" t="n">
        <x:v>1</x:v>
      </x:c>
      <x:c r="J970" s="52" t="n">
        <x:v>0.4550722957897481</x:v>
      </x:c>
      <x:c r="K970" s="60" t="n">
        <x:v>690.22</x:v>
      </x:c>
      <x:c r="L970" s="60" t="n">
        <x:v>0</x:v>
      </x:c>
      <x:c r="M970" s="50" t="n">
        <x:v>18</x:v>
      </x:c>
      <x:c r="N970" s="50" t="n">
        <x:v>0</x:v>
      </x:c>
      <x:c r="O970" s="50" t="n">
        <x:v>69</x:v>
      </x:c>
      <x:c r="P970" s="50" t="n">
        <x:v>11</x:v>
      </x:c>
    </x:row>
    <x:row r="971" ht="36" customHeight="1">
      <x:c r="A971" s="53" t="n">
        <x:v>952</x:v>
      </x:c>
      <x:c r="B971" s="53" t="n">
        <x:v>1</x:v>
      </x:c>
      <x:c r="C971" s="40" t="str">
        <x:v>High-Value Frequent Shoppers</x:v>
      </x:c>
      <x:c r="D971" s="60" t="n">
        <x:v>2201.47</x:v>
      </x:c>
      <x:c r="E971" s="50" t="n">
        <x:v>111</x:v>
      </x:c>
      <x:c r="F971" s="46" t="n">
        <x:v>5.285714285714286</x:v>
      </x:c>
      <x:c r="G971" s="46" t="n">
        <x:v>3</x:v>
      </x:c>
      <x:c r="H971" s="61" t="n">
        <x:v>19.833063063063065</x:v>
      </x:c>
      <x:c r="I971" s="52" t="n">
        <x:v>0.8198198198198198</x:v>
      </x:c>
      <x:c r="J971" s="52" t="n">
        <x:v>0.4510395326758938</x:v>
      </x:c>
      <x:c r="K971" s="60" t="n">
        <x:v>2031.76</x:v>
      </x:c>
      <x:c r="L971" s="60" t="n">
        <x:v>169.71</x:v>
      </x:c>
      <x:c r="M971" s="50" t="n">
        <x:v>91</x:v>
      </x:c>
      <x:c r="N971" s="50" t="n">
        <x:v>20</x:v>
      </x:c>
      <x:c r="O971" s="50" t="n">
        <x:v>133</x:v>
      </x:c>
      <x:c r="P971" s="50" t="n">
        <x:v>21</x:v>
      </x:c>
    </x:row>
    <x:row r="972" ht="36" customHeight="1">
      <x:c r="A972" s="53" t="n">
        <x:v>953</x:v>
      </x:c>
      <x:c r="B972" s="53" t="n">
        <x:v>1</x:v>
      </x:c>
      <x:c r="C972" s="40" t="str">
        <x:v>High-Value Frequent Shoppers</x:v>
      </x:c>
      <x:c r="D972" s="60" t="n">
        <x:v>2513.39</x:v>
      </x:c>
      <x:c r="E972" s="50" t="n">
        <x:v>114</x:v>
      </x:c>
      <x:c r="F972" s="46" t="n">
        <x:v>5.181818181818182</x:v>
      </x:c>
      <x:c r="G972" s="46" t="n">
        <x:v>11</x:v>
      </x:c>
      <x:c r="H972" s="61" t="n">
        <x:v>22.047280701754385</x:v>
      </x:c>
      <x:c r="I972" s="52" t="n">
        <x:v>0.894736842105263</x:v>
      </x:c>
      <x:c r="J972" s="52" t="n">
        <x:v>0.5525684434170582</x:v>
      </x:c>
      <x:c r="K972" s="60" t="n">
        <x:v>2392.11</x:v>
      </x:c>
      <x:c r="L972" s="60" t="n">
        <x:v>121.28</x:v>
      </x:c>
      <x:c r="M972" s="50" t="n">
        <x:v>102</x:v>
      </x:c>
      <x:c r="N972" s="50" t="n">
        <x:v>12</x:v>
      </x:c>
      <x:c r="O972" s="50" t="n">
        <x:v>151</x:v>
      </x:c>
      <x:c r="P972" s="50" t="n">
        <x:v>22</x:v>
      </x:c>
    </x:row>
    <x:row r="973" ht="36" customHeight="1">
      <x:c r="A973" s="53" t="n">
        <x:v>954</x:v>
      </x:c>
      <x:c r="B973" s="53" t="n">
        <x:v>2</x:v>
      </x:c>
      <x:c r="C973" s="40" t="str">
        <x:v>Large-Basket Occasional Shoppers</x:v>
      </x:c>
      <x:c r="D973" s="60" t="n">
        <x:v>2537.43</x:v>
      </x:c>
      <x:c r="E973" s="50" t="n">
        <x:v>53</x:v>
      </x:c>
      <x:c r="F973" s="46" t="n">
        <x:v>2.523809523809524</x:v>
      </x:c>
      <x:c r="G973" s="46" t="n">
        <x:v>17</x:v>
      </x:c>
      <x:c r="H973" s="61" t="n">
        <x:v>47.87603773584905</x:v>
      </x:c>
      <x:c r="I973" s="52" t="n">
        <x:v>0.9622641509433962</x:v>
      </x:c>
      <x:c r="J973" s="52" t="n">
        <x:v>0.6247620624017214</x:v>
      </x:c>
      <x:c r="K973" s="60" t="n">
        <x:v>2427.31</x:v>
      </x:c>
      <x:c r="L973" s="60" t="n">
        <x:v>110.12</x:v>
      </x:c>
      <x:c r="M973" s="50" t="n">
        <x:v>51</x:v>
      </x:c>
      <x:c r="N973" s="50" t="n">
        <x:v>2</x:v>
      </x:c>
      <x:c r="O973" s="50" t="n">
        <x:v>139</x:v>
      </x:c>
      <x:c r="P973" s="50" t="n">
        <x:v>21</x:v>
      </x:c>
    </x:row>
    <x:row r="974" ht="36" customHeight="1">
      <x:c r="A974" s="53" t="n">
        <x:v>955</x:v>
      </x:c>
      <x:c r="B974" s="53" t="n">
        <x:v>1</x:v>
      </x:c>
      <x:c r="C974" s="40" t="str">
        <x:v>High-Value Frequent Shoppers</x:v>
      </x:c>
      <x:c r="D974" s="60" t="n">
        <x:v>4053.69</x:v>
      </x:c>
      <x:c r="E974" s="50" t="n">
        <x:v>274</x:v>
      </x:c>
      <x:c r="F974" s="46" t="n">
        <x:v>11.913043478260867</x:v>
      </x:c>
      <x:c r="G974" s="46" t="n">
        <x:v>0</x:v>
      </x:c>
      <x:c r="H974" s="61" t="n">
        <x:v>14.79448905109489</x:v>
      </x:c>
      <x:c r="I974" s="52" t="n">
        <x:v>0.6934306569343065</x:v>
      </x:c>
      <x:c r="J974" s="52" t="n">
        <x:v>0.4878074051049784</x:v>
      </x:c>
      <x:c r="K974" s="60" t="n">
        <x:v>3619.79</x:v>
      </x:c>
      <x:c r="L974" s="60" t="n">
        <x:v>433.9</x:v>
      </x:c>
      <x:c r="M974" s="50" t="n">
        <x:v>190</x:v>
      </x:c>
      <x:c r="N974" s="50" t="n">
        <x:v>84</x:v>
      </x:c>
      <x:c r="O974" s="50" t="n">
        <x:v>123</x:v>
      </x:c>
      <x:c r="P974" s="50" t="n">
        <x:v>23</x:v>
      </x:c>
    </x:row>
    <x:row r="975" ht="36" customHeight="1">
      <x:c r="A975" s="53" t="n">
        <x:v>956</x:v>
      </x:c>
      <x:c r="B975" s="53" t="n">
        <x:v>1</x:v>
      </x:c>
      <x:c r="C975" s="40" t="str">
        <x:v>High-Value Frequent Shoppers</x:v>
      </x:c>
      <x:c r="D975" s="60" t="n">
        <x:v>10231.93</x:v>
      </x:c>
      <x:c r="E975" s="50" t="n">
        <x:v>620</x:v>
      </x:c>
      <x:c r="F975" s="46" t="n">
        <x:v>26.95652173913044</x:v>
      </x:c>
      <x:c r="G975" s="46" t="n">
        <x:v>0</x:v>
      </x:c>
      <x:c r="H975" s="61" t="n">
        <x:v>16.503112903225805</x:v>
      </x:c>
      <x:c r="I975" s="52" t="n">
        <x:v>0.796774193548387</x:v>
      </x:c>
      <x:c r="J975" s="52" t="n">
        <x:v>0.560273574975591</x:v>
      </x:c>
      <x:c r="K975" s="60" t="n">
        <x:v>9245.33</x:v>
      </x:c>
      <x:c r="L975" s="60" t="n">
        <x:v>986.6</x:v>
      </x:c>
      <x:c r="M975" s="50" t="n">
        <x:v>494</x:v>
      </x:c>
      <x:c r="N975" s="50" t="n">
        <x:v>126</x:v>
      </x:c>
      <x:c r="O975" s="50" t="n">
        <x:v>173</x:v>
      </x:c>
      <x:c r="P975" s="50" t="n">
        <x:v>23</x:v>
      </x:c>
    </x:row>
    <x:row r="976" ht="36" customHeight="1">
      <x:c r="A976" s="53" t="n">
        <x:v>957</x:v>
      </x:c>
      <x:c r="B976" s="53" t="n">
        <x:v>1</x:v>
      </x:c>
      <x:c r="C976" s="40" t="str">
        <x:v>High-Value Frequent Shoppers</x:v>
      </x:c>
      <x:c r="D976" s="60" t="n">
        <x:v>3754.9</x:v>
      </x:c>
      <x:c r="E976" s="50" t="n">
        <x:v>573</x:v>
      </x:c>
      <x:c r="F976" s="46" t="n">
        <x:v>23.875</x:v>
      </x:c>
      <x:c r="G976" s="46" t="n">
        <x:v>0</x:v>
      </x:c>
      <x:c r="H976" s="61" t="n">
        <x:v>6.553054101221641</x:v>
      </x:c>
      <x:c r="I976" s="52" t="n">
        <x:v>0.7260034904013961</x:v>
      </x:c>
      <x:c r="J976" s="52" t="n">
        <x:v>0.4548430051399504</x:v>
      </x:c>
      <x:c r="K976" s="60" t="n">
        <x:v>2901.17</x:v>
      </x:c>
      <x:c r="L976" s="60" t="n">
        <x:v>853.73</x:v>
      </x:c>
      <x:c r="M976" s="50" t="n">
        <x:v>416</x:v>
      </x:c>
      <x:c r="N976" s="50" t="n">
        <x:v>157</x:v>
      </x:c>
      <x:c r="O976" s="50" t="n">
        <x:v>155</x:v>
      </x:c>
      <x:c r="P976" s="50" t="n">
        <x:v>24</x:v>
      </x:c>
    </x:row>
    <x:row r="977" ht="36" customHeight="1">
      <x:c r="A977" s="53" t="n">
        <x:v>958</x:v>
      </x:c>
      <x:c r="B977" s="53" t="n">
        <x:v>3</x:v>
      </x:c>
      <x:c r="C977" s="40" t="str">
        <x:v>Low-Value Low-Engagement Shoppers</x:v>
      </x:c>
      <x:c r="D977" s="60" t="n">
        <x:v>313.37</x:v>
      </x:c>
      <x:c r="E977" s="50" t="n">
        <x:v>11</x:v>
      </x:c>
      <x:c r="F977" s="46" t="n">
        <x:v>1.5714285714285714</x:v>
      </x:c>
      <x:c r="G977" s="46" t="n">
        <x:v>4</x:v>
      </x:c>
      <x:c r="H977" s="61" t="n">
        <x:v>28.48818181818181</x:v>
      </x:c>
      <x:c r="I977" s="52" t="n">
        <x:v>0.7272727272727272</x:v>
      </x:c>
      <x:c r="J977" s="52" t="n">
        <x:v>0.3311101892331748</x:v>
      </x:c>
      <x:c r="K977" s="60" t="n">
        <x:v>245.82</x:v>
      </x:c>
      <x:c r="L977" s="60" t="n">
        <x:v>67.55</x:v>
      </x:c>
      <x:c r="M977" s="50" t="n">
        <x:v>8</x:v>
      </x:c>
      <x:c r="N977" s="50" t="n">
        <x:v>3</x:v>
      </x:c>
      <x:c r="O977" s="50" t="n">
        <x:v>48</x:v>
      </x:c>
      <x:c r="P977" s="50" t="n">
        <x:v>7</x:v>
      </x:c>
    </x:row>
    <x:row r="978" ht="36" customHeight="1">
      <x:c r="A978" s="53" t="n">
        <x:v>959</x:v>
      </x:c>
      <x:c r="B978" s="53" t="n">
        <x:v>3</x:v>
      </x:c>
      <x:c r="C978" s="40" t="str">
        <x:v>Low-Value Low-Engagement Shoppers</x:v>
      </x:c>
      <x:c r="D978" s="60" t="n">
        <x:v>1074.69</x:v>
      </x:c>
      <x:c r="E978" s="50" t="n">
        <x:v>60</x:v>
      </x:c>
      <x:c r="F978" s="46" t="n">
        <x:v>3.5294117647058822</x:v>
      </x:c>
      <x:c r="G978" s="46" t="n">
        <x:v>3</x:v>
      </x:c>
      <x:c r="H978" s="61" t="n">
        <x:v>17.9115</x:v>
      </x:c>
      <x:c r="I978" s="52" t="n">
        <x:v>0.6833333333333333</x:v>
      </x:c>
      <x:c r="J978" s="52" t="n">
        <x:v>0.4498041295629437</x:v>
      </x:c>
      <x:c r="K978" s="60" t="n">
        <x:v>945.02</x:v>
      </x:c>
      <x:c r="L978" s="60" t="n">
        <x:v>129.67</x:v>
      </x:c>
      <x:c r="M978" s="50" t="n">
        <x:v>41</x:v>
      </x:c>
      <x:c r="N978" s="50" t="n">
        <x:v>19</x:v>
      </x:c>
      <x:c r="O978" s="50" t="n">
        <x:v>97</x:v>
      </x:c>
      <x:c r="P978" s="50" t="n">
        <x:v>17</x:v>
      </x:c>
    </x:row>
    <x:row r="979" ht="36" customHeight="1">
      <x:c r="A979" s="53" t="n">
        <x:v>960</x:v>
      </x:c>
      <x:c r="B979" s="53" t="n">
        <x:v>1</x:v>
      </x:c>
      <x:c r="C979" s="40" t="str">
        <x:v>High-Value Frequent Shoppers</x:v>
      </x:c>
      <x:c r="D979" s="60" t="n">
        <x:v>2447.49</x:v>
      </x:c>
      <x:c r="E979" s="50" t="n">
        <x:v>106</x:v>
      </x:c>
      <x:c r="F979" s="46" t="n">
        <x:v>4.608695652173913</x:v>
      </x:c>
      <x:c r="G979" s="46" t="n">
        <x:v>1</x:v>
      </x:c>
      <x:c r="H979" s="61" t="n">
        <x:v>23.08952830188679</x:v>
      </x:c>
      <x:c r="I979" s="52" t="n">
        <x:v>0.6792452830188679</x:v>
      </x:c>
      <x:c r="J979" s="52" t="n">
        <x:v>0.2721931448136662</x:v>
      </x:c>
      <x:c r="K979" s="60" t="n">
        <x:v>1962.18</x:v>
      </x:c>
      <x:c r="L979" s="60" t="n">
        <x:v>485.31</x:v>
      </x:c>
      <x:c r="M979" s="50" t="n">
        <x:v>72</x:v>
      </x:c>
      <x:c r="N979" s="50" t="n">
        <x:v>34</x:v>
      </x:c>
      <x:c r="O979" s="50" t="n">
        <x:v>112</x:v>
      </x:c>
      <x:c r="P979" s="50" t="n">
        <x:v>23</x:v>
      </x:c>
    </x:row>
    <x:row r="980" ht="36" customHeight="1">
      <x:c r="A980" s="53" t="n">
        <x:v>961</x:v>
      </x:c>
      <x:c r="B980" s="53" t="n">
        <x:v>2</x:v>
      </x:c>
      <x:c r="C980" s="40" t="str">
        <x:v>Large-Basket Occasional Shoppers</x:v>
      </x:c>
      <x:c r="D980" s="60" t="n">
        <x:v>3956.27</x:v>
      </x:c>
      <x:c r="E980" s="50" t="n">
        <x:v>72</x:v>
      </x:c>
      <x:c r="F980" s="46" t="n">
        <x:v>3.789473684210527</x:v>
      </x:c>
      <x:c r="G980" s="46" t="n">
        <x:v>13</x:v>
      </x:c>
      <x:c r="H980" s="61" t="n">
        <x:v>54.94819444444445</x:v>
      </x:c>
      <x:c r="I980" s="52" t="n">
        <x:v>0.9027777777777776</x:v>
      </x:c>
      <x:c r="J980" s="52" t="n">
        <x:v>0.3071276732882235</x:v>
      </x:c>
      <x:c r="K980" s="60" t="n">
        <x:v>3832.3</x:v>
      </x:c>
      <x:c r="L980" s="60" t="n">
        <x:v>123.97</x:v>
      </x:c>
      <x:c r="M980" s="50" t="n">
        <x:v>65</x:v>
      </x:c>
      <x:c r="N980" s="50" t="n">
        <x:v>7</x:v>
      </x:c>
      <x:c r="O980" s="50" t="n">
        <x:v>158</x:v>
      </x:c>
      <x:c r="P980" s="50" t="n">
        <x:v>19</x:v>
      </x:c>
    </x:row>
    <x:row r="981" ht="36" customHeight="1">
      <x:c r="A981" s="53" t="n">
        <x:v>962</x:v>
      </x:c>
      <x:c r="B981" s="53" t="n">
        <x:v>2</x:v>
      </x:c>
      <x:c r="C981" s="40" t="str">
        <x:v>Large-Basket Occasional Shoppers</x:v>
      </x:c>
      <x:c r="D981" s="60" t="n">
        <x:v>1530.44</x:v>
      </x:c>
      <x:c r="E981" s="50" t="n">
        <x:v>53</x:v>
      </x:c>
      <x:c r="F981" s="46" t="n">
        <x:v>2.7894736842105265</x:v>
      </x:c>
      <x:c r="G981" s="46" t="n">
        <x:v>19</x:v>
      </x:c>
      <x:c r="H981" s="61" t="n">
        <x:v>28.876226415094337</x:v>
      </x:c>
      <x:c r="I981" s="52" t="n">
        <x:v>0.9056603773584904</x:v>
      </x:c>
      <x:c r="J981" s="52" t="n">
        <x:v>0.5938553618567209</x:v>
      </x:c>
      <x:c r="K981" s="60" t="n">
        <x:v>1464.76</x:v>
      </x:c>
      <x:c r="L981" s="60" t="n">
        <x:v>65.68</x:v>
      </x:c>
      <x:c r="M981" s="50" t="n">
        <x:v>48</x:v>
      </x:c>
      <x:c r="N981" s="50" t="n">
        <x:v>5</x:v>
      </x:c>
      <x:c r="O981" s="50" t="n">
        <x:v>116</x:v>
      </x:c>
      <x:c r="P981" s="50" t="n">
        <x:v>19</x:v>
      </x:c>
    </x:row>
    <x:row r="982" ht="36" customHeight="1">
      <x:c r="A982" s="53" t="n">
        <x:v>963</x:v>
      </x:c>
      <x:c r="B982" s="53" t="n">
        <x:v>2</x:v>
      </x:c>
      <x:c r="C982" s="40" t="str">
        <x:v>Large-Basket Occasional Shoppers</x:v>
      </x:c>
      <x:c r="D982" s="60" t="n">
        <x:v>2036.66</x:v>
      </x:c>
      <x:c r="E982" s="50" t="n">
        <x:v>43</x:v>
      </x:c>
      <x:c r="F982" s="46" t="n">
        <x:v>2.5294117647058822</x:v>
      </x:c>
      <x:c r="G982" s="46" t="n">
        <x:v>123</x:v>
      </x:c>
      <x:c r="H982" s="61" t="n">
        <x:v>47.36418604651163</x:v>
      </x:c>
      <x:c r="I982" s="52" t="n">
        <x:v>0.7906976744186046</x:v>
      </x:c>
      <x:c r="J982" s="52" t="n">
        <x:v>0.4852307208861567</x:v>
      </x:c>
      <x:c r="K982" s="60" t="n">
        <x:v>1892.01</x:v>
      </x:c>
      <x:c r="L982" s="60" t="n">
        <x:v>144.65</x:v>
      </x:c>
      <x:c r="M982" s="50" t="n">
        <x:v>34</x:v>
      </x:c>
      <x:c r="N982" s="50" t="n">
        <x:v>9</x:v>
      </x:c>
      <x:c r="O982" s="50" t="n">
        <x:v>118</x:v>
      </x:c>
      <x:c r="P982" s="50" t="n">
        <x:v>17</x:v>
      </x:c>
    </x:row>
    <x:row r="983" ht="36" customHeight="1">
      <x:c r="A983" s="53" t="n">
        <x:v>964</x:v>
      </x:c>
      <x:c r="B983" s="53" t="n">
        <x:v>1</x:v>
      </x:c>
      <x:c r="C983" s="40" t="str">
        <x:v>High-Value Frequent Shoppers</x:v>
      </x:c>
      <x:c r="D983" s="60" t="n">
        <x:v>2044.85</x:v>
      </x:c>
      <x:c r="E983" s="50" t="n">
        <x:v>88</x:v>
      </x:c>
      <x:c r="F983" s="46" t="n">
        <x:v>4.888888888888888</x:v>
      </x:c>
      <x:c r="G983" s="46" t="n">
        <x:v>4</x:v>
      </x:c>
      <x:c r="H983" s="61" t="n">
        <x:v>23.236931818181816</x:v>
      </x:c>
      <x:c r="I983" s="52" t="n">
        <x:v>0.7954545454545454</x:v>
      </x:c>
      <x:c r="J983" s="52" t="n">
        <x:v>0.4652615106242511</x:v>
      </x:c>
      <x:c r="K983" s="60" t="n">
        <x:v>1904.12</x:v>
      </x:c>
      <x:c r="L983" s="60" t="n">
        <x:v>140.73</x:v>
      </x:c>
      <x:c r="M983" s="50" t="n">
        <x:v>70</x:v>
      </x:c>
      <x:c r="N983" s="50" t="n">
        <x:v>18</x:v>
      </x:c>
      <x:c r="O983" s="50" t="n">
        <x:v>113</x:v>
      </x:c>
      <x:c r="P983" s="50" t="n">
        <x:v>18</x:v>
      </x:c>
    </x:row>
    <x:row r="984" ht="36" customHeight="1">
      <x:c r="A984" s="53" t="n">
        <x:v>965</x:v>
      </x:c>
      <x:c r="B984" s="53" t="n">
        <x:v>2</x:v>
      </x:c>
      <x:c r="C984" s="40" t="str">
        <x:v>Large-Basket Occasional Shoppers</x:v>
      </x:c>
      <x:c r="D984" s="60" t="n">
        <x:v>1764.07</x:v>
      </x:c>
      <x:c r="E984" s="50" t="n">
        <x:v>52</x:v>
      </x:c>
      <x:c r="F984" s="46" t="n">
        <x:v>3.058823529411765</x:v>
      </x:c>
      <x:c r="G984" s="46" t="n">
        <x:v>7</x:v>
      </x:c>
      <x:c r="H984" s="61" t="n">
        <x:v>33.92442307692308</x:v>
      </x:c>
      <x:c r="I984" s="52" t="n">
        <x:v>0.8269230769230769</x:v>
      </x:c>
      <x:c r="J984" s="52" t="n">
        <x:v>0.474255556752283</x:v>
      </x:c>
      <x:c r="K984" s="60" t="n">
        <x:v>1640.55</x:v>
      </x:c>
      <x:c r="L984" s="60" t="n">
        <x:v>123.52</x:v>
      </x:c>
      <x:c r="M984" s="50" t="n">
        <x:v>43</x:v>
      </x:c>
      <x:c r="N984" s="50" t="n">
        <x:v>9</x:v>
      </x:c>
      <x:c r="O984" s="50" t="n">
        <x:v>96</x:v>
      </x:c>
      <x:c r="P984" s="50" t="n">
        <x:v>17</x:v>
      </x:c>
    </x:row>
    <x:row r="985" ht="36" customHeight="1">
      <x:c r="A985" s="53" t="n">
        <x:v>966</x:v>
      </x:c>
      <x:c r="B985" s="53" t="n">
        <x:v>3</x:v>
      </x:c>
      <x:c r="C985" s="40" t="str">
        <x:v>Low-Value Low-Engagement Shoppers</x:v>
      </x:c>
      <x:c r="D985" s="60" t="n">
        <x:v>202.06</x:v>
      </x:c>
      <x:c r="E985" s="50" t="n">
        <x:v>16</x:v>
      </x:c>
      <x:c r="F985" s="46" t="n">
        <x:v>1.3333333333333333</x:v>
      </x:c>
      <x:c r="G985" s="46" t="n">
        <x:v>57</x:v>
      </x:c>
      <x:c r="H985" s="61" t="n">
        <x:v>12.62875</x:v>
      </x:c>
      <x:c r="I985" s="52" t="n">
        <x:v>0.4375</x:v>
      </x:c>
      <x:c r="J985" s="52" t="n">
        <x:v>0.2483915668613283</x:v>
      </x:c>
      <x:c r="K985" s="60" t="n">
        <x:v>116.09</x:v>
      </x:c>
      <x:c r="L985" s="60" t="n">
        <x:v>85.97</x:v>
      </x:c>
      <x:c r="M985" s="50" t="n">
        <x:v>7</x:v>
      </x:c>
      <x:c r="N985" s="50" t="n">
        <x:v>9</x:v>
      </x:c>
      <x:c r="O985" s="50" t="n">
        <x:v>15</x:v>
      </x:c>
      <x:c r="P985" s="50" t="n">
        <x:v>12</x:v>
      </x:c>
    </x:row>
    <x:row r="986" ht="36" customHeight="1">
      <x:c r="A986" s="53" t="n">
        <x:v>967</x:v>
      </x:c>
      <x:c r="B986" s="53" t="n">
        <x:v>3</x:v>
      </x:c>
      <x:c r="C986" s="40" t="str">
        <x:v>Low-Value Low-Engagement Shoppers</x:v>
      </x:c>
      <x:c r="D986" s="60" t="n">
        <x:v>299.38</x:v>
      </x:c>
      <x:c r="E986" s="50" t="n">
        <x:v>10</x:v>
      </x:c>
      <x:c r="F986" s="46" t="n">
        <x:v>2</x:v>
      </x:c>
      <x:c r="G986" s="46" t="n">
        <x:v>45</x:v>
      </x:c>
      <x:c r="H986" s="61" t="n">
        <x:v>29.938</x:v>
      </x:c>
      <x:c r="I986" s="52" t="n">
        <x:v>0.9</x:v>
      </x:c>
      <x:c r="J986" s="52" t="n">
        <x:v>0.6084908811543857</x:v>
      </x:c>
      <x:c r="K986" s="60" t="n">
        <x:v>294.8</x:v>
      </x:c>
      <x:c r="L986" s="60" t="n">
        <x:v>4.58</x:v>
      </x:c>
      <x:c r="M986" s="50" t="n">
        <x:v>9</x:v>
      </x:c>
      <x:c r="N986" s="50" t="n">
        <x:v>1</x:v>
      </x:c>
      <x:c r="O986" s="50" t="n">
        <x:v>49</x:v>
      </x:c>
      <x:c r="P986" s="50" t="n">
        <x:v>5</x:v>
      </x:c>
    </x:row>
    <x:row r="987" ht="36" customHeight="1">
      <x:c r="A987" s="53" t="n">
        <x:v>968</x:v>
      </x:c>
      <x:c r="B987" s="53" t="n">
        <x:v>1</x:v>
      </x:c>
      <x:c r="C987" s="40" t="str">
        <x:v>High-Value Frequent Shoppers</x:v>
      </x:c>
      <x:c r="D987" s="60" t="n">
        <x:v>9805.11</x:v>
      </x:c>
      <x:c r="E987" s="50" t="n">
        <x:v>167</x:v>
      </x:c>
      <x:c r="F987" s="46" t="n">
        <x:v>7.260869565217391</x:v>
      </x:c>
      <x:c r="G987" s="46" t="n">
        <x:v>0</x:v>
      </x:c>
      <x:c r="H987" s="61" t="n">
        <x:v>58.713233532934126</x:v>
      </x:c>
      <x:c r="I987" s="52" t="n">
        <x:v>0.8323353293413173</x:v>
      </x:c>
      <x:c r="J987" s="52" t="n">
        <x:v>0.4824127419274235</x:v>
      </x:c>
      <x:c r="K987" s="60" t="n">
        <x:v>9425.62</x:v>
      </x:c>
      <x:c r="L987" s="60" t="n">
        <x:v>379.49</x:v>
      </x:c>
      <x:c r="M987" s="50" t="n">
        <x:v>139</x:v>
      </x:c>
      <x:c r="N987" s="50" t="n">
        <x:v>28</x:v>
      </x:c>
      <x:c r="O987" s="50" t="n">
        <x:v>176</x:v>
      </x:c>
      <x:c r="P987" s="50" t="n">
        <x:v>23</x:v>
      </x:c>
    </x:row>
    <x:row r="988" ht="36" customHeight="1">
      <x:c r="A988" s="53" t="n">
        <x:v>969</x:v>
      </x:c>
      <x:c r="B988" s="53" t="n">
        <x:v>2</x:v>
      </x:c>
      <x:c r="C988" s="40" t="str">
        <x:v>Large-Basket Occasional Shoppers</x:v>
      </x:c>
      <x:c r="D988" s="60" t="n">
        <x:v>311.59</x:v>
      </x:c>
      <x:c r="E988" s="50" t="n">
        <x:v>8</x:v>
      </x:c>
      <x:c r="F988" s="46" t="n">
        <x:v>1.3333333333333333</x:v>
      </x:c>
      <x:c r="G988" s="46" t="n">
        <x:v>27</x:v>
      </x:c>
      <x:c r="H988" s="61" t="n">
        <x:v>38.94875</x:v>
      </x:c>
      <x:c r="I988" s="52" t="n">
        <x:v>1</x:v>
      </x:c>
      <x:c r="J988" s="52" t="n">
        <x:v>0.3911229500304887</x:v>
      </x:c>
      <x:c r="K988" s="60" t="n">
        <x:v>311.59</x:v>
      </x:c>
      <x:c r="L988" s="60" t="n">
        <x:v>0</x:v>
      </x:c>
      <x:c r="M988" s="50" t="n">
        <x:v>8</x:v>
      </x:c>
      <x:c r="N988" s="50" t="n">
        <x:v>0</x:v>
      </x:c>
      <x:c r="O988" s="50" t="n">
        <x:v>40</x:v>
      </x:c>
      <x:c r="P988" s="50" t="n">
        <x:v>6</x:v>
      </x:c>
    </x:row>
    <x:row r="989" ht="36" customHeight="1">
      <x:c r="A989" s="53" t="n">
        <x:v>970</x:v>
      </x:c>
      <x:c r="B989" s="53" t="n">
        <x:v>2</x:v>
      </x:c>
      <x:c r="C989" s="40" t="str">
        <x:v>Large-Basket Occasional Shoppers</x:v>
      </x:c>
      <x:c r="D989" s="60" t="n">
        <x:v>691.45</x:v>
      </x:c>
      <x:c r="E989" s="50" t="n">
        <x:v>15</x:v>
      </x:c>
      <x:c r="F989" s="46" t="n">
        <x:v>1.1538461538461535</x:v>
      </x:c>
      <x:c r="G989" s="46" t="n">
        <x:v>11</x:v>
      </x:c>
      <x:c r="H989" s="61" t="n">
        <x:v>46.09666666666666</x:v>
      </x:c>
      <x:c r="I989" s="52" t="n">
        <x:v>1</x:v>
      </x:c>
      <x:c r="J989" s="52" t="n">
        <x:v>0.6179622532359534</x:v>
      </x:c>
      <x:c r="K989" s="60" t="n">
        <x:v>691.45</x:v>
      </x:c>
      <x:c r="L989" s="60" t="n">
        <x:v>0</x:v>
      </x:c>
      <x:c r="M989" s="50" t="n">
        <x:v>15</x:v>
      </x:c>
      <x:c r="N989" s="50" t="n">
        <x:v>0</x:v>
      </x:c>
      <x:c r="O989" s="50" t="n">
        <x:v>67</x:v>
      </x:c>
      <x:c r="P989" s="50" t="n">
        <x:v>13</x:v>
      </x:c>
    </x:row>
    <x:row r="990" ht="36" customHeight="1">
      <x:c r="A990" s="53" t="n">
        <x:v>971</x:v>
      </x:c>
      <x:c r="B990" s="53" t="n">
        <x:v>1</x:v>
      </x:c>
      <x:c r="C990" s="40" t="str">
        <x:v>High-Value Frequent Shoppers</x:v>
      </x:c>
      <x:c r="D990" s="60" t="n">
        <x:v>3676.15</x:v>
      </x:c>
      <x:c r="E990" s="50" t="n">
        <x:v>125</x:v>
      </x:c>
      <x:c r="F990" s="46" t="n">
        <x:v>5.434782608695652</x:v>
      </x:c>
      <x:c r="G990" s="46" t="n">
        <x:v>0</x:v>
      </x:c>
      <x:c r="H990" s="61" t="n">
        <x:v>29.4092</x:v>
      </x:c>
      <x:c r="I990" s="52" t="n">
        <x:v>0.88</x:v>
      </x:c>
      <x:c r="J990" s="52" t="n">
        <x:v>0.3995076370659521</x:v>
      </x:c>
      <x:c r="K990" s="60" t="n">
        <x:v>3430.07</x:v>
      </x:c>
      <x:c r="L990" s="60" t="n">
        <x:v>246.08</x:v>
      </x:c>
      <x:c r="M990" s="50" t="n">
        <x:v>110</x:v>
      </x:c>
      <x:c r="N990" s="50" t="n">
        <x:v>15</x:v>
      </x:c>
      <x:c r="O990" s="50" t="n">
        <x:v>153</x:v>
      </x:c>
      <x:c r="P990" s="50" t="n">
        <x:v>23</x:v>
      </x:c>
    </x:row>
    <x:row r="991" ht="36" customHeight="1">
      <x:c r="A991" s="53" t="n">
        <x:v>972</x:v>
      </x:c>
      <x:c r="B991" s="53" t="n">
        <x:v>1</x:v>
      </x:c>
      <x:c r="C991" s="40" t="str">
        <x:v>High-Value Frequent Shoppers</x:v>
      </x:c>
      <x:c r="D991" s="60" t="n">
        <x:v>4219.18</x:v>
      </x:c>
      <x:c r="E991" s="50" t="n">
        <x:v>197</x:v>
      </x:c>
      <x:c r="F991" s="46" t="n">
        <x:v>9.38095238095238</x:v>
      </x:c>
      <x:c r="G991" s="46" t="n">
        <x:v>1</x:v>
      </x:c>
      <x:c r="H991" s="61" t="n">
        <x:v>21.417157360406087</x:v>
      </x:c>
      <x:c r="I991" s="52" t="n">
        <x:v>0.8375634517766497</x:v>
      </x:c>
      <x:c r="J991" s="52" t="n">
        <x:v>0.4641209903346147</x:v>
      </x:c>
      <x:c r="K991" s="60" t="n">
        <x:v>3919.68</x:v>
      </x:c>
      <x:c r="L991" s="60" t="n">
        <x:v>299.5</x:v>
      </x:c>
      <x:c r="M991" s="50" t="n">
        <x:v>165</x:v>
      </x:c>
      <x:c r="N991" s="50" t="n">
        <x:v>32</x:v>
      </x:c>
      <x:c r="O991" s="50" t="n">
        <x:v>146</x:v>
      </x:c>
      <x:c r="P991" s="50" t="n">
        <x:v>21</x:v>
      </x:c>
    </x:row>
    <x:row r="992" ht="36" customHeight="1">
      <x:c r="A992" s="53" t="n">
        <x:v>973</x:v>
      </x:c>
      <x:c r="B992" s="53" t="n">
        <x:v>1</x:v>
      </x:c>
      <x:c r="C992" s="40" t="str">
        <x:v>High-Value Frequent Shoppers</x:v>
      </x:c>
      <x:c r="D992" s="60" t="n">
        <x:v>13486.32</x:v>
      </x:c>
      <x:c r="E992" s="50" t="n">
        <x:v>84</x:v>
      </x:c>
      <x:c r="F992" s="46" t="n">
        <x:v>4</x:v>
      </x:c>
      <x:c r="G992" s="46" t="n">
        <x:v>1</x:v>
      </x:c>
      <x:c r="H992" s="61" t="n">
        <x:v>160.55142857142857</x:v>
      </x:c>
      <x:c r="I992" s="52" t="n">
        <x:v>0.9404761904761904</x:v>
      </x:c>
      <x:c r="J992" s="52" t="n">
        <x:v>0.3757466825642577</x:v>
      </x:c>
      <x:c r="K992" s="60" t="n">
        <x:v>13405</x:v>
      </x:c>
      <x:c r="L992" s="60" t="n">
        <x:v>81.32</x:v>
      </x:c>
      <x:c r="M992" s="50" t="n">
        <x:v>79</x:v>
      </x:c>
      <x:c r="N992" s="50" t="n">
        <x:v>5</x:v>
      </x:c>
      <x:c r="O992" s="50" t="n">
        <x:v>190</x:v>
      </x:c>
      <x:c r="P992" s="50" t="n">
        <x:v>21</x:v>
      </x:c>
    </x:row>
    <x:row r="993" ht="36" customHeight="1">
      <x:c r="A993" s="53" t="n">
        <x:v>974</x:v>
      </x:c>
      <x:c r="B993" s="53" t="n">
        <x:v>2</x:v>
      </x:c>
      <x:c r="C993" s="40" t="str">
        <x:v>Large-Basket Occasional Shoppers</x:v>
      </x:c>
      <x:c r="D993" s="60" t="n">
        <x:v>1993.06</x:v>
      </x:c>
      <x:c r="E993" s="50" t="n">
        <x:v>43</x:v>
      </x:c>
      <x:c r="F993" s="46" t="n">
        <x:v>2.6875</x:v>
      </x:c>
      <x:c r="G993" s="46" t="n">
        <x:v>1</x:v>
      </x:c>
      <x:c r="H993" s="61" t="n">
        <x:v>46.35023255813954</x:v>
      </x:c>
      <x:c r="I993" s="52" t="n">
        <x:v>0.9534883720930232</x:v>
      </x:c>
      <x:c r="J993" s="52" t="n">
        <x:v>0.5450061714148093</x:v>
      </x:c>
      <x:c r="K993" s="60" t="n">
        <x:v>1986.18</x:v>
      </x:c>
      <x:c r="L993" s="60" t="n">
        <x:v>6.88</x:v>
      </x:c>
      <x:c r="M993" s="50" t="n">
        <x:v>41</x:v>
      </x:c>
      <x:c r="N993" s="50" t="n">
        <x:v>2</x:v>
      </x:c>
      <x:c r="O993" s="50" t="n">
        <x:v>102</x:v>
      </x:c>
      <x:c r="P993" s="50" t="n">
        <x:v>16</x:v>
      </x:c>
    </x:row>
    <x:row r="994" ht="36" customHeight="1">
      <x:c r="A994" s="53" t="n">
        <x:v>975</x:v>
      </x:c>
      <x:c r="B994" s="53" t="n">
        <x:v>1</x:v>
      </x:c>
      <x:c r="C994" s="40" t="str">
        <x:v>High-Value Frequent Shoppers</x:v>
      </x:c>
      <x:c r="D994" s="60" t="n">
        <x:v>4769.31</x:v>
      </x:c>
      <x:c r="E994" s="50" t="n">
        <x:v>182</x:v>
      </x:c>
      <x:c r="F994" s="46" t="n">
        <x:v>8.666666666666666</x:v>
      </x:c>
      <x:c r="G994" s="46" t="n">
        <x:v>0</x:v>
      </x:c>
      <x:c r="H994" s="61" t="n">
        <x:v>26.205</x:v>
      </x:c>
      <x:c r="I994" s="52" t="n">
        <x:v>0.934065934065934</x:v>
      </x:c>
      <x:c r="J994" s="52" t="n">
        <x:v>0.5950693077195653</x:v>
      </x:c>
      <x:c r="K994" s="60" t="n">
        <x:v>4683.84</x:v>
      </x:c>
      <x:c r="L994" s="60" t="n">
        <x:v>85.47</x:v>
      </x:c>
      <x:c r="M994" s="50" t="n">
        <x:v>170</x:v>
      </x:c>
      <x:c r="N994" s="50" t="n">
        <x:v>12</x:v>
      </x:c>
      <x:c r="O994" s="50" t="n">
        <x:v>101</x:v>
      </x:c>
      <x:c r="P994" s="50" t="n">
        <x:v>21</x:v>
      </x:c>
    </x:row>
    <x:row r="995" ht="36" customHeight="1">
      <x:c r="A995" s="53" t="n">
        <x:v>976</x:v>
      </x:c>
      <x:c r="B995" s="53" t="n">
        <x:v>1</x:v>
      </x:c>
      <x:c r="C995" s="40" t="str">
        <x:v>High-Value Frequent Shoppers</x:v>
      </x:c>
      <x:c r="D995" s="60" t="n">
        <x:v>6190.51</x:v>
      </x:c>
      <x:c r="E995" s="50" t="n">
        <x:v>82</x:v>
      </x:c>
      <x:c r="F995" s="46" t="n">
        <x:v>3.9047619047619047</x:v>
      </x:c>
      <x:c r="G995" s="46" t="n">
        <x:v>5</x:v>
      </x:c>
      <x:c r="H995" s="61" t="n">
        <x:v>75.49402439024391</x:v>
      </x:c>
      <x:c r="I995" s="52" t="n">
        <x:v>0.8658536585365852</x:v>
      </x:c>
      <x:c r="J995" s="52" t="n">
        <x:v>0.3230961584748267</x:v>
      </x:c>
      <x:c r="K995" s="60" t="n">
        <x:v>6005.98</x:v>
      </x:c>
      <x:c r="L995" s="60" t="n">
        <x:v>184.53</x:v>
      </x:c>
      <x:c r="M995" s="50" t="n">
        <x:v>71</x:v>
      </x:c>
      <x:c r="N995" s="50" t="n">
        <x:v>11</x:v>
      </x:c>
      <x:c r="O995" s="50" t="n">
        <x:v>181</x:v>
      </x:c>
      <x:c r="P995" s="50" t="n">
        <x:v>21</x:v>
      </x:c>
    </x:row>
    <x:row r="996" ht="36" customHeight="1">
      <x:c r="A996" s="53" t="n">
        <x:v>977</x:v>
      </x:c>
      <x:c r="B996" s="53" t="n">
        <x:v>2</x:v>
      </x:c>
      <x:c r="C996" s="40" t="str">
        <x:v>Large-Basket Occasional Shoppers</x:v>
      </x:c>
      <x:c r="D996" s="60" t="n">
        <x:v>1036.52</x:v>
      </x:c>
      <x:c r="E996" s="50" t="n">
        <x:v>33</x:v>
      </x:c>
      <x:c r="F996" s="46" t="n">
        <x:v>1.8333333333333333</x:v>
      </x:c>
      <x:c r="G996" s="46" t="n">
        <x:v>14</x:v>
      </x:c>
      <x:c r="H996" s="61" t="n">
        <x:v>31.409696969696967</x:v>
      </x:c>
      <x:c r="I996" s="52" t="n">
        <x:v>0.909090909090909</x:v>
      </x:c>
      <x:c r="J996" s="52" t="n">
        <x:v>0.519989966426118</x:v>
      </x:c>
      <x:c r="K996" s="60" t="n">
        <x:v>1003.83</x:v>
      </x:c>
      <x:c r="L996" s="60" t="n">
        <x:v>32.69</x:v>
      </x:c>
      <x:c r="M996" s="50" t="n">
        <x:v>30</x:v>
      </x:c>
      <x:c r="N996" s="50" t="n">
        <x:v>3</x:v>
      </x:c>
      <x:c r="O996" s="50" t="n">
        <x:v>98</x:v>
      </x:c>
      <x:c r="P996" s="50" t="n">
        <x:v>18</x:v>
      </x:c>
    </x:row>
    <x:row r="997" ht="36" customHeight="1">
      <x:c r="A997" s="53" t="n">
        <x:v>978</x:v>
      </x:c>
      <x:c r="B997" s="53" t="n">
        <x:v>1</x:v>
      </x:c>
      <x:c r="C997" s="40" t="str">
        <x:v>High-Value Frequent Shoppers</x:v>
      </x:c>
      <x:c r="D997" s="60" t="n">
        <x:v>3014.35</x:v>
      </x:c>
      <x:c r="E997" s="50" t="n">
        <x:v>71</x:v>
      </x:c>
      <x:c r="F997" s="46" t="n">
        <x:v>3.9444444444444446</x:v>
      </x:c>
      <x:c r="G997" s="46" t="n">
        <x:v>0</x:v>
      </x:c>
      <x:c r="H997" s="61" t="n">
        <x:v>42.4556338028169</x:v>
      </x:c>
      <x:c r="I997" s="52" t="n">
        <x:v>0.8169014084507042</x:v>
      </x:c>
      <x:c r="J997" s="52" t="n">
        <x:v>0.4045349743725844</x:v>
      </x:c>
      <x:c r="K997" s="60" t="n">
        <x:v>2876.47</x:v>
      </x:c>
      <x:c r="L997" s="60" t="n">
        <x:v>137.88</x:v>
      </x:c>
      <x:c r="M997" s="50" t="n">
        <x:v>58</x:v>
      </x:c>
      <x:c r="N997" s="50" t="n">
        <x:v>13</x:v>
      </x:c>
      <x:c r="O997" s="50" t="n">
        <x:v>150</x:v>
      </x:c>
      <x:c r="P997" s="50" t="n">
        <x:v>18</x:v>
      </x:c>
    </x:row>
    <x:row r="998" ht="36" customHeight="1">
      <x:c r="A998" s="53" t="n">
        <x:v>979</x:v>
      </x:c>
      <x:c r="B998" s="53" t="n">
        <x:v>1</x:v>
      </x:c>
      <x:c r="C998" s="40" t="str">
        <x:v>High-Value Frequent Shoppers</x:v>
      </x:c>
      <x:c r="D998" s="60" t="n">
        <x:v>12854.66</x:v>
      </x:c>
      <x:c r="E998" s="50" t="n">
        <x:v>201</x:v>
      </x:c>
      <x:c r="F998" s="46" t="n">
        <x:v>8.375</x:v>
      </x:c>
      <x:c r="G998" s="46" t="n">
        <x:v>1</x:v>
      </x:c>
      <x:c r="H998" s="61" t="n">
        <x:v>63.953532338308456</x:v>
      </x:c>
      <x:c r="I998" s="52" t="n">
        <x:v>0.9303482587064676</x:v>
      </x:c>
      <x:c r="J998" s="52" t="n">
        <x:v>0.6064820073031881</x:v>
      </x:c>
      <x:c r="K998" s="60" t="n">
        <x:v>12746.09</x:v>
      </x:c>
      <x:c r="L998" s="60" t="n">
        <x:v>108.57</x:v>
      </x:c>
      <x:c r="M998" s="50" t="n">
        <x:v>187</x:v>
      </x:c>
      <x:c r="N998" s="50" t="n">
        <x:v>14</x:v>
      </x:c>
      <x:c r="O998" s="50" t="n">
        <x:v>193</x:v>
      </x:c>
      <x:c r="P998" s="50" t="n">
        <x:v>24</x:v>
      </x:c>
    </x:row>
    <x:row r="999" ht="36" customHeight="1">
      <x:c r="A999" s="53" t="n">
        <x:v>980</x:v>
      </x:c>
      <x:c r="B999" s="53" t="n">
        <x:v>2</x:v>
      </x:c>
      <x:c r="C999" s="40" t="str">
        <x:v>Large-Basket Occasional Shoppers</x:v>
      </x:c>
      <x:c r="D999" s="60" t="n">
        <x:v>1330.22</x:v>
      </x:c>
      <x:c r="E999" s="50" t="n">
        <x:v>29</x:v>
      </x:c>
      <x:c r="F999" s="46" t="n">
        <x:v>2.230769230769231</x:v>
      </x:c>
      <x:c r="G999" s="46" t="n">
        <x:v>14</x:v>
      </x:c>
      <x:c r="H999" s="61" t="n">
        <x:v>45.86965517241379</x:v>
      </x:c>
      <x:c r="I999" s="52" t="n">
        <x:v>0.896551724137931</x:v>
      </x:c>
      <x:c r="J999" s="52" t="n">
        <x:v>0.4951060726797071</x:v>
      </x:c>
      <x:c r="K999" s="60" t="n">
        <x:v>1222.88</x:v>
      </x:c>
      <x:c r="L999" s="60" t="n">
        <x:v>107.34</x:v>
      </x:c>
      <x:c r="M999" s="50" t="n">
        <x:v>26</x:v>
      </x:c>
      <x:c r="N999" s="50" t="n">
        <x:v>3</x:v>
      </x:c>
      <x:c r="O999" s="50" t="n">
        <x:v>88</x:v>
      </x:c>
      <x:c r="P999" s="50" t="n">
        <x:v>13</x:v>
      </x:c>
    </x:row>
    <x:row r="1000" ht="36" customHeight="1">
      <x:c r="A1000" s="53" t="n">
        <x:v>981</x:v>
      </x:c>
      <x:c r="B1000" s="53" t="n">
        <x:v>2</x:v>
      </x:c>
      <x:c r="C1000" s="40" t="str">
        <x:v>Large-Basket Occasional Shoppers</x:v>
      </x:c>
      <x:c r="D1000" s="60" t="n">
        <x:v>1394.11</x:v>
      </x:c>
      <x:c r="E1000" s="50" t="n">
        <x:v>36</x:v>
      </x:c>
      <x:c r="F1000" s="46" t="n">
        <x:v>2</x:v>
      </x:c>
      <x:c r="G1000" s="46" t="n">
        <x:v>21</x:v>
      </x:c>
      <x:c r="H1000" s="61" t="n">
        <x:v>38.72527777777778</x:v>
      </x:c>
      <x:c r="I1000" s="52" t="n">
        <x:v>0.9444444444444444</x:v>
      </x:c>
      <x:c r="J1000" s="52" t="n">
        <x:v>0.4909440431529793</x:v>
      </x:c>
      <x:c r="K1000" s="60" t="n">
        <x:v>1372.31</x:v>
      </x:c>
      <x:c r="L1000" s="60" t="n">
        <x:v>21.8</x:v>
      </x:c>
      <x:c r="M1000" s="50" t="n">
        <x:v>34</x:v>
      </x:c>
      <x:c r="N1000" s="50" t="n">
        <x:v>2</x:v>
      </x:c>
      <x:c r="O1000" s="50" t="n">
        <x:v>89</x:v>
      </x:c>
      <x:c r="P1000" s="50" t="n">
        <x:v>18</x:v>
      </x:c>
    </x:row>
    <x:row r="1001" ht="36" customHeight="1">
      <x:c r="A1001" s="53" t="n">
        <x:v>982</x:v>
      </x:c>
      <x:c r="B1001" s="53" t="n">
        <x:v>1</x:v>
      </x:c>
      <x:c r="C1001" s="40" t="str">
        <x:v>High-Value Frequent Shoppers</x:v>
      </x:c>
      <x:c r="D1001" s="60" t="n">
        <x:v>18790.34</x:v>
      </x:c>
      <x:c r="E1001" s="50" t="n">
        <x:v>412</x:v>
      </x:c>
      <x:c r="F1001" s="46" t="n">
        <x:v>18.727272727272727</x:v>
      </x:c>
      <x:c r="G1001" s="46" t="n">
        <x:v>1</x:v>
      </x:c>
      <x:c r="H1001" s="61" t="n">
        <x:v>45.607621359223295</x:v>
      </x:c>
      <x:c r="I1001" s="52" t="n">
        <x:v>0.9004854368932038</x:v>
      </x:c>
      <x:c r="J1001" s="52" t="n">
        <x:v>0.4964407243296289</x:v>
      </x:c>
      <x:c r="K1001" s="60" t="n">
        <x:v>18291.94</x:v>
      </x:c>
      <x:c r="L1001" s="60" t="n">
        <x:v>498.4</x:v>
      </x:c>
      <x:c r="M1001" s="50" t="n">
        <x:v>371</x:v>
      </x:c>
      <x:c r="N1001" s="50" t="n">
        <x:v>41</x:v>
      </x:c>
      <x:c r="O1001" s="50" t="n">
        <x:v>194</x:v>
      </x:c>
      <x:c r="P1001" s="50" t="n">
        <x:v>22</x:v>
      </x:c>
    </x:row>
    <x:row r="1002" ht="36" customHeight="1">
      <x:c r="A1002" s="53" t="n">
        <x:v>983</x:v>
      </x:c>
      <x:c r="B1002" s="53" t="n">
        <x:v>1</x:v>
      </x:c>
      <x:c r="C1002" s="40" t="str">
        <x:v>High-Value Frequent Shoppers</x:v>
      </x:c>
      <x:c r="D1002" s="60" t="n">
        <x:v>3807.15</x:v>
      </x:c>
      <x:c r="E1002" s="50" t="n">
        <x:v>195</x:v>
      </x:c>
      <x:c r="F1002" s="46" t="n">
        <x:v>8.863636363636363</x:v>
      </x:c>
      <x:c r="G1002" s="46" t="n">
        <x:v>0</x:v>
      </x:c>
      <x:c r="H1002" s="61" t="n">
        <x:v>19.523846153846154</x:v>
      </x:c>
      <x:c r="I1002" s="52" t="n">
        <x:v>0.8051282051282052</x:v>
      </x:c>
      <x:c r="J1002" s="52" t="n">
        <x:v>0.5307539760713395</x:v>
      </x:c>
      <x:c r="K1002" s="60" t="n">
        <x:v>3532.39</x:v>
      </x:c>
      <x:c r="L1002" s="60" t="n">
        <x:v>274.76</x:v>
      </x:c>
      <x:c r="M1002" s="50" t="n">
        <x:v>157</x:v>
      </x:c>
      <x:c r="N1002" s="50" t="n">
        <x:v>38</x:v>
      </x:c>
      <x:c r="O1002" s="50" t="n">
        <x:v>156</x:v>
      </x:c>
      <x:c r="P1002" s="50" t="n">
        <x:v>22</x:v>
      </x:c>
    </x:row>
    <x:row r="1003" ht="36" customHeight="1">
      <x:c r="A1003" s="53" t="n">
        <x:v>984</x:v>
      </x:c>
      <x:c r="B1003" s="53" t="n">
        <x:v>2</x:v>
      </x:c>
      <x:c r="C1003" s="40" t="str">
        <x:v>Large-Basket Occasional Shoppers</x:v>
      </x:c>
      <x:c r="D1003" s="60" t="n">
        <x:v>1219.71</x:v>
      </x:c>
      <x:c r="E1003" s="50" t="n">
        <x:v>32</x:v>
      </x:c>
      <x:c r="F1003" s="46" t="n">
        <x:v>2</x:v>
      </x:c>
      <x:c r="G1003" s="46" t="n">
        <x:v>27</x:v>
      </x:c>
      <x:c r="H1003" s="61" t="n">
        <x:v>38.1159375</x:v>
      </x:c>
      <x:c r="I1003" s="52" t="n">
        <x:v>0.90625</x:v>
      </x:c>
      <x:c r="J1003" s="52" t="n">
        <x:v>0.715333972829607</x:v>
      </x:c>
      <x:c r="K1003" s="60" t="n">
        <x:v>1195.63</x:v>
      </x:c>
      <x:c r="L1003" s="60" t="n">
        <x:v>24.08</x:v>
      </x:c>
      <x:c r="M1003" s="50" t="n">
        <x:v>29</x:v>
      </x:c>
      <x:c r="N1003" s="50" t="n">
        <x:v>3</x:v>
      </x:c>
      <x:c r="O1003" s="50" t="n">
        <x:v>106</x:v>
      </x:c>
      <x:c r="P1003" s="50" t="n">
        <x:v>16</x:v>
      </x:c>
    </x:row>
    <x:row r="1004" ht="36" customHeight="1">
      <x:c r="A1004" s="53" t="n">
        <x:v>985</x:v>
      </x:c>
      <x:c r="B1004" s="53" t="n">
        <x:v>1</x:v>
      </x:c>
      <x:c r="C1004" s="40" t="str">
        <x:v>High-Value Frequent Shoppers</x:v>
      </x:c>
      <x:c r="D1004" s="60" t="n">
        <x:v>2057.47</x:v>
      </x:c>
      <x:c r="E1004" s="50" t="n">
        <x:v>110</x:v>
      </x:c>
      <x:c r="F1004" s="46" t="n">
        <x:v>4.782608695652174</x:v>
      </x:c>
      <x:c r="G1004" s="46" t="n">
        <x:v>2</x:v>
      </x:c>
      <x:c r="H1004" s="61" t="n">
        <x:v>18.704272727272727</x:v>
      </x:c>
      <x:c r="I1004" s="52" t="n">
        <x:v>0.8545454545454545</x:v>
      </x:c>
      <x:c r="J1004" s="52" t="n">
        <x:v>0.6333117858340583</x:v>
      </x:c>
      <x:c r="K1004" s="60" t="n">
        <x:v>1937.64</x:v>
      </x:c>
      <x:c r="L1004" s="60" t="n">
        <x:v>119.83</x:v>
      </x:c>
      <x:c r="M1004" s="50" t="n">
        <x:v>94</x:v>
      </x:c>
      <x:c r="N1004" s="50" t="n">
        <x:v>16</x:v>
      </x:c>
      <x:c r="O1004" s="50" t="n">
        <x:v>145</x:v>
      </x:c>
      <x:c r="P1004" s="50" t="n">
        <x:v>23</x:v>
      </x:c>
    </x:row>
    <x:row r="1005" ht="36" customHeight="1">
      <x:c r="A1005" s="53" t="n">
        <x:v>986</x:v>
      </x:c>
      <x:c r="B1005" s="53" t="n">
        <x:v>2</x:v>
      </x:c>
      <x:c r="C1005" s="40" t="str">
        <x:v>Large-Basket Occasional Shoppers</x:v>
      </x:c>
      <x:c r="D1005" s="60" t="n">
        <x:v>1827.87</x:v>
      </x:c>
      <x:c r="E1005" s="50" t="n">
        <x:v>90</x:v>
      </x:c>
      <x:c r="F1005" s="46" t="n">
        <x:v>4.090909090909091</x:v>
      </x:c>
      <x:c r="G1005" s="46" t="n">
        <x:v>13</x:v>
      </x:c>
      <x:c r="H1005" s="61" t="n">
        <x:v>20.309666666666665</x:v>
      </x:c>
      <x:c r="I1005" s="52" t="n">
        <x:v>0.9</x:v>
      </x:c>
      <x:c r="J1005" s="52" t="n">
        <x:v>0.5398086297165553</x:v>
      </x:c>
      <x:c r="K1005" s="60" t="n">
        <x:v>1749.29</x:v>
      </x:c>
      <x:c r="L1005" s="60" t="n">
        <x:v>78.58</x:v>
      </x:c>
      <x:c r="M1005" s="50" t="n">
        <x:v>81</x:v>
      </x:c>
      <x:c r="N1005" s="50" t="n">
        <x:v>9</x:v>
      </x:c>
      <x:c r="O1005" s="50" t="n">
        <x:v>85</x:v>
      </x:c>
      <x:c r="P1005" s="50" t="n">
        <x:v>22</x:v>
      </x:c>
    </x:row>
    <x:row r="1006" ht="36" customHeight="1">
      <x:c r="A1006" s="53" t="n">
        <x:v>987</x:v>
      </x:c>
      <x:c r="B1006" s="53" t="n">
        <x:v>2</x:v>
      </x:c>
      <x:c r="C1006" s="40" t="str">
        <x:v>Large-Basket Occasional Shoppers</x:v>
      </x:c>
      <x:c r="D1006" s="60" t="n">
        <x:v>2334.53</x:v>
      </x:c>
      <x:c r="E1006" s="50" t="n">
        <x:v>75</x:v>
      </x:c>
      <x:c r="F1006" s="46" t="n">
        <x:v>3.4090909090909087</x:v>
      </x:c>
      <x:c r="G1006" s="46" t="n">
        <x:v>10</x:v>
      </x:c>
      <x:c r="H1006" s="61" t="n">
        <x:v>31.127066666666664</x:v>
      </x:c>
      <x:c r="I1006" s="52" t="n">
        <x:v>0.7466666666666666</x:v>
      </x:c>
      <x:c r="J1006" s="52" t="n">
        <x:v>0.4546482589643311</x:v>
      </x:c>
      <x:c r="K1006" s="60" t="n">
        <x:v>2118.38</x:v>
      </x:c>
      <x:c r="L1006" s="60" t="n">
        <x:v>216.15</x:v>
      </x:c>
      <x:c r="M1006" s="50" t="n">
        <x:v>56</x:v>
      </x:c>
      <x:c r="N1006" s="50" t="n">
        <x:v>19</x:v>
      </x:c>
      <x:c r="O1006" s="50" t="n">
        <x:v>141</x:v>
      </x:c>
      <x:c r="P1006" s="50" t="n">
        <x:v>22</x:v>
      </x:c>
    </x:row>
    <x:row r="1007" ht="36" customHeight="1">
      <x:c r="A1007" s="53" t="n">
        <x:v>988</x:v>
      </x:c>
      <x:c r="B1007" s="53" t="n">
        <x:v>1</x:v>
      </x:c>
      <x:c r="C1007" s="40" t="str">
        <x:v>High-Value Frequent Shoppers</x:v>
      </x:c>
      <x:c r="D1007" s="60" t="n">
        <x:v>6109.18</x:v>
      </x:c>
      <x:c r="E1007" s="50" t="n">
        <x:v>196</x:v>
      </x:c>
      <x:c r="F1007" s="46" t="n">
        <x:v>8.166666666666666</x:v>
      </x:c>
      <x:c r="G1007" s="46" t="n">
        <x:v>0</x:v>
      </x:c>
      <x:c r="H1007" s="61" t="n">
        <x:v>31.16928571428572</x:v>
      </x:c>
      <x:c r="I1007" s="52" t="n">
        <x:v>0.8928571428571428</x:v>
      </x:c>
      <x:c r="J1007" s="52" t="n">
        <x:v>0.7232460002815435</x:v>
      </x:c>
      <x:c r="K1007" s="60" t="n">
        <x:v>5969.22</x:v>
      </x:c>
      <x:c r="L1007" s="60" t="n">
        <x:v>139.96</x:v>
      </x:c>
      <x:c r="M1007" s="50" t="n">
        <x:v>175</x:v>
      </x:c>
      <x:c r="N1007" s="50" t="n">
        <x:v>21</x:v>
      </x:c>
      <x:c r="O1007" s="50" t="n">
        <x:v>143</x:v>
      </x:c>
      <x:c r="P1007" s="50" t="n">
        <x:v>24</x:v>
      </x:c>
    </x:row>
    <x:row r="1008" ht="36" customHeight="1">
      <x:c r="A1008" s="53" t="n">
        <x:v>989</x:v>
      </x:c>
      <x:c r="B1008" s="53" t="n">
        <x:v>1</x:v>
      </x:c>
      <x:c r="C1008" s="40" t="str">
        <x:v>High-Value Frequent Shoppers</x:v>
      </x:c>
      <x:c r="D1008" s="60" t="n">
        <x:v>4663.38</x:v>
      </x:c>
      <x:c r="E1008" s="50" t="n">
        <x:v>174</x:v>
      </x:c>
      <x:c r="F1008" s="46" t="n">
        <x:v>7.909090909090909</x:v>
      </x:c>
      <x:c r="G1008" s="46" t="n">
        <x:v>4</x:v>
      </x:c>
      <x:c r="H1008" s="61" t="n">
        <x:v>26.80103448275862</x:v>
      </x:c>
      <x:c r="I1008" s="52" t="n">
        <x:v>0.8103448275862069</x:v>
      </x:c>
      <x:c r="J1008" s="52" t="n">
        <x:v>0.5009049230386543</x:v>
      </x:c>
      <x:c r="K1008" s="60" t="n">
        <x:v>4414.6</x:v>
      </x:c>
      <x:c r="L1008" s="60" t="n">
        <x:v>248.78</x:v>
      </x:c>
      <x:c r="M1008" s="50" t="n">
        <x:v>141</x:v>
      </x:c>
      <x:c r="N1008" s="50" t="n">
        <x:v>33</x:v>
      </x:c>
      <x:c r="O1008" s="50" t="n">
        <x:v>176</x:v>
      </x:c>
      <x:c r="P1008" s="50" t="n">
        <x:v>22</x:v>
      </x:c>
    </x:row>
    <x:row r="1009" ht="36" customHeight="1">
      <x:c r="A1009" s="53" t="n">
        <x:v>990</x:v>
      </x:c>
      <x:c r="B1009" s="53" t="n">
        <x:v>3</x:v>
      </x:c>
      <x:c r="C1009" s="40" t="str">
        <x:v>Low-Value Low-Engagement Shoppers</x:v>
      </x:c>
      <x:c r="D1009" s="60" t="n">
        <x:v>247.12</x:v>
      </x:c>
      <x:c r="E1009" s="50" t="n">
        <x:v>16</x:v>
      </x:c>
      <x:c r="F1009" s="46" t="n">
        <x:v>1.6</x:v>
      </x:c>
      <x:c r="G1009" s="46" t="n">
        <x:v>141</x:v>
      </x:c>
      <x:c r="H1009" s="61" t="n">
        <x:v>15.445</x:v>
      </x:c>
      <x:c r="I1009" s="52" t="n">
        <x:v>0.8125</x:v>
      </x:c>
      <x:c r="J1009" s="52" t="n">
        <x:v>0.5764001294917449</x:v>
      </x:c>
      <x:c r="K1009" s="60" t="n">
        <x:v>238.11</x:v>
      </x:c>
      <x:c r="L1009" s="60" t="n">
        <x:v>9.01</x:v>
      </x:c>
      <x:c r="M1009" s="50" t="n">
        <x:v>13</x:v>
      </x:c>
      <x:c r="N1009" s="50" t="n">
        <x:v>3</x:v>
      </x:c>
      <x:c r="O1009" s="50" t="n">
        <x:v>30</x:v>
      </x:c>
      <x:c r="P1009" s="50" t="n">
        <x:v>10</x:v>
      </x:c>
    </x:row>
    <x:row r="1010" ht="36" customHeight="1">
      <x:c r="A1010" s="53" t="n">
        <x:v>991</x:v>
      </x:c>
      <x:c r="B1010" s="53" t="n">
        <x:v>3</x:v>
      </x:c>
      <x:c r="C1010" s="40" t="str">
        <x:v>Low-Value Low-Engagement Shoppers</x:v>
      </x:c>
      <x:c r="D1010" s="60" t="n">
        <x:v>1419.88</x:v>
      </x:c>
      <x:c r="E1010" s="50" t="n">
        <x:v>31</x:v>
      </x:c>
      <x:c r="F1010" s="46" t="n">
        <x:v>2.583333333333333</x:v>
      </x:c>
      <x:c r="G1010" s="46" t="n">
        <x:v>46</x:v>
      </x:c>
      <x:c r="H1010" s="61" t="n">
        <x:v>45.802580645161285</x:v>
      </x:c>
      <x:c r="I1010" s="52" t="n">
        <x:v>0.6451612903225806</x:v>
      </x:c>
      <x:c r="J1010" s="52" t="n">
        <x:v>0.6278417894469955</x:v>
      </x:c>
      <x:c r="K1010" s="60" t="n">
        <x:v>1325.76</x:v>
      </x:c>
      <x:c r="L1010" s="60" t="n">
        <x:v>94.12</x:v>
      </x:c>
      <x:c r="M1010" s="50" t="n">
        <x:v>20</x:v>
      </x:c>
      <x:c r="N1010" s="50" t="n">
        <x:v>11</x:v>
      </x:c>
      <x:c r="O1010" s="50" t="n">
        <x:v>39</x:v>
      </x:c>
      <x:c r="P1010" s="50" t="n">
        <x:v>12</x:v>
      </x:c>
    </x:row>
    <x:row r="1011" ht="36" customHeight="1">
      <x:c r="A1011" s="53" t="n">
        <x:v>992</x:v>
      </x:c>
      <x:c r="B1011" s="53" t="n">
        <x:v>3</x:v>
      </x:c>
      <x:c r="C1011" s="40" t="str">
        <x:v>Low-Value Low-Engagement Shoppers</x:v>
      </x:c>
      <x:c r="D1011" s="60" t="n">
        <x:v>823.35</x:v>
      </x:c>
      <x:c r="E1011" s="50" t="n">
        <x:v>102</x:v>
      </x:c>
      <x:c r="F1011" s="46" t="n">
        <x:v>6.375</x:v>
      </x:c>
      <x:c r="G1011" s="46" t="n">
        <x:v>0</x:v>
      </x:c>
      <x:c r="H1011" s="61" t="n">
        <x:v>8.072058823529412</x:v>
      </x:c>
      <x:c r="I1011" s="52" t="n">
        <x:v>0.7058823529411764</x:v>
      </x:c>
      <x:c r="J1011" s="52" t="n">
        <x:v>0.3543450537438513</x:v>
      </x:c>
      <x:c r="K1011" s="60" t="n">
        <x:v>672.41</x:v>
      </x:c>
      <x:c r="L1011" s="60" t="n">
        <x:v>150.94</x:v>
      </x:c>
      <x:c r="M1011" s="50" t="n">
        <x:v>72</x:v>
      </x:c>
      <x:c r="N1011" s="50" t="n">
        <x:v>30</x:v>
      </x:c>
      <x:c r="O1011" s="50" t="n">
        <x:v>82</x:v>
      </x:c>
      <x:c r="P1011" s="50" t="n">
        <x:v>16</x:v>
      </x:c>
    </x:row>
    <x:row r="1012" ht="36" customHeight="1">
      <x:c r="A1012" s="53" t="n">
        <x:v>993</x:v>
      </x:c>
      <x:c r="B1012" s="53" t="n">
        <x:v>1</x:v>
      </x:c>
      <x:c r="C1012" s="40" t="str">
        <x:v>High-Value Frequent Shoppers</x:v>
      </x:c>
      <x:c r="D1012" s="60" t="n">
        <x:v>3064.87</x:v>
      </x:c>
      <x:c r="E1012" s="50" t="n">
        <x:v>124</x:v>
      </x:c>
      <x:c r="F1012" s="46" t="n">
        <x:v>5.904761904761905</x:v>
      </x:c>
      <x:c r="G1012" s="46" t="n">
        <x:v>8</x:v>
      </x:c>
      <x:c r="H1012" s="61" t="n">
        <x:v>24.71669354838709</x:v>
      </x:c>
      <x:c r="I1012" s="52" t="n">
        <x:v>0.9274193548387096</x:v>
      </x:c>
      <x:c r="J1012" s="52" t="n">
        <x:v>0.5309099570291725</x:v>
      </x:c>
      <x:c r="K1012" s="60" t="n">
        <x:v>3006.36</x:v>
      </x:c>
      <x:c r="L1012" s="60" t="n">
        <x:v>58.51</x:v>
      </x:c>
      <x:c r="M1012" s="50" t="n">
        <x:v>115</x:v>
      </x:c>
      <x:c r="N1012" s="50" t="n">
        <x:v>9</x:v>
      </x:c>
      <x:c r="O1012" s="50" t="n">
        <x:v>143</x:v>
      </x:c>
      <x:c r="P1012" s="50" t="n">
        <x:v>21</x:v>
      </x:c>
    </x:row>
    <x:row r="1013" ht="36" customHeight="1">
      <x:c r="A1013" s="53" t="n">
        <x:v>994</x:v>
      </x:c>
      <x:c r="B1013" s="53" t="n">
        <x:v>3</x:v>
      </x:c>
      <x:c r="C1013" s="40" t="str">
        <x:v>Low-Value Low-Engagement Shoppers</x:v>
      </x:c>
      <x:c r="D1013" s="60" t="n">
        <x:v>581.45</x:v>
      </x:c>
      <x:c r="E1013" s="50" t="n">
        <x:v>21</x:v>
      </x:c>
      <x:c r="F1013" s="46" t="n">
        <x:v>1.6153846153846154</x:v>
      </x:c>
      <x:c r="G1013" s="46" t="n">
        <x:v>8</x:v>
      </x:c>
      <x:c r="H1013" s="61" t="n">
        <x:v>27.68809523809524</x:v>
      </x:c>
      <x:c r="I1013" s="52" t="n">
        <x:v>0.7619047619047619</x:v>
      </x:c>
      <x:c r="J1013" s="52" t="n">
        <x:v>0.3959583799122882</x:v>
      </x:c>
      <x:c r="K1013" s="60" t="n">
        <x:v>518.36</x:v>
      </x:c>
      <x:c r="L1013" s="60" t="n">
        <x:v>63.09</x:v>
      </x:c>
      <x:c r="M1013" s="50" t="n">
        <x:v>16</x:v>
      </x:c>
      <x:c r="N1013" s="50" t="n">
        <x:v>5</x:v>
      </x:c>
      <x:c r="O1013" s="50" t="n">
        <x:v>75</x:v>
      </x:c>
      <x:c r="P1013" s="50" t="n">
        <x:v>13</x:v>
      </x:c>
    </x:row>
    <x:row r="1014" ht="36" customHeight="1">
      <x:c r="A1014" s="53" t="n">
        <x:v>995</x:v>
      </x:c>
      <x:c r="B1014" s="53" t="n">
        <x:v>2</x:v>
      </x:c>
      <x:c r="C1014" s="40" t="str">
        <x:v>Large-Basket Occasional Shoppers</x:v>
      </x:c>
      <x:c r="D1014" s="60" t="n">
        <x:v>1217.16</x:v>
      </x:c>
      <x:c r="E1014" s="50" t="n">
        <x:v>21</x:v>
      </x:c>
      <x:c r="F1014" s="46" t="n">
        <x:v>1.4</x:v>
      </x:c>
      <x:c r="G1014" s="46" t="n">
        <x:v>8</x:v>
      </x:c>
      <x:c r="H1014" s="61" t="n">
        <x:v>57.96</x:v>
      </x:c>
      <x:c r="I1014" s="52" t="n">
        <x:v>0.7142857142857142</x:v>
      </x:c>
      <x:c r="J1014" s="52" t="n">
        <x:v>0.4305268000920174</x:v>
      </x:c>
      <x:c r="K1014" s="60" t="n">
        <x:v>1118.45</x:v>
      </x:c>
      <x:c r="L1014" s="60" t="n">
        <x:v>98.71</x:v>
      </x:c>
      <x:c r="M1014" s="50" t="n">
        <x:v>15</x:v>
      </x:c>
      <x:c r="N1014" s="50" t="n">
        <x:v>6</x:v>
      </x:c>
      <x:c r="O1014" s="50" t="n">
        <x:v>99</x:v>
      </x:c>
      <x:c r="P1014" s="50" t="n">
        <x:v>15</x:v>
      </x:c>
    </x:row>
    <x:row r="1015" ht="36" customHeight="1">
      <x:c r="A1015" s="53" t="n">
        <x:v>996</x:v>
      </x:c>
      <x:c r="B1015" s="53" t="n">
        <x:v>1</x:v>
      </x:c>
      <x:c r="C1015" s="40" t="str">
        <x:v>High-Value Frequent Shoppers</x:v>
      </x:c>
      <x:c r="D1015" s="60" t="n">
        <x:v>2220.85</x:v>
      </x:c>
      <x:c r="E1015" s="50" t="n">
        <x:v>139</x:v>
      </x:c>
      <x:c r="F1015" s="46" t="n">
        <x:v>5.791666666666666</x:v>
      </x:c>
      <x:c r="G1015" s="46" t="n">
        <x:v>0</x:v>
      </x:c>
      <x:c r="H1015" s="61" t="n">
        <x:v>15.977338129496404</x:v>
      </x:c>
      <x:c r="I1015" s="52" t="n">
        <x:v>0.8345323741007195</x:v>
      </x:c>
      <x:c r="J1015" s="52" t="n">
        <x:v>0.5697908458473107</x:v>
      </x:c>
      <x:c r="K1015" s="60" t="n">
        <x:v>2079.16</x:v>
      </x:c>
      <x:c r="L1015" s="60" t="n">
        <x:v>141.69</x:v>
      </x:c>
      <x:c r="M1015" s="50" t="n">
        <x:v>116</x:v>
      </x:c>
      <x:c r="N1015" s="50" t="n">
        <x:v>23</x:v>
      </x:c>
      <x:c r="O1015" s="50" t="n">
        <x:v>117</x:v>
      </x:c>
      <x:c r="P1015" s="50" t="n">
        <x:v>24</x:v>
      </x:c>
    </x:row>
    <x:row r="1016" ht="36" customHeight="1">
      <x:c r="A1016" s="53" t="n">
        <x:v>997</x:v>
      </x:c>
      <x:c r="B1016" s="53" t="n">
        <x:v>1</x:v>
      </x:c>
      <x:c r="C1016" s="40" t="str">
        <x:v>High-Value Frequent Shoppers</x:v>
      </x:c>
      <x:c r="D1016" s="60" t="n">
        <x:v>4646.81</x:v>
      </x:c>
      <x:c r="E1016" s="50" t="n">
        <x:v>92</x:v>
      </x:c>
      <x:c r="F1016" s="46" t="n">
        <x:v>4.181818181818182</x:v>
      </x:c>
      <x:c r="G1016" s="46" t="n">
        <x:v>0</x:v>
      </x:c>
      <x:c r="H1016" s="61" t="n">
        <x:v>50.508804347826086</x:v>
      </x:c>
      <x:c r="I1016" s="52" t="n">
        <x:v>0.9130434782608696</x:v>
      </x:c>
      <x:c r="J1016" s="52" t="n">
        <x:v>0.3817522128083567</x:v>
      </x:c>
      <x:c r="K1016" s="60" t="n">
        <x:v>4533.66</x:v>
      </x:c>
      <x:c r="L1016" s="60" t="n">
        <x:v>113.15</x:v>
      </x:c>
      <x:c r="M1016" s="50" t="n">
        <x:v>84</x:v>
      </x:c>
      <x:c r="N1016" s="50" t="n">
        <x:v>8</x:v>
      </x:c>
      <x:c r="O1016" s="50" t="n">
        <x:v>150</x:v>
      </x:c>
      <x:c r="P1016" s="50" t="n">
        <x:v>22</x:v>
      </x:c>
    </x:row>
    <x:row r="1017" ht="36" customHeight="1">
      <x:c r="A1017" s="53" t="n">
        <x:v>998</x:v>
      </x:c>
      <x:c r="B1017" s="53" t="n">
        <x:v>1</x:v>
      </x:c>
      <x:c r="C1017" s="40" t="str">
        <x:v>High-Value Frequent Shoppers</x:v>
      </x:c>
      <x:c r="D1017" s="60" t="n">
        <x:v>8305.39</x:v>
      </x:c>
      <x:c r="E1017" s="50" t="n">
        <x:v>250</x:v>
      </x:c>
      <x:c r="F1017" s="46" t="n">
        <x:v>11.904761904761903</x:v>
      </x:c>
      <x:c r="G1017" s="46" t="n">
        <x:v>8</x:v>
      </x:c>
      <x:c r="H1017" s="61" t="n">
        <x:v>33.22156</x:v>
      </x:c>
      <x:c r="I1017" s="52" t="n">
        <x:v>0.82</x:v>
      </x:c>
      <x:c r="J1017" s="52" t="n">
        <x:v>0.5751132698163481</x:v>
      </x:c>
      <x:c r="K1017" s="60" t="n">
        <x:v>7877.17</x:v>
      </x:c>
      <x:c r="L1017" s="60" t="n">
        <x:v>428.22</x:v>
      </x:c>
      <x:c r="M1017" s="50" t="n">
        <x:v>205</x:v>
      </x:c>
      <x:c r="N1017" s="50" t="n">
        <x:v>45</x:v>
      </x:c>
      <x:c r="O1017" s="50" t="n">
        <x:v>169</x:v>
      </x:c>
      <x:c r="P1017" s="50" t="n">
        <x:v>21</x:v>
      </x:c>
    </x:row>
    <x:row r="1018" ht="36" customHeight="1">
      <x:c r="A1018" s="53" t="n">
        <x:v>999</x:v>
      </x:c>
      <x:c r="B1018" s="53" t="n">
        <x:v>2</x:v>
      </x:c>
      <x:c r="C1018" s="40" t="str">
        <x:v>Large-Basket Occasional Shoppers</x:v>
      </x:c>
      <x:c r="D1018" s="60" t="n">
        <x:v>2154.25</x:v>
      </x:c>
      <x:c r="E1018" s="50" t="n">
        <x:v>57</x:v>
      </x:c>
      <x:c r="F1018" s="46" t="n">
        <x:v>3</x:v>
      </x:c>
      <x:c r="G1018" s="46" t="n">
        <x:v>12</x:v>
      </x:c>
      <x:c r="H1018" s="61" t="n">
        <x:v>37.79385964912281</x:v>
      </x:c>
      <x:c r="I1018" s="52" t="n">
        <x:v>0.912280701754386</x:v>
      </x:c>
      <x:c r="J1018" s="52" t="n">
        <x:v>0.4962701636300336</x:v>
      </x:c>
      <x:c r="K1018" s="60" t="n">
        <x:v>2100.15</x:v>
      </x:c>
      <x:c r="L1018" s="60" t="n">
        <x:v>54.1</x:v>
      </x:c>
      <x:c r="M1018" s="50" t="n">
        <x:v>52</x:v>
      </x:c>
      <x:c r="N1018" s="50" t="n">
        <x:v>5</x:v>
      </x:c>
      <x:c r="O1018" s="50" t="n">
        <x:v>130</x:v>
      </x:c>
      <x:c r="P1018" s="50" t="n">
        <x:v>19</x:v>
      </x:c>
    </x:row>
    <x:row r="1019" ht="36" customHeight="1">
      <x:c r="A1019" s="53" t="n">
        <x:v>1000</x:v>
      </x:c>
      <x:c r="B1019" s="53" t="n">
        <x:v>1</x:v>
      </x:c>
      <x:c r="C1019" s="40" t="str">
        <x:v>High-Value Frequent Shoppers</x:v>
      </x:c>
      <x:c r="D1019" s="60" t="n">
        <x:v>4150.76</x:v>
      </x:c>
      <x:c r="E1019" s="50" t="n">
        <x:v>138</x:v>
      </x:c>
      <x:c r="F1019" s="46" t="n">
        <x:v>6.2727272727272725</x:v>
      </x:c>
      <x:c r="G1019" s="46" t="n">
        <x:v>5</x:v>
      </x:c>
      <x:c r="H1019" s="61" t="n">
        <x:v>30.07797101449276</x:v>
      </x:c>
      <x:c r="I1019" s="52" t="n">
        <x:v>0.9565217391304348</x:v>
      </x:c>
      <x:c r="J1019" s="52" t="n">
        <x:v>0.4018155711243242</x:v>
      </x:c>
      <x:c r="K1019" s="60" t="n">
        <x:v>4117.82</x:v>
      </x:c>
      <x:c r="L1019" s="60" t="n">
        <x:v>32.94</x:v>
      </x:c>
      <x:c r="M1019" s="50" t="n">
        <x:v>132</x:v>
      </x:c>
      <x:c r="N1019" s="50" t="n">
        <x:v>6</x:v>
      </x:c>
      <x:c r="O1019" s="50" t="n">
        <x:v>130</x:v>
      </x:c>
      <x:c r="P1019" s="50" t="n">
        <x:v>22</x:v>
      </x:c>
    </x:row>
    <x:row r="1020" ht="36" customHeight="1">
      <x:c r="A1020" s="53" t="n">
        <x:v>1001</x:v>
      </x:c>
      <x:c r="B1020" s="53" t="n">
        <x:v>1</x:v>
      </x:c>
      <x:c r="C1020" s="40" t="str">
        <x:v>High-Value Frequent Shoppers</x:v>
      </x:c>
      <x:c r="D1020" s="60" t="n">
        <x:v>4082</x:v>
      </x:c>
      <x:c r="E1020" s="50" t="n">
        <x:v>90</x:v>
      </x:c>
      <x:c r="F1020" s="46" t="n">
        <x:v>4.5</x:v>
      </x:c>
      <x:c r="G1020" s="46" t="n">
        <x:v>1</x:v>
      </x:c>
      <x:c r="H1020" s="61" t="n">
        <x:v>45.35555555555556</x:v>
      </x:c>
      <x:c r="I1020" s="52" t="n">
        <x:v>0.8888888888888888</x:v>
      </x:c>
      <x:c r="J1020" s="52" t="n">
        <x:v>0.3968985791278784</x:v>
      </x:c>
      <x:c r="K1020" s="60" t="n">
        <x:v>3916.96</x:v>
      </x:c>
      <x:c r="L1020" s="60" t="n">
        <x:v>165.04</x:v>
      </x:c>
      <x:c r="M1020" s="50" t="n">
        <x:v>80</x:v>
      </x:c>
      <x:c r="N1020" s="50" t="n">
        <x:v>10</x:v>
      </x:c>
      <x:c r="O1020" s="50" t="n">
        <x:v>133</x:v>
      </x:c>
      <x:c r="P1020" s="50" t="n">
        <x:v>20</x:v>
      </x:c>
    </x:row>
    <x:row r="1021" ht="36" customHeight="1">
      <x:c r="A1021" s="53" t="n">
        <x:v>1002</x:v>
      </x:c>
      <x:c r="B1021" s="53" t="n">
        <x:v>2</x:v>
      </x:c>
      <x:c r="C1021" s="40" t="str">
        <x:v>Large-Basket Occasional Shoppers</x:v>
      </x:c>
      <x:c r="D1021" s="60" t="n">
        <x:v>973.93</x:v>
      </x:c>
      <x:c r="E1021" s="50" t="n">
        <x:v>30</x:v>
      </x:c>
      <x:c r="F1021" s="46" t="n">
        <x:v>1.6666666666666667</x:v>
      </x:c>
      <x:c r="G1021" s="46" t="n">
        <x:v>0</x:v>
      </x:c>
      <x:c r="H1021" s="61" t="n">
        <x:v>32.46433333333333</x:v>
      </x:c>
      <x:c r="I1021" s="52" t="n">
        <x:v>0.9</x:v>
      </x:c>
      <x:c r="J1021" s="52" t="n">
        <x:v>0.4312732947953138</x:v>
      </x:c>
      <x:c r="K1021" s="60" t="n">
        <x:v>960.58</x:v>
      </x:c>
      <x:c r="L1021" s="60" t="n">
        <x:v>13.35</x:v>
      </x:c>
      <x:c r="M1021" s="50" t="n">
        <x:v>27</x:v>
      </x:c>
      <x:c r="N1021" s="50" t="n">
        <x:v>3</x:v>
      </x:c>
      <x:c r="O1021" s="50" t="n">
        <x:v>114</x:v>
      </x:c>
      <x:c r="P1021" s="50" t="n">
        <x:v>18</x:v>
      </x:c>
    </x:row>
    <x:row r="1022" ht="36" customHeight="1">
      <x:c r="A1022" s="53" t="n">
        <x:v>1003</x:v>
      </x:c>
      <x:c r="B1022" s="53" t="n">
        <x:v>2</x:v>
      </x:c>
      <x:c r="C1022" s="40" t="str">
        <x:v>Large-Basket Occasional Shoppers</x:v>
      </x:c>
      <x:c r="D1022" s="60" t="n">
        <x:v>2588.73</x:v>
      </x:c>
      <x:c r="E1022" s="50" t="n">
        <x:v>63</x:v>
      </x:c>
      <x:c r="F1022" s="46" t="n">
        <x:v>3.15</x:v>
      </x:c>
      <x:c r="G1022" s="46" t="n">
        <x:v>28</x:v>
      </x:c>
      <x:c r="H1022" s="61" t="n">
        <x:v>41.09095238095238</x:v>
      </x:c>
      <x:c r="I1022" s="52" t="n">
        <x:v>0.8095238095238095</x:v>
      </x:c>
      <x:c r="J1022" s="52" t="n">
        <x:v>0.4806990300263063</x:v>
      </x:c>
      <x:c r="K1022" s="60" t="n">
        <x:v>2238.56</x:v>
      </x:c>
      <x:c r="L1022" s="60" t="n">
        <x:v>350.17</x:v>
      </x:c>
      <x:c r="M1022" s="50" t="n">
        <x:v>51</x:v>
      </x:c>
      <x:c r="N1022" s="50" t="n">
        <x:v>12</x:v>
      </x:c>
      <x:c r="O1022" s="50" t="n">
        <x:v>127</x:v>
      </x:c>
      <x:c r="P1022" s="50" t="n">
        <x:v>20</x:v>
      </x:c>
    </x:row>
    <x:row r="1023" ht="36" customHeight="1">
      <x:c r="A1023" s="53" t="n">
        <x:v>1004</x:v>
      </x:c>
      <x:c r="B1023" s="53" t="n">
        <x:v>1</x:v>
      </x:c>
      <x:c r="C1023" s="40" t="str">
        <x:v>High-Value Frequent Shoppers</x:v>
      </x:c>
      <x:c r="D1023" s="60" t="n">
        <x:v>3708.72</x:v>
      </x:c>
      <x:c r="E1023" s="50" t="n">
        <x:v>253</x:v>
      </x:c>
      <x:c r="F1023" s="46" t="n">
        <x:v>11.5</x:v>
      </x:c>
      <x:c r="G1023" s="46" t="n">
        <x:v>2</x:v>
      </x:c>
      <x:c r="H1023" s="61" t="n">
        <x:v>14.65897233201581</x:v>
      </x:c>
      <x:c r="I1023" s="52" t="n">
        <x:v>0.758893280632411</x:v>
      </x:c>
      <x:c r="J1023" s="52" t="n">
        <x:v>0.6045724670506266</x:v>
      </x:c>
      <x:c r="K1023" s="60" t="n">
        <x:v>3241.48</x:v>
      </x:c>
      <x:c r="L1023" s="60" t="n">
        <x:v>467.24</x:v>
      </x:c>
      <x:c r="M1023" s="50" t="n">
        <x:v>192</x:v>
      </x:c>
      <x:c r="N1023" s="50" t="n">
        <x:v>61</x:v>
      </x:c>
      <x:c r="O1023" s="50" t="n">
        <x:v>113</x:v>
      </x:c>
      <x:c r="P1023" s="50" t="n">
        <x:v>22</x:v>
      </x:c>
    </x:row>
    <x:row r="1024" ht="36" customHeight="1">
      <x:c r="A1024" s="53" t="n">
        <x:v>1005</x:v>
      </x:c>
      <x:c r="B1024" s="53" t="n">
        <x:v>1</x:v>
      </x:c>
      <x:c r="C1024" s="40" t="str">
        <x:v>High-Value Frequent Shoppers</x:v>
      </x:c>
      <x:c r="D1024" s="60" t="n">
        <x:v>2470.09</x:v>
      </x:c>
      <x:c r="E1024" s="50" t="n">
        <x:v>179</x:v>
      </x:c>
      <x:c r="F1024" s="46" t="n">
        <x:v>8.523809523809524</x:v>
      </x:c>
      <x:c r="G1024" s="46" t="n">
        <x:v>0</x:v>
      </x:c>
      <x:c r="H1024" s="61" t="n">
        <x:v>13.799385474860337</x:v>
      </x:c>
      <x:c r="I1024" s="52" t="n">
        <x:v>0.888268156424581</x:v>
      </x:c>
      <x:c r="J1024" s="52" t="n">
        <x:v>0.5276730807379488</x:v>
      </x:c>
      <x:c r="K1024" s="60" t="n">
        <x:v>2342.04</x:v>
      </x:c>
      <x:c r="L1024" s="60" t="n">
        <x:v>128.05</x:v>
      </x:c>
      <x:c r="M1024" s="50" t="n">
        <x:v>159</x:v>
      </x:c>
      <x:c r="N1024" s="50" t="n">
        <x:v>20</x:v>
      </x:c>
      <x:c r="O1024" s="50" t="n">
        <x:v>98</x:v>
      </x:c>
      <x:c r="P1024" s="50" t="n">
        <x:v>21</x:v>
      </x:c>
    </x:row>
    <x:row r="1025" ht="36" customHeight="1">
      <x:c r="A1025" s="53" t="n">
        <x:v>1006</x:v>
      </x:c>
      <x:c r="B1025" s="53" t="n">
        <x:v>3</x:v>
      </x:c>
      <x:c r="C1025" s="40" t="str">
        <x:v>Low-Value Low-Engagement Shoppers</x:v>
      </x:c>
      <x:c r="D1025" s="60" t="n">
        <x:v>161.48</x:v>
      </x:c>
      <x:c r="E1025" s="50" t="n">
        <x:v>11</x:v>
      </x:c>
      <x:c r="F1025" s="46" t="n">
        <x:v>1.222222222222222</x:v>
      </x:c>
      <x:c r="G1025" s="46" t="n">
        <x:v>49</x:v>
      </x:c>
      <x:c r="H1025" s="61" t="n">
        <x:v>14.68</x:v>
      </x:c>
      <x:c r="I1025" s="52" t="n">
        <x:v>0.8181818181818181</x:v>
      </x:c>
      <x:c r="J1025" s="52" t="n">
        <x:v>0.7451077532821402</x:v>
      </x:c>
      <x:c r="K1025" s="60" t="n">
        <x:v>149.87</x:v>
      </x:c>
      <x:c r="L1025" s="60" t="n">
        <x:v>11.61</x:v>
      </x:c>
      <x:c r="M1025" s="50" t="n">
        <x:v>9</x:v>
      </x:c>
      <x:c r="N1025" s="50" t="n">
        <x:v>2</x:v>
      </x:c>
      <x:c r="O1025" s="50" t="n">
        <x:v>28</x:v>
      </x:c>
      <x:c r="P1025" s="50" t="n">
        <x:v>9</x:v>
      </x:c>
    </x:row>
    <x:row r="1026" ht="36" customHeight="1">
      <x:c r="A1026" s="53" t="n">
        <x:v>1007</x:v>
      </x:c>
      <x:c r="B1026" s="53" t="n">
        <x:v>1</x:v>
      </x:c>
      <x:c r="C1026" s="40" t="str">
        <x:v>High-Value Frequent Shoppers</x:v>
      </x:c>
      <x:c r="D1026" s="60" t="n">
        <x:v>1368.97</x:v>
      </x:c>
      <x:c r="E1026" s="50" t="n">
        <x:v>122</x:v>
      </x:c>
      <x:c r="F1026" s="46" t="n">
        <x:v>5.545454545454546</x:v>
      </x:c>
      <x:c r="G1026" s="46" t="n">
        <x:v>2</x:v>
      </x:c>
      <x:c r="H1026" s="61" t="n">
        <x:v>11.221065573770492</x:v>
      </x:c>
      <x:c r="I1026" s="52" t="n">
        <x:v>0.8196721311475409</x:v>
      </x:c>
      <x:c r="J1026" s="52" t="n">
        <x:v>0.4785860902722484</x:v>
      </x:c>
      <x:c r="K1026" s="60" t="n">
        <x:v>1112.55</x:v>
      </x:c>
      <x:c r="L1026" s="60" t="n">
        <x:v>256.42</x:v>
      </x:c>
      <x:c r="M1026" s="50" t="n">
        <x:v>100</x:v>
      </x:c>
      <x:c r="N1026" s="50" t="n">
        <x:v>22</x:v>
      </x:c>
      <x:c r="O1026" s="50" t="n">
        <x:v>131</x:v>
      </x:c>
      <x:c r="P1026" s="50" t="n">
        <x:v>22</x:v>
      </x:c>
    </x:row>
    <x:row r="1027" ht="36" customHeight="1">
      <x:c r="A1027" s="53" t="n">
        <x:v>1008</x:v>
      </x:c>
      <x:c r="B1027" s="53" t="n">
        <x:v>3</x:v>
      </x:c>
      <x:c r="C1027" s="40" t="str">
        <x:v>Low-Value Low-Engagement Shoppers</x:v>
      </x:c>
      <x:c r="D1027" s="60" t="n">
        <x:v>511.12</x:v>
      </x:c>
      <x:c r="E1027" s="50" t="n">
        <x:v>40</x:v>
      </x:c>
      <x:c r="F1027" s="46" t="n">
        <x:v>2.352941176470588</x:v>
      </x:c>
      <x:c r="G1027" s="46" t="n">
        <x:v>21</x:v>
      </x:c>
      <x:c r="H1027" s="61" t="n">
        <x:v>12.778</x:v>
      </x:c>
      <x:c r="I1027" s="52" t="n">
        <x:v>0.775</x:v>
      </x:c>
      <x:c r="J1027" s="52" t="n">
        <x:v>0.6790186257630302</x:v>
      </x:c>
      <x:c r="K1027" s="60" t="n">
        <x:v>438.28</x:v>
      </x:c>
      <x:c r="L1027" s="60" t="n">
        <x:v>72.84</x:v>
      </x:c>
      <x:c r="M1027" s="50" t="n">
        <x:v>31</x:v>
      </x:c>
      <x:c r="N1027" s="50" t="n">
        <x:v>9</x:v>
      </x:c>
      <x:c r="O1027" s="50" t="n">
        <x:v>45</x:v>
      </x:c>
      <x:c r="P1027" s="50" t="n">
        <x:v>17</x:v>
      </x:c>
    </x:row>
    <x:row r="1028" ht="36" customHeight="1">
      <x:c r="A1028" s="53" t="n">
        <x:v>1009</x:v>
      </x:c>
      <x:c r="B1028" s="53" t="n">
        <x:v>3</x:v>
      </x:c>
      <x:c r="C1028" s="40" t="str">
        <x:v>Low-Value Low-Engagement Shoppers</x:v>
      </x:c>
      <x:c r="D1028" s="60" t="n">
        <x:v>125.52</x:v>
      </x:c>
      <x:c r="E1028" s="50" t="n">
        <x:v>23</x:v>
      </x:c>
      <x:c r="F1028" s="46" t="n">
        <x:v>1.5333333333333332</x:v>
      </x:c>
      <x:c r="G1028" s="46" t="n">
        <x:v>125</x:v>
      </x:c>
      <x:c r="H1028" s="61" t="n">
        <x:v>5.4573913043478255</x:v>
      </x:c>
      <x:c r="I1028" s="52" t="n">
        <x:v>0.5652173913043478</x:v>
      </x:c>
      <x:c r="J1028" s="52" t="n">
        <x:v>0.2620299553855959</x:v>
      </x:c>
      <x:c r="K1028" s="60" t="n">
        <x:v>78.22</x:v>
      </x:c>
      <x:c r="L1028" s="60" t="n">
        <x:v>47.3</x:v>
      </x:c>
      <x:c r="M1028" s="50" t="n">
        <x:v>13</x:v>
      </x:c>
      <x:c r="N1028" s="50" t="n">
        <x:v>10</x:v>
      </x:c>
      <x:c r="O1028" s="50" t="n">
        <x:v>25</x:v>
      </x:c>
      <x:c r="P1028" s="50" t="n">
        <x:v>15</x:v>
      </x:c>
    </x:row>
    <x:row r="1029" ht="36" customHeight="1">
      <x:c r="A1029" s="53" t="n">
        <x:v>1010</x:v>
      </x:c>
      <x:c r="B1029" s="53" t="n">
        <x:v>1</x:v>
      </x:c>
      <x:c r="C1029" s="40" t="str">
        <x:v>High-Value Frequent Shoppers</x:v>
      </x:c>
      <x:c r="D1029" s="60" t="n">
        <x:v>2486.39</x:v>
      </x:c>
      <x:c r="E1029" s="50" t="n">
        <x:v>91</x:v>
      </x:c>
      <x:c r="F1029" s="46" t="n">
        <x:v>4.136363636363637</x:v>
      </x:c>
      <x:c r="G1029" s="46" t="n">
        <x:v>1</x:v>
      </x:c>
      <x:c r="H1029" s="61" t="n">
        <x:v>27.32296703296704</x:v>
      </x:c>
      <x:c r="I1029" s="52" t="n">
        <x:v>0.7802197802197802</x:v>
      </x:c>
      <x:c r="J1029" s="52" t="n">
        <x:v>0.5554398143493176</x:v>
      </x:c>
      <x:c r="K1029" s="60" t="n">
        <x:v>2239.47</x:v>
      </x:c>
      <x:c r="L1029" s="60" t="n">
        <x:v>246.92</x:v>
      </x:c>
      <x:c r="M1029" s="50" t="n">
        <x:v>71</x:v>
      </x:c>
      <x:c r="N1029" s="50" t="n">
        <x:v>20</x:v>
      </x:c>
      <x:c r="O1029" s="50" t="n">
        <x:v>109</x:v>
      </x:c>
      <x:c r="P1029" s="50" t="n">
        <x:v>22</x:v>
      </x:c>
    </x:row>
    <x:row r="1030" ht="36" customHeight="1">
      <x:c r="A1030" s="53" t="n">
        <x:v>1011</x:v>
      </x:c>
      <x:c r="B1030" s="53" t="n">
        <x:v>1</x:v>
      </x:c>
      <x:c r="C1030" s="40" t="str">
        <x:v>High-Value Frequent Shoppers</x:v>
      </x:c>
      <x:c r="D1030" s="60" t="n">
        <x:v>3495.2</x:v>
      </x:c>
      <x:c r="E1030" s="50" t="n">
        <x:v>140</x:v>
      </x:c>
      <x:c r="F1030" s="46" t="n">
        <x:v>6.08695652173913</x:v>
      </x:c>
      <x:c r="G1030" s="46" t="n">
        <x:v>7</x:v>
      </x:c>
      <x:c r="H1030" s="61" t="n">
        <x:v>24.965714285714284</x:v>
      </x:c>
      <x:c r="I1030" s="52" t="n">
        <x:v>0.8285714285714285</x:v>
      </x:c>
      <x:c r="J1030" s="52" t="n">
        <x:v>0.4418001831082627</x:v>
      </x:c>
      <x:c r="K1030" s="60" t="n">
        <x:v>3285.66</x:v>
      </x:c>
      <x:c r="L1030" s="60" t="n">
        <x:v>209.54</x:v>
      </x:c>
      <x:c r="M1030" s="50" t="n">
        <x:v>116</x:v>
      </x:c>
      <x:c r="N1030" s="50" t="n">
        <x:v>24</x:v>
      </x:c>
      <x:c r="O1030" s="50" t="n">
        <x:v>144</x:v>
      </x:c>
      <x:c r="P1030" s="50" t="n">
        <x:v>23</x:v>
      </x:c>
    </x:row>
    <x:row r="1031" ht="36" customHeight="1">
      <x:c r="A1031" s="53" t="n">
        <x:v>1012</x:v>
      </x:c>
      <x:c r="B1031" s="53" t="n">
        <x:v>1</x:v>
      </x:c>
      <x:c r="C1031" s="40" t="str">
        <x:v>High-Value Frequent Shoppers</x:v>
      </x:c>
      <x:c r="D1031" s="60" t="n">
        <x:v>2342.51</x:v>
      </x:c>
      <x:c r="E1031" s="50" t="n">
        <x:v>120</x:v>
      </x:c>
      <x:c r="F1031" s="46" t="n">
        <x:v>5.7142857142857135</x:v>
      </x:c>
      <x:c r="G1031" s="46" t="n">
        <x:v>38</x:v>
      </x:c>
      <x:c r="H1031" s="61" t="n">
        <x:v>19.520916666666665</x:v>
      </x:c>
      <x:c r="I1031" s="52" t="n">
        <x:v>0.7166666666666666</x:v>
      </x:c>
      <x:c r="J1031" s="52" t="n">
        <x:v>0.5393146667463532</x:v>
      </x:c>
      <x:c r="K1031" s="60" t="n">
        <x:v>2100.4</x:v>
      </x:c>
      <x:c r="L1031" s="60" t="n">
        <x:v>242.11</x:v>
      </x:c>
      <x:c r="M1031" s="50" t="n">
        <x:v>86</x:v>
      </x:c>
      <x:c r="N1031" s="50" t="n">
        <x:v>34</x:v>
      </x:c>
      <x:c r="O1031" s="50" t="n">
        <x:v>158</x:v>
      </x:c>
      <x:c r="P1031" s="50" t="n">
        <x:v>21</x:v>
      </x:c>
    </x:row>
    <x:row r="1032" ht="36" customHeight="1">
      <x:c r="A1032" s="53" t="n">
        <x:v>1013</x:v>
      </x:c>
      <x:c r="B1032" s="53" t="n">
        <x:v>2</x:v>
      </x:c>
      <x:c r="C1032" s="40" t="str">
        <x:v>Large-Basket Occasional Shoppers</x:v>
      </x:c>
      <x:c r="D1032" s="60" t="n">
        <x:v>947.03</x:v>
      </x:c>
      <x:c r="E1032" s="50" t="n">
        <x:v>35</x:v>
      </x:c>
      <x:c r="F1032" s="46" t="n">
        <x:v>2.1875</x:v>
      </x:c>
      <x:c r="G1032" s="46" t="n">
        <x:v>6</x:v>
      </x:c>
      <x:c r="H1032" s="61" t="n">
        <x:v>27.058</x:v>
      </x:c>
      <x:c r="I1032" s="52" t="n">
        <x:v>0.8</x:v>
      </x:c>
      <x:c r="J1032" s="52" t="n">
        <x:v>0.5212612060863964</x:v>
      </x:c>
      <x:c r="K1032" s="60" t="n">
        <x:v>879.86</x:v>
      </x:c>
      <x:c r="L1032" s="60" t="n">
        <x:v>67.17</x:v>
      </x:c>
      <x:c r="M1032" s="50" t="n">
        <x:v>28</x:v>
      </x:c>
      <x:c r="N1032" s="50" t="n">
        <x:v>7</x:v>
      </x:c>
      <x:c r="O1032" s="50" t="n">
        <x:v>93</x:v>
      </x:c>
      <x:c r="P1032" s="50" t="n">
        <x:v>16</x:v>
      </x:c>
    </x:row>
    <x:row r="1033" ht="36" customHeight="1">
      <x:c r="A1033" s="53" t="n">
        <x:v>1014</x:v>
      </x:c>
      <x:c r="B1033" s="53" t="n">
        <x:v>1</x:v>
      </x:c>
      <x:c r="C1033" s="40" t="str">
        <x:v>High-Value Frequent Shoppers</x:v>
      </x:c>
      <x:c r="D1033" s="60" t="n">
        <x:v>4199.76</x:v>
      </x:c>
      <x:c r="E1033" s="50" t="n">
        <x:v>161</x:v>
      </x:c>
      <x:c r="F1033" s="46" t="n">
        <x:v>7.3181818181818175</x:v>
      </x:c>
      <x:c r="G1033" s="46" t="n">
        <x:v>8</x:v>
      </x:c>
      <x:c r="H1033" s="61" t="n">
        <x:v>26.08546583850932</x:v>
      </x:c>
      <x:c r="I1033" s="52" t="n">
        <x:v>0.8260869565217391</x:v>
      </x:c>
      <x:c r="J1033" s="52" t="n">
        <x:v>0.4109020515458026</x:v>
      </x:c>
      <x:c r="K1033" s="60" t="n">
        <x:v>3971.83</x:v>
      </x:c>
      <x:c r="L1033" s="60" t="n">
        <x:v>227.93</x:v>
      </x:c>
      <x:c r="M1033" s="50" t="n">
        <x:v>133</x:v>
      </x:c>
      <x:c r="N1033" s="50" t="n">
        <x:v>28</x:v>
      </x:c>
      <x:c r="O1033" s="50" t="n">
        <x:v>183</x:v>
      </x:c>
      <x:c r="P1033" s="50" t="n">
        <x:v>22</x:v>
      </x:c>
    </x:row>
    <x:row r="1034" ht="36" customHeight="1">
      <x:c r="A1034" s="53" t="n">
        <x:v>1015</x:v>
      </x:c>
      <x:c r="B1034" s="53" t="n">
        <x:v>1</x:v>
      </x:c>
      <x:c r="C1034" s="40" t="str">
        <x:v>High-Value Frequent Shoppers</x:v>
      </x:c>
      <x:c r="D1034" s="60" t="n">
        <x:v>3807.72</x:v>
      </x:c>
      <x:c r="E1034" s="50" t="n">
        <x:v>108</x:v>
      </x:c>
      <x:c r="F1034" s="46" t="n">
        <x:v>4.695652173913044</x:v>
      </x:c>
      <x:c r="G1034" s="46" t="n">
        <x:v>1</x:v>
      </x:c>
      <x:c r="H1034" s="61" t="n">
        <x:v>35.25666666666666</x:v>
      </x:c>
      <x:c r="I1034" s="52" t="n">
        <x:v>0.9537037037037036</x:v>
      </x:c>
      <x:c r="J1034" s="52" t="n">
        <x:v>0.4805526666876766</x:v>
      </x:c>
      <x:c r="K1034" s="60" t="n">
        <x:v>3777.19</x:v>
      </x:c>
      <x:c r="L1034" s="60" t="n">
        <x:v>30.53</x:v>
      </x:c>
      <x:c r="M1034" s="50" t="n">
        <x:v>103</x:v>
      </x:c>
      <x:c r="N1034" s="50" t="n">
        <x:v>5</x:v>
      </x:c>
      <x:c r="O1034" s="50" t="n">
        <x:v>114</x:v>
      </x:c>
      <x:c r="P1034" s="50" t="n">
        <x:v>23</x:v>
      </x:c>
    </x:row>
    <x:row r="1035" ht="36" customHeight="1">
      <x:c r="A1035" s="53" t="n">
        <x:v>1016</x:v>
      </x:c>
      <x:c r="B1035" s="53" t="n">
        <x:v>2</x:v>
      </x:c>
      <x:c r="C1035" s="40" t="str">
        <x:v>Large-Basket Occasional Shoppers</x:v>
      </x:c>
      <x:c r="D1035" s="60" t="n">
        <x:v>3089.84</x:v>
      </x:c>
      <x:c r="E1035" s="50" t="n">
        <x:v>40</x:v>
      </x:c>
      <x:c r="F1035" s="46" t="n">
        <x:v>2.8571428571428568</x:v>
      </x:c>
      <x:c r="G1035" s="46" t="n">
        <x:v>57</x:v>
      </x:c>
      <x:c r="H1035" s="61" t="n">
        <x:v>77.246</x:v>
      </x:c>
      <x:c r="I1035" s="52" t="n">
        <x:v>0.85</x:v>
      </x:c>
      <x:c r="J1035" s="52" t="n">
        <x:v>0.387515211143619</x:v>
      </x:c>
      <x:c r="K1035" s="60" t="n">
        <x:v>3023.38</x:v>
      </x:c>
      <x:c r="L1035" s="60" t="n">
        <x:v>66.46</x:v>
      </x:c>
      <x:c r="M1035" s="50" t="n">
        <x:v>34</x:v>
      </x:c>
      <x:c r="N1035" s="50" t="n">
        <x:v>6</x:v>
      </x:c>
      <x:c r="O1035" s="50" t="n">
        <x:v>155</x:v>
      </x:c>
      <x:c r="P1035" s="50" t="n">
        <x:v>14</x:v>
      </x:c>
    </x:row>
    <x:row r="1036" ht="36" customHeight="1">
      <x:c r="A1036" s="53" t="n">
        <x:v>1017</x:v>
      </x:c>
      <x:c r="B1036" s="53" t="n">
        <x:v>2</x:v>
      </x:c>
      <x:c r="C1036" s="40" t="str">
        <x:v>Large-Basket Occasional Shoppers</x:v>
      </x:c>
      <x:c r="D1036" s="60" t="n">
        <x:v>3436.26</x:v>
      </x:c>
      <x:c r="E1036" s="50" t="n">
        <x:v>62</x:v>
      </x:c>
      <x:c r="F1036" s="46" t="n">
        <x:v>2.6956521739130435</x:v>
      </x:c>
      <x:c r="G1036" s="46" t="n">
        <x:v>10</x:v>
      </x:c>
      <x:c r="H1036" s="61" t="n">
        <x:v>55.423548387096766</x:v>
      </x:c>
      <x:c r="I1036" s="52" t="n">
        <x:v>0.9677419354838708</x:v>
      </x:c>
      <x:c r="J1036" s="52" t="n">
        <x:v>0.463806580410097</x:v>
      </x:c>
      <x:c r="K1036" s="60" t="n">
        <x:v>3415.87</x:v>
      </x:c>
      <x:c r="L1036" s="60" t="n">
        <x:v>20.39</x:v>
      </x:c>
      <x:c r="M1036" s="50" t="n">
        <x:v>60</x:v>
      </x:c>
      <x:c r="N1036" s="50" t="n">
        <x:v>2</x:v>
      </x:c>
      <x:c r="O1036" s="50" t="n">
        <x:v>146</x:v>
      </x:c>
      <x:c r="P1036" s="50" t="n">
        <x:v>23</x:v>
      </x:c>
    </x:row>
    <x:row r="1037" ht="36" customHeight="1">
      <x:c r="A1037" s="53" t="n">
        <x:v>1018</x:v>
      </x:c>
      <x:c r="B1037" s="53" t="n">
        <x:v>1</x:v>
      </x:c>
      <x:c r="C1037" s="40" t="str">
        <x:v>High-Value Frequent Shoppers</x:v>
      </x:c>
      <x:c r="D1037" s="60" t="n">
        <x:v>2138.59</x:v>
      </x:c>
      <x:c r="E1037" s="50" t="n">
        <x:v>167</x:v>
      </x:c>
      <x:c r="F1037" s="46" t="n">
        <x:v>7.260869565217391</x:v>
      </x:c>
      <x:c r="G1037" s="46" t="n">
        <x:v>4</x:v>
      </x:c>
      <x:c r="H1037" s="61" t="n">
        <x:v>12.805928143712574</x:v>
      </x:c>
      <x:c r="I1037" s="52" t="n">
        <x:v>0.6946107784431137</x:v>
      </x:c>
      <x:c r="J1037" s="52" t="n">
        <x:v>0.4537241827559279</x:v>
      </x:c>
      <x:c r="K1037" s="60" t="n">
        <x:v>1846.22</x:v>
      </x:c>
      <x:c r="L1037" s="60" t="n">
        <x:v>292.37</x:v>
      </x:c>
      <x:c r="M1037" s="50" t="n">
        <x:v>116</x:v>
      </x:c>
      <x:c r="N1037" s="50" t="n">
        <x:v>51</x:v>
      </x:c>
      <x:c r="O1037" s="50" t="n">
        <x:v>117</x:v>
      </x:c>
      <x:c r="P1037" s="50" t="n">
        <x:v>23</x:v>
      </x:c>
    </x:row>
    <x:row r="1038" ht="36" customHeight="1">
      <x:c r="A1038" s="53" t="n">
        <x:v>1019</x:v>
      </x:c>
      <x:c r="B1038" s="53" t="n">
        <x:v>2</x:v>
      </x:c>
      <x:c r="C1038" s="40" t="str">
        <x:v>Large-Basket Occasional Shoppers</x:v>
      </x:c>
      <x:c r="D1038" s="60" t="n">
        <x:v>1553.56</x:v>
      </x:c>
      <x:c r="E1038" s="50" t="n">
        <x:v>53</x:v>
      </x:c>
      <x:c r="F1038" s="46" t="n">
        <x:v>2.523809523809524</x:v>
      </x:c>
      <x:c r="G1038" s="46" t="n">
        <x:v>8</x:v>
      </x:c>
      <x:c r="H1038" s="61" t="n">
        <x:v>29.31245283018868</x:v>
      </x:c>
      <x:c r="I1038" s="52" t="n">
        <x:v>0.7735849056603773</x:v>
      </x:c>
      <x:c r="J1038" s="52" t="n">
        <x:v>0.4003063930585236</x:v>
      </x:c>
      <x:c r="K1038" s="60" t="n">
        <x:v>1353.55</x:v>
      </x:c>
      <x:c r="L1038" s="60" t="n">
        <x:v>200.01</x:v>
      </x:c>
      <x:c r="M1038" s="50" t="n">
        <x:v>41</x:v>
      </x:c>
      <x:c r="N1038" s="50" t="n">
        <x:v>12</x:v>
      </x:c>
      <x:c r="O1038" s="50" t="n">
        <x:v>109</x:v>
      </x:c>
      <x:c r="P1038" s="50" t="n">
        <x:v>21</x:v>
      </x:c>
    </x:row>
    <x:row r="1039" ht="36" customHeight="1">
      <x:c r="A1039" s="53" t="n">
        <x:v>1020</x:v>
      </x:c>
      <x:c r="B1039" s="53" t="n">
        <x:v>1</x:v>
      </x:c>
      <x:c r="C1039" s="40" t="str">
        <x:v>High-Value Frequent Shoppers</x:v>
      </x:c>
      <x:c r="D1039" s="60" t="n">
        <x:v>9561.46</x:v>
      </x:c>
      <x:c r="E1039" s="50" t="n">
        <x:v>171</x:v>
      </x:c>
      <x:c r="F1039" s="46" t="n">
        <x:v>7.772727272727272</x:v>
      </x:c>
      <x:c r="G1039" s="46" t="n">
        <x:v>0</x:v>
      </x:c>
      <x:c r="H1039" s="61" t="n">
        <x:v>55.91497076023392</x:v>
      </x:c>
      <x:c r="I1039" s="52" t="n">
        <x:v>0.8304093567251462</x:v>
      </x:c>
      <x:c r="J1039" s="52" t="n">
        <x:v>0.4481480861709404</x:v>
      </x:c>
      <x:c r="K1039" s="60" t="n">
        <x:v>9242.09</x:v>
      </x:c>
      <x:c r="L1039" s="60" t="n">
        <x:v>319.37</x:v>
      </x:c>
      <x:c r="M1039" s="50" t="n">
        <x:v>142</x:v>
      </x:c>
      <x:c r="N1039" s="50" t="n">
        <x:v>29</x:v>
      </x:c>
      <x:c r="O1039" s="50" t="n">
        <x:v>190</x:v>
      </x:c>
      <x:c r="P1039" s="50" t="n">
        <x:v>22</x:v>
      </x:c>
    </x:row>
    <x:row r="1040" ht="36" customHeight="1">
      <x:c r="A1040" s="53" t="n">
        <x:v>1021</x:v>
      </x:c>
      <x:c r="B1040" s="53" t="n">
        <x:v>3</x:v>
      </x:c>
      <x:c r="C1040" s="40" t="str">
        <x:v>Low-Value Low-Engagement Shoppers</x:v>
      </x:c>
      <x:c r="D1040" s="60" t="n">
        <x:v>2086.12</x:v>
      </x:c>
      <x:c r="E1040" s="50" t="n">
        <x:v>99</x:v>
      </x:c>
      <x:c r="F1040" s="46" t="n">
        <x:v>4.7142857142857135</x:v>
      </x:c>
      <x:c r="G1040" s="46" t="n">
        <x:v>3</x:v>
      </x:c>
      <x:c r="H1040" s="61" t="n">
        <x:v>21.071919191919196</x:v>
      </x:c>
      <x:c r="I1040" s="52" t="n">
        <x:v>0.606060606060606</x:v>
      </x:c>
      <x:c r="J1040" s="52" t="n">
        <x:v>0.3740149176461565</x:v>
      </x:c>
      <x:c r="K1040" s="60" t="n">
        <x:v>1816.03</x:v>
      </x:c>
      <x:c r="L1040" s="60" t="n">
        <x:v>270.09</x:v>
      </x:c>
      <x:c r="M1040" s="50" t="n">
        <x:v>60</x:v>
      </x:c>
      <x:c r="N1040" s="50" t="n">
        <x:v>39</x:v>
      </x:c>
      <x:c r="O1040" s="50" t="n">
        <x:v>127</x:v>
      </x:c>
      <x:c r="P1040" s="50" t="n">
        <x:v>21</x:v>
      </x:c>
    </x:row>
    <x:row r="1041" ht="36" customHeight="1">
      <x:c r="A1041" s="53" t="n">
        <x:v>1022</x:v>
      </x:c>
      <x:c r="B1041" s="53" t="n">
        <x:v>3</x:v>
      </x:c>
      <x:c r="C1041" s="40" t="str">
        <x:v>Low-Value Low-Engagement Shoppers</x:v>
      </x:c>
      <x:c r="D1041" s="60" t="n">
        <x:v>263.27</x:v>
      </x:c>
      <x:c r="E1041" s="50" t="n">
        <x:v>36</x:v>
      </x:c>
      <x:c r="F1041" s="46" t="n">
        <x:v>3</x:v>
      </x:c>
      <x:c r="G1041" s="46" t="n">
        <x:v>130</x:v>
      </x:c>
      <x:c r="H1041" s="61" t="n">
        <x:v>7.313055555555556</x:v>
      </x:c>
      <x:c r="I1041" s="52" t="n">
        <x:v>0.7777777777777777</x:v>
      </x:c>
      <x:c r="J1041" s="52" t="n">
        <x:v>0.4513617199073194</x:v>
      </x:c>
      <x:c r="K1041" s="60" t="n">
        <x:v>230.76</x:v>
      </x:c>
      <x:c r="L1041" s="60" t="n">
        <x:v>32.51</x:v>
      </x:c>
      <x:c r="M1041" s="50" t="n">
        <x:v>28</x:v>
      </x:c>
      <x:c r="N1041" s="50" t="n">
        <x:v>8</x:v>
      </x:c>
      <x:c r="O1041" s="50" t="n">
        <x:v>54</x:v>
      </x:c>
      <x:c r="P1041" s="50" t="n">
        <x:v>12</x:v>
      </x:c>
    </x:row>
    <x:row r="1042" ht="36" customHeight="1">
      <x:c r="A1042" s="53" t="n">
        <x:v>1023</x:v>
      </x:c>
      <x:c r="B1042" s="53" t="n">
        <x:v>1</x:v>
      </x:c>
      <x:c r="C1042" s="40" t="str">
        <x:v>High-Value Frequent Shoppers</x:v>
      </x:c>
      <x:c r="D1042" s="60" t="n">
        <x:v>38319.79</x:v>
      </x:c>
      <x:c r="E1042" s="50" t="n">
        <x:v>603</x:v>
      </x:c>
      <x:c r="F1042" s="46" t="n">
        <x:v>28.714285714285715</x:v>
      </x:c>
      <x:c r="G1042" s="46" t="n">
        <x:v>1</x:v>
      </x:c>
      <x:c r="H1042" s="61" t="n">
        <x:v>63.54857379767828</x:v>
      </x:c>
      <x:c r="I1042" s="52" t="n">
        <x:v>0.8872305140961857</x:v>
      </x:c>
      <x:c r="J1042" s="52" t="n">
        <x:v>0.462802640619899</x:v>
      </x:c>
      <x:c r="K1042" s="60" t="n">
        <x:v>35876.4</x:v>
      </x:c>
      <x:c r="L1042" s="60" t="n">
        <x:v>2443.39</x:v>
      </x:c>
      <x:c r="M1042" s="50" t="n">
        <x:v>535</x:v>
      </x:c>
      <x:c r="N1042" s="50" t="n">
        <x:v>68</x:v>
      </x:c>
      <x:c r="O1042" s="50" t="n">
        <x:v>192</x:v>
      </x:c>
      <x:c r="P1042" s="50" t="n">
        <x:v>21</x:v>
      </x:c>
    </x:row>
    <x:row r="1043" ht="36" customHeight="1">
      <x:c r="A1043" s="53" t="n">
        <x:v>1024</x:v>
      </x:c>
      <x:c r="B1043" s="53" t="n">
        <x:v>1</x:v>
      </x:c>
      <x:c r="C1043" s="40" t="str">
        <x:v>High-Value Frequent Shoppers</x:v>
      </x:c>
      <x:c r="D1043" s="60" t="n">
        <x:v>9448.75</x:v>
      </x:c>
      <x:c r="E1043" s="50" t="n">
        <x:v>144</x:v>
      </x:c>
      <x:c r="F1043" s="46" t="n">
        <x:v>6.545454545454546</x:v>
      </x:c>
      <x:c r="G1043" s="46" t="n">
        <x:v>4</x:v>
      </x:c>
      <x:c r="H1043" s="61" t="n">
        <x:v>65.61631944444444</x:v>
      </x:c>
      <x:c r="I1043" s="52" t="n">
        <x:v>0.8958333333333333</x:v>
      </x:c>
      <x:c r="J1043" s="52" t="n">
        <x:v>0.5277629316047096</x:v>
      </x:c>
      <x:c r="K1043" s="60" t="n">
        <x:v>9303.78</x:v>
      </x:c>
      <x:c r="L1043" s="60" t="n">
        <x:v>144.97</x:v>
      </x:c>
      <x:c r="M1043" s="50" t="n">
        <x:v>129</x:v>
      </x:c>
      <x:c r="N1043" s="50" t="n">
        <x:v>15</x:v>
      </x:c>
      <x:c r="O1043" s="50" t="n">
        <x:v>168</x:v>
      </x:c>
      <x:c r="P1043" s="50" t="n">
        <x:v>22</x:v>
      </x:c>
    </x:row>
    <x:row r="1044" ht="36" customHeight="1">
      <x:c r="A1044" s="53" t="n">
        <x:v>1025</x:v>
      </x:c>
      <x:c r="B1044" s="53" t="n">
        <x:v>2</x:v>
      </x:c>
      <x:c r="C1044" s="40" t="str">
        <x:v>Large-Basket Occasional Shoppers</x:v>
      </x:c>
      <x:c r="D1044" s="60" t="n">
        <x:v>3552.13</x:v>
      </x:c>
      <x:c r="E1044" s="50" t="n">
        <x:v>81</x:v>
      </x:c>
      <x:c r="F1044" s="46" t="n">
        <x:v>3.8571428571428568</x:v>
      </x:c>
      <x:c r="G1044" s="46" t="n">
        <x:v>15</x:v>
      </x:c>
      <x:c r="H1044" s="61" t="n">
        <x:v>43.85345679012346</x:v>
      </x:c>
      <x:c r="I1044" s="52" t="n">
        <x:v>0.8641975308641975</x:v>
      </x:c>
      <x:c r="J1044" s="52" t="n">
        <x:v>0.5258169042236629</x:v>
      </x:c>
      <x:c r="K1044" s="60" t="n">
        <x:v>3462.88</x:v>
      </x:c>
      <x:c r="L1044" s="60" t="n">
        <x:v>89.25</x:v>
      </x:c>
      <x:c r="M1044" s="50" t="n">
        <x:v>70</x:v>
      </x:c>
      <x:c r="N1044" s="50" t="n">
        <x:v>11</x:v>
      </x:c>
      <x:c r="O1044" s="50" t="n">
        <x:v>113</x:v>
      </x:c>
      <x:c r="P1044" s="50" t="n">
        <x:v>21</x:v>
      </x:c>
    </x:row>
    <x:row r="1045" ht="36" customHeight="1">
      <x:c r="A1045" s="53" t="n">
        <x:v>1026</x:v>
      </x:c>
      <x:c r="B1045" s="53" t="n">
        <x:v>3</x:v>
      </x:c>
      <x:c r="C1045" s="40" t="str">
        <x:v>Low-Value Low-Engagement Shoppers</x:v>
      </x:c>
      <x:c r="D1045" s="60" t="n">
        <x:v>412.54</x:v>
      </x:c>
      <x:c r="E1045" s="50" t="n">
        <x:v>26</x:v>
      </x:c>
      <x:c r="F1045" s="46" t="n">
        <x:v>2.6</x:v>
      </x:c>
      <x:c r="G1045" s="46" t="n">
        <x:v>280</x:v>
      </x:c>
      <x:c r="H1045" s="61" t="n">
        <x:v>15.866923076923076</x:v>
      </x:c>
      <x:c r="I1045" s="52" t="n">
        <x:v>0.9615384615384616</x:v>
      </x:c>
      <x:c r="J1045" s="52" t="n">
        <x:v>0.6427497939593736</x:v>
      </x:c>
      <x:c r="K1045" s="60" t="n">
        <x:v>412.04</x:v>
      </x:c>
      <x:c r="L1045" s="60" t="n">
        <x:v>0.5</x:v>
      </x:c>
      <x:c r="M1045" s="50" t="n">
        <x:v>25</x:v>
      </x:c>
      <x:c r="N1045" s="50" t="n">
        <x:v>1</x:v>
      </x:c>
      <x:c r="O1045" s="50" t="n">
        <x:v>47</x:v>
      </x:c>
      <x:c r="P1045" s="50" t="n">
        <x:v>10</x:v>
      </x:c>
    </x:row>
    <x:row r="1046" ht="36" customHeight="1">
      <x:c r="A1046" s="53" t="n">
        <x:v>1027</x:v>
      </x:c>
      <x:c r="B1046" s="53" t="n">
        <x:v>2</x:v>
      </x:c>
      <x:c r="C1046" s="40" t="str">
        <x:v>Large-Basket Occasional Shoppers</x:v>
      </x:c>
      <x:c r="D1046" s="60" t="n">
        <x:v>1064.99</x:v>
      </x:c>
      <x:c r="E1046" s="50" t="n">
        <x:v>40</x:v>
      </x:c>
      <x:c r="F1046" s="46" t="n">
        <x:v>1.9047619047619049</x:v>
      </x:c>
      <x:c r="G1046" s="46" t="n">
        <x:v>1</x:v>
      </x:c>
      <x:c r="H1046" s="61" t="n">
        <x:v>26.62475</x:v>
      </x:c>
      <x:c r="I1046" s="52" t="n">
        <x:v>0.9</x:v>
      </x:c>
      <x:c r="J1046" s="52" t="n">
        <x:v>0.4914600137090489</x:v>
      </x:c>
      <x:c r="K1046" s="60" t="n">
        <x:v>1018.51</x:v>
      </x:c>
      <x:c r="L1046" s="60" t="n">
        <x:v>46.48</x:v>
      </x:c>
      <x:c r="M1046" s="50" t="n">
        <x:v>36</x:v>
      </x:c>
      <x:c r="N1046" s="50" t="n">
        <x:v>4</x:v>
      </x:c>
      <x:c r="O1046" s="50" t="n">
        <x:v>86</x:v>
      </x:c>
      <x:c r="P1046" s="50" t="n">
        <x:v>21</x:v>
      </x:c>
    </x:row>
    <x:row r="1047" ht="36" customHeight="1">
      <x:c r="A1047" s="53" t="n">
        <x:v>1028</x:v>
      </x:c>
      <x:c r="B1047" s="53" t="n">
        <x:v>3</x:v>
      </x:c>
      <x:c r="C1047" s="40" t="str">
        <x:v>Low-Value Low-Engagement Shoppers</x:v>
      </x:c>
      <x:c r="D1047" s="60" t="n">
        <x:v>121.91</x:v>
      </x:c>
      <x:c r="E1047" s="50" t="n">
        <x:v>12</x:v>
      </x:c>
      <x:c r="F1047" s="46" t="n">
        <x:v>1.2</x:v>
      </x:c>
      <x:c r="G1047" s="46" t="n">
        <x:v>153</x:v>
      </x:c>
      <x:c r="H1047" s="61" t="n">
        <x:v>10.159166666666666</x:v>
      </x:c>
      <x:c r="I1047" s="52" t="n">
        <x:v>0.6666666666666666</x:v>
      </x:c>
      <x:c r="J1047" s="52" t="n">
        <x:v>0.2971044212943975</x:v>
      </x:c>
      <x:c r="K1047" s="60" t="n">
        <x:v>94.64</x:v>
      </x:c>
      <x:c r="L1047" s="60" t="n">
        <x:v>27.27</x:v>
      </x:c>
      <x:c r="M1047" s="50" t="n">
        <x:v>8</x:v>
      </x:c>
      <x:c r="N1047" s="50" t="n">
        <x:v>4</x:v>
      </x:c>
      <x:c r="O1047" s="50" t="n">
        <x:v>29</x:v>
      </x:c>
      <x:c r="P1047" s="50" t="n">
        <x:v>10</x:v>
      </x:c>
    </x:row>
    <x:row r="1048" ht="36" customHeight="1">
      <x:c r="A1048" s="53" t="n">
        <x:v>1029</x:v>
      </x:c>
      <x:c r="B1048" s="53" t="n">
        <x:v>1</x:v>
      </x:c>
      <x:c r="C1048" s="40" t="str">
        <x:v>High-Value Frequent Shoppers</x:v>
      </x:c>
      <x:c r="D1048" s="60" t="n">
        <x:v>13785.55</x:v>
      </x:c>
      <x:c r="E1048" s="50" t="n">
        <x:v>276</x:v>
      </x:c>
      <x:c r="F1048" s="46" t="n">
        <x:v>13.142857142857142</x:v>
      </x:c>
      <x:c r="G1048" s="46" t="n">
        <x:v>3</x:v>
      </x:c>
      <x:c r="H1048" s="61" t="n">
        <x:v>49.94764492753623</x:v>
      </x:c>
      <x:c r="I1048" s="52" t="n">
        <x:v>0.9239130434782608</x:v>
      </x:c>
      <x:c r="J1048" s="52" t="n">
        <x:v>0.5387888042189103</x:v>
      </x:c>
      <x:c r="K1048" s="60" t="n">
        <x:v>13528.02</x:v>
      </x:c>
      <x:c r="L1048" s="60" t="n">
        <x:v>257.53</x:v>
      </x:c>
      <x:c r="M1048" s="50" t="n">
        <x:v>255</x:v>
      </x:c>
      <x:c r="N1048" s="50" t="n">
        <x:v>21</x:v>
      </x:c>
      <x:c r="O1048" s="50" t="n">
        <x:v>169</x:v>
      </x:c>
      <x:c r="P1048" s="50" t="n">
        <x:v>21</x:v>
      </x:c>
    </x:row>
    <x:row r="1049" ht="36" customHeight="1">
      <x:c r="A1049" s="53" t="n">
        <x:v>1030</x:v>
      </x:c>
      <x:c r="B1049" s="53" t="n">
        <x:v>2</x:v>
      </x:c>
      <x:c r="C1049" s="40" t="str">
        <x:v>Large-Basket Occasional Shoppers</x:v>
      </x:c>
      <x:c r="D1049" s="60" t="n">
        <x:v>1260.29</x:v>
      </x:c>
      <x:c r="E1049" s="50" t="n">
        <x:v>30</x:v>
      </x:c>
      <x:c r="F1049" s="46" t="n">
        <x:v>1.7647058823529411</x:v>
      </x:c>
      <x:c r="G1049" s="46" t="n">
        <x:v>47</x:v>
      </x:c>
      <x:c r="H1049" s="61" t="n">
        <x:v>42.00966666666666</x:v>
      </x:c>
      <x:c r="I1049" s="52" t="n">
        <x:v>0.9333333333333332</x:v>
      </x:c>
      <x:c r="J1049" s="52" t="n">
        <x:v>0.3274246403605519</x:v>
      </x:c>
      <x:c r="K1049" s="60" t="n">
        <x:v>1236.17</x:v>
      </x:c>
      <x:c r="L1049" s="60" t="n">
        <x:v>24.12</x:v>
      </x:c>
      <x:c r="M1049" s="50" t="n">
        <x:v>28</x:v>
      </x:c>
      <x:c r="N1049" s="50" t="n">
        <x:v>2</x:v>
      </x:c>
      <x:c r="O1049" s="50" t="n">
        <x:v>98</x:v>
      </x:c>
      <x:c r="P1049" s="50" t="n">
        <x:v>17</x:v>
      </x:c>
    </x:row>
    <x:row r="1050" ht="36" customHeight="1">
      <x:c r="A1050" s="53" t="n">
        <x:v>1031</x:v>
      </x:c>
      <x:c r="B1050" s="53" t="n">
        <x:v>1</x:v>
      </x:c>
      <x:c r="C1050" s="40" t="str">
        <x:v>High-Value Frequent Shoppers</x:v>
      </x:c>
      <x:c r="D1050" s="60" t="n">
        <x:v>4232.12</x:v>
      </x:c>
      <x:c r="E1050" s="50" t="n">
        <x:v>146</x:v>
      </x:c>
      <x:c r="F1050" s="46" t="n">
        <x:v>12.166666666666666</x:v>
      </x:c>
      <x:c r="G1050" s="46" t="n">
        <x:v>154</x:v>
      </x:c>
      <x:c r="H1050" s="61" t="n">
        <x:v>28.98712328767123</x:v>
      </x:c>
      <x:c r="I1050" s="52" t="n">
        <x:v>0.910958904109589</x:v>
      </x:c>
      <x:c r="J1050" s="52" t="n">
        <x:v>0.4685807585796243</x:v>
      </x:c>
      <x:c r="K1050" s="60" t="n">
        <x:v>4092.38</x:v>
      </x:c>
      <x:c r="L1050" s="60" t="n">
        <x:v>139.74</x:v>
      </x:c>
      <x:c r="M1050" s="50" t="n">
        <x:v>133</x:v>
      </x:c>
      <x:c r="N1050" s="50" t="n">
        <x:v>13</x:v>
      </x:c>
      <x:c r="O1050" s="50" t="n">
        <x:v>148</x:v>
      </x:c>
      <x:c r="P1050" s="50" t="n">
        <x:v>12</x:v>
      </x:c>
    </x:row>
    <x:row r="1051" ht="36" customHeight="1">
      <x:c r="A1051" s="53" t="n">
        <x:v>1032</x:v>
      </x:c>
      <x:c r="B1051" s="53" t="n">
        <x:v>2</x:v>
      </x:c>
      <x:c r="C1051" s="40" t="str">
        <x:v>Large-Basket Occasional Shoppers</x:v>
      </x:c>
      <x:c r="D1051" s="60" t="n">
        <x:v>2473.76</x:v>
      </x:c>
      <x:c r="E1051" s="50" t="n">
        <x:v>92</x:v>
      </x:c>
      <x:c r="F1051" s="46" t="n">
        <x:v>4.842105263157896</x:v>
      </x:c>
      <x:c r="G1051" s="46" t="n">
        <x:v>55</x:v>
      </x:c>
      <x:c r="H1051" s="61" t="n">
        <x:v>26.888695652173915</x:v>
      </x:c>
      <x:c r="I1051" s="52" t="n">
        <x:v>0.7391304347826086</x:v>
      </x:c>
      <x:c r="J1051" s="52" t="n">
        <x:v>0.3353478106202703</x:v>
      </x:c>
      <x:c r="K1051" s="60" t="n">
        <x:v>2212.11</x:v>
      </x:c>
      <x:c r="L1051" s="60" t="n">
        <x:v>261.65</x:v>
      </x:c>
      <x:c r="M1051" s="50" t="n">
        <x:v>68</x:v>
      </x:c>
      <x:c r="N1051" s="50" t="n">
        <x:v>24</x:v>
      </x:c>
      <x:c r="O1051" s="50" t="n">
        <x:v>134</x:v>
      </x:c>
      <x:c r="P1051" s="50" t="n">
        <x:v>19</x:v>
      </x:c>
    </x:row>
    <x:row r="1052" ht="36" customHeight="1">
      <x:c r="A1052" s="53" t="n">
        <x:v>1033</x:v>
      </x:c>
      <x:c r="B1052" s="53" t="n">
        <x:v>2</x:v>
      </x:c>
      <x:c r="C1052" s="40" t="str">
        <x:v>Large-Basket Occasional Shoppers</x:v>
      </x:c>
      <x:c r="D1052" s="60" t="n">
        <x:v>1366.97</x:v>
      </x:c>
      <x:c r="E1052" s="50" t="n">
        <x:v>26</x:v>
      </x:c>
      <x:c r="F1052" s="46" t="n">
        <x:v>1.8571428571428568</x:v>
      </x:c>
      <x:c r="G1052" s="46" t="n">
        <x:v>71</x:v>
      </x:c>
      <x:c r="H1052" s="61" t="n">
        <x:v>52.57576923076923</x:v>
      </x:c>
      <x:c r="I1052" s="52" t="n">
        <x:v>0.923076923076923</x:v>
      </x:c>
      <x:c r="J1052" s="52" t="n">
        <x:v>0.573611710571556</x:v>
      </x:c>
      <x:c r="K1052" s="60" t="n">
        <x:v>1291.09</x:v>
      </x:c>
      <x:c r="L1052" s="60" t="n">
        <x:v>75.88</x:v>
      </x:c>
      <x:c r="M1052" s="50" t="n">
        <x:v>24</x:v>
      </x:c>
      <x:c r="N1052" s="50" t="n">
        <x:v>2</x:v>
      </x:c>
      <x:c r="O1052" s="50" t="n">
        <x:v>91</x:v>
      </x:c>
      <x:c r="P1052" s="50" t="n">
        <x:v>14</x:v>
      </x:c>
    </x:row>
    <x:row r="1053" ht="36" customHeight="1">
      <x:c r="A1053" s="53" t="n">
        <x:v>1034</x:v>
      </x:c>
      <x:c r="B1053" s="53" t="n">
        <x:v>3</x:v>
      </x:c>
      <x:c r="C1053" s="40" t="str">
        <x:v>Low-Value Low-Engagement Shoppers</x:v>
      </x:c>
      <x:c r="D1053" s="60" t="n">
        <x:v>840.87</x:v>
      </x:c>
      <x:c r="E1053" s="50" t="n">
        <x:v>69</x:v>
      </x:c>
      <x:c r="F1053" s="46" t="n">
        <x:v>4.0588235294117645</x:v>
      </x:c>
      <x:c r="G1053" s="46" t="n">
        <x:v>13</x:v>
      </x:c>
      <x:c r="H1053" s="61" t="n">
        <x:v>12.186521739130434</x:v>
      </x:c>
      <x:c r="I1053" s="52" t="n">
        <x:v>0.7536231884057971</x:v>
      </x:c>
      <x:c r="J1053" s="52" t="n">
        <x:v>0.4494035938967973</x:v>
      </x:c>
      <x:c r="K1053" s="60" t="n">
        <x:v>655.16</x:v>
      </x:c>
      <x:c r="L1053" s="60" t="n">
        <x:v>185.71</x:v>
      </x:c>
      <x:c r="M1053" s="50" t="n">
        <x:v>52</x:v>
      </x:c>
      <x:c r="N1053" s="50" t="n">
        <x:v>17</x:v>
      </x:c>
      <x:c r="O1053" s="50" t="n">
        <x:v>73</x:v>
      </x:c>
      <x:c r="P1053" s="50" t="n">
        <x:v>17</x:v>
      </x:c>
    </x:row>
    <x:row r="1054" ht="36" customHeight="1">
      <x:c r="A1054" s="53" t="n">
        <x:v>1035</x:v>
      </x:c>
      <x:c r="B1054" s="53" t="n">
        <x:v>3</x:v>
      </x:c>
      <x:c r="C1054" s="40" t="str">
        <x:v>Low-Value Low-Engagement Shoppers</x:v>
      </x:c>
      <x:c r="D1054" s="60" t="n">
        <x:v>183.04</x:v>
      </x:c>
      <x:c r="E1054" s="50" t="n">
        <x:v>4</x:v>
      </x:c>
      <x:c r="F1054" s="46" t="n">
        <x:v>1.3333333333333333</x:v>
      </x:c>
      <x:c r="G1054" s="46" t="n">
        <x:v>304</x:v>
      </x:c>
      <x:c r="H1054" s="61" t="n">
        <x:v>45.76</x:v>
      </x:c>
      <x:c r="I1054" s="52" t="n">
        <x:v>0.5</x:v>
      </x:c>
      <x:c r="J1054" s="52" t="n">
        <x:v>0.0896525349650349</x:v>
      </x:c>
      <x:c r="K1054" s="60" t="n">
        <x:v>114.84</x:v>
      </x:c>
      <x:c r="L1054" s="60" t="n">
        <x:v>68.2</x:v>
      </x:c>
      <x:c r="M1054" s="50" t="n">
        <x:v>2</x:v>
      </x:c>
      <x:c r="N1054" s="50" t="n">
        <x:v>2</x:v>
      </x:c>
      <x:c r="O1054" s="50" t="n">
        <x:v>20</x:v>
      </x:c>
      <x:c r="P1054" s="50" t="n">
        <x:v>3</x:v>
      </x:c>
    </x:row>
    <x:row r="1055" ht="36" customHeight="1">
      <x:c r="A1055" s="53" t="n">
        <x:v>1036</x:v>
      </x:c>
      <x:c r="B1055" s="53" t="n">
        <x:v>2</x:v>
      </x:c>
      <x:c r="C1055" s="40" t="str">
        <x:v>Large-Basket Occasional Shoppers</x:v>
      </x:c>
      <x:c r="D1055" s="60" t="n">
        <x:v>1231.17</x:v>
      </x:c>
      <x:c r="E1055" s="50" t="n">
        <x:v>27</x:v>
      </x:c>
      <x:c r="F1055" s="46" t="n">
        <x:v>2.7</x:v>
      </x:c>
      <x:c r="G1055" s="46" t="n">
        <x:v>53</x:v>
      </x:c>
      <x:c r="H1055" s="61" t="n">
        <x:v>45.59888888888889</x:v>
      </x:c>
      <x:c r="I1055" s="52" t="n">
        <x:v>0.8888888888888888</x:v>
      </x:c>
      <x:c r="J1055" s="52" t="n">
        <x:v>0.3757239049034658</x:v>
      </x:c>
      <x:c r="K1055" s="60" t="n">
        <x:v>1220.21</x:v>
      </x:c>
      <x:c r="L1055" s="60" t="n">
        <x:v>10.96</x:v>
      </x:c>
      <x:c r="M1055" s="50" t="n">
        <x:v>24</x:v>
      </x:c>
      <x:c r="N1055" s="50" t="n">
        <x:v>3</x:v>
      </x:c>
      <x:c r="O1055" s="50" t="n">
        <x:v>81</x:v>
      </x:c>
      <x:c r="P1055" s="50" t="n">
        <x:v>10</x:v>
      </x:c>
    </x:row>
    <x:row r="1056" ht="36" customHeight="1">
      <x:c r="A1056" s="53" t="n">
        <x:v>1037</x:v>
      </x:c>
      <x:c r="B1056" s="53" t="n">
        <x:v>3</x:v>
      </x:c>
      <x:c r="C1056" s="40" t="str">
        <x:v>Low-Value Low-Engagement Shoppers</x:v>
      </x:c>
      <x:c r="D1056" s="60" t="n">
        <x:v>1076.69</x:v>
      </x:c>
      <x:c r="E1056" s="50" t="n">
        <x:v>33</x:v>
      </x:c>
      <x:c r="F1056" s="46" t="n">
        <x:v>1.65</x:v>
      </x:c>
      <x:c r="G1056" s="46" t="n">
        <x:v>0</x:v>
      </x:c>
      <x:c r="H1056" s="61" t="n">
        <x:v>32.626969696969695</x:v>
      </x:c>
      <x:c r="I1056" s="52" t="n">
        <x:v>0.606060606060606</x:v>
      </x:c>
      <x:c r="J1056" s="52" t="n">
        <x:v>0.2829412365676285</x:v>
      </x:c>
      <x:c r="K1056" s="60" t="n">
        <x:v>496.8</x:v>
      </x:c>
      <x:c r="L1056" s="60" t="n">
        <x:v>579.89</x:v>
      </x:c>
      <x:c r="M1056" s="50" t="n">
        <x:v>20</x:v>
      </x:c>
      <x:c r="N1056" s="50" t="n">
        <x:v>13</x:v>
      </x:c>
      <x:c r="O1056" s="50" t="n">
        <x:v>48</x:v>
      </x:c>
      <x:c r="P1056" s="50" t="n">
        <x:v>20</x:v>
      </x:c>
    </x:row>
    <x:row r="1057" ht="36" customHeight="1">
      <x:c r="A1057" s="53" t="n">
        <x:v>1038</x:v>
      </x:c>
      <x:c r="B1057" s="53" t="n">
        <x:v>3</x:v>
      </x:c>
      <x:c r="C1057" s="40" t="str">
        <x:v>Low-Value Low-Engagement Shoppers</x:v>
      </x:c>
      <x:c r="D1057" s="60" t="n">
        <x:v>1602</x:v>
      </x:c>
      <x:c r="E1057" s="50" t="n">
        <x:v>273</x:v>
      </x:c>
      <x:c r="F1057" s="46" t="n">
        <x:v>13.65</x:v>
      </x:c>
      <x:c r="G1057" s="46" t="n">
        <x:v>9</x:v>
      </x:c>
      <x:c r="H1057" s="61" t="n">
        <x:v>5.868131868131868</x:v>
      </x:c>
      <x:c r="I1057" s="52" t="n">
        <x:v>0.5384615384615384</x:v>
      </x:c>
      <x:c r="J1057" s="52" t="n">
        <x:v>0.4608177278401997</x:v>
      </x:c>
      <x:c r="K1057" s="60" t="n">
        <x:v>1414.65</x:v>
      </x:c>
      <x:c r="L1057" s="60" t="n">
        <x:v>187.35</x:v>
      </x:c>
      <x:c r="M1057" s="50" t="n">
        <x:v>147</x:v>
      </x:c>
      <x:c r="N1057" s="50" t="n">
        <x:v>126</x:v>
      </x:c>
      <x:c r="O1057" s="50" t="n">
        <x:v>126</x:v>
      </x:c>
      <x:c r="P1057" s="50" t="n">
        <x:v>20</x:v>
      </x:c>
    </x:row>
    <x:row r="1058" ht="36" customHeight="1">
      <x:c r="A1058" s="53" t="n">
        <x:v>1039</x:v>
      </x:c>
      <x:c r="B1058" s="53" t="n">
        <x:v>1</x:v>
      </x:c>
      <x:c r="C1058" s="40" t="str">
        <x:v>High-Value Frequent Shoppers</x:v>
      </x:c>
      <x:c r="D1058" s="60" t="n">
        <x:v>5168.38</x:v>
      </x:c>
      <x:c r="E1058" s="50" t="n">
        <x:v>81</x:v>
      </x:c>
      <x:c r="F1058" s="46" t="n">
        <x:v>3.8571428571428568</x:v>
      </x:c>
      <x:c r="G1058" s="46" t="n">
        <x:v>2</x:v>
      </x:c>
      <x:c r="H1058" s="61" t="n">
        <x:v>63.80716049382716</x:v>
      </x:c>
      <x:c r="I1058" s="52" t="n">
        <x:v>0.9012345679012344</x:v>
      </x:c>
      <x:c r="J1058" s="52" t="n">
        <x:v>0.3998080636485707</x:v>
      </x:c>
      <x:c r="K1058" s="60" t="n">
        <x:v>5073.8</x:v>
      </x:c>
      <x:c r="L1058" s="60" t="n">
        <x:v>94.58</x:v>
      </x:c>
      <x:c r="M1058" s="50" t="n">
        <x:v>73</x:v>
      </x:c>
      <x:c r="N1058" s="50" t="n">
        <x:v>8</x:v>
      </x:c>
      <x:c r="O1058" s="50" t="n">
        <x:v>135</x:v>
      </x:c>
      <x:c r="P1058" s="50" t="n">
        <x:v>21</x:v>
      </x:c>
    </x:row>
    <x:row r="1059" ht="36" customHeight="1">
      <x:c r="A1059" s="53" t="n">
        <x:v>1040</x:v>
      </x:c>
      <x:c r="B1059" s="53" t="n">
        <x:v>1</x:v>
      </x:c>
      <x:c r="C1059" s="40" t="str">
        <x:v>High-Value Frequent Shoppers</x:v>
      </x:c>
      <x:c r="D1059" s="60" t="n">
        <x:v>5664.74</x:v>
      </x:c>
      <x:c r="E1059" s="50" t="n">
        <x:v>229</x:v>
      </x:c>
      <x:c r="F1059" s="46" t="n">
        <x:v>9.956521739130435</x:v>
      </x:c>
      <x:c r="G1059" s="46" t="n">
        <x:v>1</x:v>
      </x:c>
      <x:c r="H1059" s="61" t="n">
        <x:v>24.736855895196506</x:v>
      </x:c>
      <x:c r="I1059" s="52" t="n">
        <x:v>0.8209606986899562</x:v>
      </x:c>
      <x:c r="J1059" s="52" t="n">
        <x:v>0.4309394605930722</x:v>
      </x:c>
      <x:c r="K1059" s="60" t="n">
        <x:v>5167.02</x:v>
      </x:c>
      <x:c r="L1059" s="60" t="n">
        <x:v>497.72</x:v>
      </x:c>
      <x:c r="M1059" s="50" t="n">
        <x:v>188</x:v>
      </x:c>
      <x:c r="N1059" s="50" t="n">
        <x:v>41</x:v>
      </x:c>
      <x:c r="O1059" s="50" t="n">
        <x:v>140</x:v>
      </x:c>
      <x:c r="P1059" s="50" t="n">
        <x:v>23</x:v>
      </x:c>
    </x:row>
    <x:row r="1060" ht="36" customHeight="1">
      <x:c r="A1060" s="53" t="n">
        <x:v>1041</x:v>
      </x:c>
      <x:c r="B1060" s="53" t="n">
        <x:v>1</x:v>
      </x:c>
      <x:c r="C1060" s="40" t="str">
        <x:v>High-Value Frequent Shoppers</x:v>
      </x:c>
      <x:c r="D1060" s="60" t="n">
        <x:v>7156.68</x:v>
      </x:c>
      <x:c r="E1060" s="50" t="n">
        <x:v>290</x:v>
      </x:c>
      <x:c r="F1060" s="46" t="n">
        <x:v>13.18181818181818</x:v>
      </x:c>
      <x:c r="G1060" s="46" t="n">
        <x:v>0</x:v>
      </x:c>
      <x:c r="H1060" s="61" t="n">
        <x:v>24.678206896551725</x:v>
      </x:c>
      <x:c r="I1060" s="52" t="n">
        <x:v>0.7862068965517242</x:v>
      </x:c>
      <x:c r="J1060" s="52" t="n">
        <x:v>0.4222069451198041</x:v>
      </x:c>
      <x:c r="K1060" s="60" t="n">
        <x:v>6776.63</x:v>
      </x:c>
      <x:c r="L1060" s="60" t="n">
        <x:v>380.05</x:v>
      </x:c>
      <x:c r="M1060" s="50" t="n">
        <x:v>228</x:v>
      </x:c>
      <x:c r="N1060" s="50" t="n">
        <x:v>62</x:v>
      </x:c>
      <x:c r="O1060" s="50" t="n">
        <x:v>169</x:v>
      </x:c>
      <x:c r="P1060" s="50" t="n">
        <x:v>22</x:v>
      </x:c>
    </x:row>
    <x:row r="1061" ht="36" customHeight="1">
      <x:c r="A1061" s="53" t="n">
        <x:v>1042</x:v>
      </x:c>
      <x:c r="B1061" s="53" t="n">
        <x:v>1</x:v>
      </x:c>
      <x:c r="C1061" s="40" t="str">
        <x:v>High-Value Frequent Shoppers</x:v>
      </x:c>
      <x:c r="D1061" s="60" t="n">
        <x:v>5284.12</x:v>
      </x:c>
      <x:c r="E1061" s="50" t="n">
        <x:v>248</x:v>
      </x:c>
      <x:c r="F1061" s="46" t="n">
        <x:v>10.782608695652172</x:v>
      </x:c>
      <x:c r="G1061" s="46" t="n">
        <x:v>5</x:v>
      </x:c>
      <x:c r="H1061" s="61" t="n">
        <x:v>21.30693548387097</x:v>
      </x:c>
      <x:c r="I1061" s="52" t="n">
        <x:v>0.9153225806451613</x:v>
      </x:c>
      <x:c r="J1061" s="52" t="n">
        <x:v>0.6182429619312203</x:v>
      </x:c>
      <x:c r="K1061" s="60" t="n">
        <x:v>5123.7</x:v>
      </x:c>
      <x:c r="L1061" s="60" t="n">
        <x:v>160.42</x:v>
      </x:c>
      <x:c r="M1061" s="50" t="n">
        <x:v>227</x:v>
      </x:c>
      <x:c r="N1061" s="50" t="n">
        <x:v>21</x:v>
      </x:c>
      <x:c r="O1061" s="50" t="n">
        <x:v>172</x:v>
      </x:c>
      <x:c r="P1061" s="50" t="n">
        <x:v>23</x:v>
      </x:c>
    </x:row>
    <x:row r="1062" ht="36" customHeight="1">
      <x:c r="A1062" s="53" t="n">
        <x:v>1043</x:v>
      </x:c>
      <x:c r="B1062" s="53" t="n">
        <x:v>2</x:v>
      </x:c>
      <x:c r="C1062" s="40" t="str">
        <x:v>Large-Basket Occasional Shoppers</x:v>
      </x:c>
      <x:c r="D1062" s="60" t="n">
        <x:v>988.73</x:v>
      </x:c>
      <x:c r="E1062" s="50" t="n">
        <x:v>19</x:v>
      </x:c>
      <x:c r="F1062" s="46" t="n">
        <x:v>1.7272727272727273</x:v>
      </x:c>
      <x:c r="G1062" s="46" t="n">
        <x:v>43</x:v>
      </x:c>
      <x:c r="H1062" s="61" t="n">
        <x:v>52.03842105263158</x:v>
      </x:c>
      <x:c r="I1062" s="52" t="n">
        <x:v>0.9473684210526316</x:v>
      </x:c>
      <x:c r="J1062" s="52" t="n">
        <x:v>0.7096578439007615</x:v>
      </x:c>
      <x:c r="K1062" s="60" t="n">
        <x:v>969.24</x:v>
      </x:c>
      <x:c r="L1062" s="60" t="n">
        <x:v>19.49</x:v>
      </x:c>
      <x:c r="M1062" s="50" t="n">
        <x:v>18</x:v>
      </x:c>
      <x:c r="N1062" s="50" t="n">
        <x:v>1</x:v>
      </x:c>
      <x:c r="O1062" s="50" t="n">
        <x:v>74</x:v>
      </x:c>
      <x:c r="P1062" s="50" t="n">
        <x:v>11</x:v>
      </x:c>
    </x:row>
    <x:row r="1063" ht="36" customHeight="1">
      <x:c r="A1063" s="53" t="n">
        <x:v>1044</x:v>
      </x:c>
      <x:c r="B1063" s="53" t="n">
        <x:v>3</x:v>
      </x:c>
      <x:c r="C1063" s="40" t="str">
        <x:v>Low-Value Low-Engagement Shoppers</x:v>
      </x:c>
      <x:c r="D1063" s="60" t="n">
        <x:v>423.51</x:v>
      </x:c>
      <x:c r="E1063" s="50" t="n">
        <x:v>20</x:v>
      </x:c>
      <x:c r="F1063" s="46" t="n">
        <x:v>1.6666666666666667</x:v>
      </x:c>
      <x:c r="G1063" s="46" t="n">
        <x:v>5</x:v>
      </x:c>
      <x:c r="H1063" s="61" t="n">
        <x:v>21.1755</x:v>
      </x:c>
      <x:c r="I1063" s="52" t="n">
        <x:v>0.9</x:v>
      </x:c>
      <x:c r="J1063" s="52" t="n">
        <x:v>0.6317442327217775</x:v>
      </x:c>
      <x:c r="K1063" s="60" t="n">
        <x:v>417.23</x:v>
      </x:c>
      <x:c r="L1063" s="60" t="n">
        <x:v>6.28</x:v>
      </x:c>
      <x:c r="M1063" s="50" t="n">
        <x:v>18</x:v>
      </x:c>
      <x:c r="N1063" s="50" t="n">
        <x:v>2</x:v>
      </x:c>
      <x:c r="O1063" s="50" t="n">
        <x:v>65</x:v>
      </x:c>
      <x:c r="P1063" s="50" t="n">
        <x:v>12</x:v>
      </x:c>
    </x:row>
    <x:row r="1064" ht="36" customHeight="1">
      <x:c r="A1064" s="53" t="n">
        <x:v>1045</x:v>
      </x:c>
      <x:c r="B1064" s="53" t="n">
        <x:v>1</x:v>
      </x:c>
      <x:c r="C1064" s="40" t="str">
        <x:v>High-Value Frequent Shoppers</x:v>
      </x:c>
      <x:c r="D1064" s="60" t="n">
        <x:v>4893.11</x:v>
      </x:c>
      <x:c r="E1064" s="50" t="n">
        <x:v>295</x:v>
      </x:c>
      <x:c r="F1064" s="46" t="n">
        <x:v>13.409090909090908</x:v>
      </x:c>
      <x:c r="G1064" s="46" t="n">
        <x:v>1</x:v>
      </x:c>
      <x:c r="H1064" s="61" t="n">
        <x:v>16.58681355932203</x:v>
      </x:c>
      <x:c r="I1064" s="52" t="n">
        <x:v>0.8338983050847457</x:v>
      </x:c>
      <x:c r="J1064" s="52" t="n">
        <x:v>0.6370610920253172</x:v>
      </x:c>
      <x:c r="K1064" s="60" t="n">
        <x:v>4570.67</x:v>
      </x:c>
      <x:c r="L1064" s="60" t="n">
        <x:v>322.44</x:v>
      </x:c>
      <x:c r="M1064" s="50" t="n">
        <x:v>246</x:v>
      </x:c>
      <x:c r="N1064" s="50" t="n">
        <x:v>49</x:v>
      </x:c>
      <x:c r="O1064" s="50" t="n">
        <x:v>164</x:v>
      </x:c>
      <x:c r="P1064" s="50" t="n">
        <x:v>22</x:v>
      </x:c>
    </x:row>
    <x:row r="1065" ht="36" customHeight="1">
      <x:c r="A1065" s="53" t="n">
        <x:v>1046</x:v>
      </x:c>
      <x:c r="B1065" s="53" t="n">
        <x:v>1</x:v>
      </x:c>
      <x:c r="C1065" s="40" t="str">
        <x:v>High-Value Frequent Shoppers</x:v>
      </x:c>
      <x:c r="D1065" s="60" t="n">
        <x:v>4314.95</x:v>
      </x:c>
      <x:c r="E1065" s="50" t="n">
        <x:v>153</x:v>
      </x:c>
      <x:c r="F1065" s="46" t="n">
        <x:v>6.954545454545455</x:v>
      </x:c>
      <x:c r="G1065" s="46" t="n">
        <x:v>16</x:v>
      </x:c>
      <x:c r="H1065" s="61" t="n">
        <x:v>28.202287581699345</x:v>
      </x:c>
      <x:c r="I1065" s="52" t="n">
        <x:v>0.7712418300653594</x:v>
      </x:c>
      <x:c r="J1065" s="52" t="n">
        <x:v>0.4321533273850218</x:v>
      </x:c>
      <x:c r="K1065" s="60" t="n">
        <x:v>4012.88</x:v>
      </x:c>
      <x:c r="L1065" s="60" t="n">
        <x:v>302.07</x:v>
      </x:c>
      <x:c r="M1065" s="50" t="n">
        <x:v>118</x:v>
      </x:c>
      <x:c r="N1065" s="50" t="n">
        <x:v>35</x:v>
      </x:c>
      <x:c r="O1065" s="50" t="n">
        <x:v>155</x:v>
      </x:c>
      <x:c r="P1065" s="50" t="n">
        <x:v>22</x:v>
      </x:c>
    </x:row>
    <x:row r="1066" ht="36" customHeight="1">
      <x:c r="A1066" s="53" t="n">
        <x:v>1047</x:v>
      </x:c>
      <x:c r="B1066" s="53" t="n">
        <x:v>3</x:v>
      </x:c>
      <x:c r="C1066" s="40" t="str">
        <x:v>Low-Value Low-Engagement Shoppers</x:v>
      </x:c>
      <x:c r="D1066" s="60" t="n">
        <x:v>1052.94</x:v>
      </x:c>
      <x:c r="E1066" s="50" t="n">
        <x:v>80</x:v>
      </x:c>
      <x:c r="F1066" s="46" t="n">
        <x:v>4</x:v>
      </x:c>
      <x:c r="G1066" s="46" t="n">
        <x:v>6</x:v>
      </x:c>
      <x:c r="H1066" s="61" t="n">
        <x:v>13.16175</x:v>
      </x:c>
      <x:c r="I1066" s="52" t="n">
        <x:v>0.825</x:v>
      </x:c>
      <x:c r="J1066" s="52" t="n">
        <x:v>0.4906547381617186</x:v>
      </x:c>
      <x:c r="K1066" s="60" t="n">
        <x:v>961.68</x:v>
      </x:c>
      <x:c r="L1066" s="60" t="n">
        <x:v>91.26</x:v>
      </x:c>
      <x:c r="M1066" s="50" t="n">
        <x:v>66</x:v>
      </x:c>
      <x:c r="N1066" s="50" t="n">
        <x:v>14</x:v>
      </x:c>
      <x:c r="O1066" s="50" t="n">
        <x:v>99</x:v>
      </x:c>
      <x:c r="P1066" s="50" t="n">
        <x:v>20</x:v>
      </x:c>
    </x:row>
    <x:row r="1067" ht="36" customHeight="1">
      <x:c r="A1067" s="53" t="n">
        <x:v>1048</x:v>
      </x:c>
      <x:c r="B1067" s="53" t="n">
        <x:v>3</x:v>
      </x:c>
      <x:c r="C1067" s="40" t="str">
        <x:v>Low-Value Low-Engagement Shoppers</x:v>
      </x:c>
      <x:c r="D1067" s="60" t="n">
        <x:v>1934.45</x:v>
      </x:c>
      <x:c r="E1067" s="50" t="n">
        <x:v>102</x:v>
      </x:c>
      <x:c r="F1067" s="46" t="n">
        <x:v>6.375</x:v>
      </x:c>
      <x:c r="G1067" s="46" t="n">
        <x:v>63</x:v>
      </x:c>
      <x:c r="H1067" s="61" t="n">
        <x:v>18.96519607843137</x:v>
      </x:c>
      <x:c r="I1067" s="52" t="n">
        <x:v>0.7647058823529411</x:v>
      </x:c>
      <x:c r="J1067" s="52" t="n">
        <x:v>0.4686034790250458</x:v>
      </x:c>
      <x:c r="K1067" s="60" t="n">
        <x:v>1751.11</x:v>
      </x:c>
      <x:c r="L1067" s="60" t="n">
        <x:v>183.34</x:v>
      </x:c>
      <x:c r="M1067" s="50" t="n">
        <x:v>78</x:v>
      </x:c>
      <x:c r="N1067" s="50" t="n">
        <x:v>24</x:v>
      </x:c>
      <x:c r="O1067" s="50" t="n">
        <x:v>115</x:v>
      </x:c>
      <x:c r="P1067" s="50" t="n">
        <x:v>16</x:v>
      </x:c>
    </x:row>
    <x:row r="1068" ht="36" customHeight="1">
      <x:c r="A1068" s="53" t="n">
        <x:v>1049</x:v>
      </x:c>
      <x:c r="B1068" s="53" t="n">
        <x:v>3</x:v>
      </x:c>
      <x:c r="C1068" s="40" t="str">
        <x:v>Low-Value Low-Engagement Shoppers</x:v>
      </x:c>
      <x:c r="D1068" s="60" t="n">
        <x:v>698.06</x:v>
      </x:c>
      <x:c r="E1068" s="50" t="n">
        <x:v>55</x:v>
      </x:c>
      <x:c r="F1068" s="46" t="n">
        <x:v>3.055555555555556</x:v>
      </x:c>
      <x:c r="G1068" s="46" t="n">
        <x:v>6</x:v>
      </x:c>
      <x:c r="H1068" s="61" t="n">
        <x:v>12.692</x:v>
      </x:c>
      <x:c r="I1068" s="52" t="n">
        <x:v>0.6909090909090909</x:v>
      </x:c>
      <x:c r="J1068" s="52" t="n">
        <x:v>0.5789187175887459</x:v>
      </x:c>
      <x:c r="K1068" s="60" t="n">
        <x:v>626.6</x:v>
      </x:c>
      <x:c r="L1068" s="60" t="n">
        <x:v>71.46</x:v>
      </x:c>
      <x:c r="M1068" s="50" t="n">
        <x:v>38</x:v>
      </x:c>
      <x:c r="N1068" s="50" t="n">
        <x:v>17</x:v>
      </x:c>
      <x:c r="O1068" s="50" t="n">
        <x:v>84</x:v>
      </x:c>
      <x:c r="P1068" s="50" t="n">
        <x:v>18</x:v>
      </x:c>
    </x:row>
    <x:row r="1069" ht="36" customHeight="1">
      <x:c r="A1069" s="53" t="n">
        <x:v>1050</x:v>
      </x:c>
      <x:c r="B1069" s="53" t="n">
        <x:v>1</x:v>
      </x:c>
      <x:c r="C1069" s="40" t="str">
        <x:v>High-Value Frequent Shoppers</x:v>
      </x:c>
      <x:c r="D1069" s="60" t="n">
        <x:v>5134.89</x:v>
      </x:c>
      <x:c r="E1069" s="50" t="n">
        <x:v>135</x:v>
      </x:c>
      <x:c r="F1069" s="46" t="n">
        <x:v>6.428571428571429</x:v>
      </x:c>
      <x:c r="G1069" s="46" t="n">
        <x:v>2</x:v>
      </x:c>
      <x:c r="H1069" s="61" t="n">
        <x:v>38.03622222222222</x:v>
      </x:c>
      <x:c r="I1069" s="52" t="n">
        <x:v>0.9703703703703704</x:v>
      </x:c>
      <x:c r="J1069" s="52" t="n">
        <x:v>0.6113743429752146</x:v>
      </x:c>
      <x:c r="K1069" s="60" t="n">
        <x:v>5080.9</x:v>
      </x:c>
      <x:c r="L1069" s="60" t="n">
        <x:v>53.99</x:v>
      </x:c>
      <x:c r="M1069" s="50" t="n">
        <x:v>131</x:v>
      </x:c>
      <x:c r="N1069" s="50" t="n">
        <x:v>4</x:v>
      </x:c>
      <x:c r="O1069" s="50" t="n">
        <x:v>137</x:v>
      </x:c>
      <x:c r="P1069" s="50" t="n">
        <x:v>21</x:v>
      </x:c>
    </x:row>
    <x:row r="1070" ht="36" customHeight="1">
      <x:c r="A1070" s="53" t="n">
        <x:v>1051</x:v>
      </x:c>
      <x:c r="B1070" s="53" t="n">
        <x:v>2</x:v>
      </x:c>
      <x:c r="C1070" s="40" t="str">
        <x:v>Large-Basket Occasional Shoppers</x:v>
      </x:c>
      <x:c r="D1070" s="60" t="n">
        <x:v>2275.67</x:v>
      </x:c>
      <x:c r="E1070" s="50" t="n">
        <x:v>54</x:v>
      </x:c>
      <x:c r="F1070" s="46" t="n">
        <x:v>2.8421052631578947</x:v>
      </x:c>
      <x:c r="G1070" s="46" t="n">
        <x:v>14</x:v>
      </x:c>
      <x:c r="H1070" s="61" t="n">
        <x:v>42.14203703703704</x:v>
      </x:c>
      <x:c r="I1070" s="52" t="n">
        <x:v>0.925925925925926</x:v>
      </x:c>
      <x:c r="J1070" s="52" t="n">
        <x:v>0.4320485834940918</x:v>
      </x:c>
      <x:c r="K1070" s="60" t="n">
        <x:v>2233.8</x:v>
      </x:c>
      <x:c r="L1070" s="60" t="n">
        <x:v>41.87</x:v>
      </x:c>
      <x:c r="M1070" s="50" t="n">
        <x:v>50</x:v>
      </x:c>
      <x:c r="N1070" s="50" t="n">
        <x:v>4</x:v>
      </x:c>
      <x:c r="O1070" s="50" t="n">
        <x:v>130</x:v>
      </x:c>
      <x:c r="P1070" s="50" t="n">
        <x:v>19</x:v>
      </x:c>
    </x:row>
    <x:row r="1071" ht="36" customHeight="1">
      <x:c r="A1071" s="53" t="n">
        <x:v>1052</x:v>
      </x:c>
      <x:c r="B1071" s="53" t="n">
        <x:v>2</x:v>
      </x:c>
      <x:c r="C1071" s="40" t="str">
        <x:v>Large-Basket Occasional Shoppers</x:v>
      </x:c>
      <x:c r="D1071" s="60" t="n">
        <x:v>231.66</x:v>
      </x:c>
      <x:c r="E1071" s="50" t="n">
        <x:v>7</x:v>
      </x:c>
      <x:c r="F1071" s="46" t="n">
        <x:v>2.333333333333333</x:v>
      </x:c>
      <x:c r="G1071" s="46" t="n">
        <x:v>480</x:v>
      </x:c>
      <x:c r="H1071" s="61" t="n">
        <x:v>33.09428571428572</x:v>
      </x:c>
      <x:c r="I1071" s="52" t="n">
        <x:v>1</x:v>
      </x:c>
      <x:c r="J1071" s="52" t="n">
        <x:v>0.4339117672451005</x:v>
      </x:c>
      <x:c r="K1071" s="60" t="n">
        <x:v>231.66</x:v>
      </x:c>
      <x:c r="L1071" s="60" t="n">
        <x:v>0</x:v>
      </x:c>
      <x:c r="M1071" s="50" t="n">
        <x:v>7</x:v>
      </x:c>
      <x:c r="N1071" s="50" t="n">
        <x:v>0</x:v>
      </x:c>
      <x:c r="O1071" s="50" t="n">
        <x:v>48</x:v>
      </x:c>
      <x:c r="P1071" s="50" t="n">
        <x:v>3</x:v>
      </x:c>
    </x:row>
    <x:row r="1072" ht="36" customHeight="1">
      <x:c r="A1072" s="53" t="n">
        <x:v>1053</x:v>
      </x:c>
      <x:c r="B1072" s="53" t="n">
        <x:v>2</x:v>
      </x:c>
      <x:c r="C1072" s="40" t="str">
        <x:v>Large-Basket Occasional Shoppers</x:v>
      </x:c>
      <x:c r="D1072" s="60" t="n">
        <x:v>4616.42</x:v>
      </x:c>
      <x:c r="E1072" s="50" t="n">
        <x:v>96</x:v>
      </x:c>
      <x:c r="F1072" s="46" t="n">
        <x:v>4.571428571428571</x:v>
      </x:c>
      <x:c r="G1072" s="46" t="n">
        <x:v>4</x:v>
      </x:c>
      <x:c r="H1072" s="61" t="n">
        <x:v>48.087708333333325</x:v>
      </x:c>
      <x:c r="I1072" s="52" t="n">
        <x:v>0.9479166666666666</x:v>
      </x:c>
      <x:c r="J1072" s="52" t="n">
        <x:v>0.3249162771151671</x:v>
      </x:c>
      <x:c r="K1072" s="60" t="n">
        <x:v>4459.38</x:v>
      </x:c>
      <x:c r="L1072" s="60" t="n">
        <x:v>157.04</x:v>
      </x:c>
      <x:c r="M1072" s="50" t="n">
        <x:v>91</x:v>
      </x:c>
      <x:c r="N1072" s="50" t="n">
        <x:v>5</x:v>
      </x:c>
      <x:c r="O1072" s="50" t="n">
        <x:v>117</x:v>
      </x:c>
      <x:c r="P1072" s="50" t="n">
        <x:v>21</x:v>
      </x:c>
    </x:row>
    <x:row r="1073" ht="36" customHeight="1">
      <x:c r="A1073" s="53" t="n">
        <x:v>1054</x:v>
      </x:c>
      <x:c r="B1073" s="53" t="n">
        <x:v>2</x:v>
      </x:c>
      <x:c r="C1073" s="40" t="str">
        <x:v>Large-Basket Occasional Shoppers</x:v>
      </x:c>
      <x:c r="D1073" s="60" t="n">
        <x:v>1035.19</x:v>
      </x:c>
      <x:c r="E1073" s="50" t="n">
        <x:v>41</x:v>
      </x:c>
      <x:c r="F1073" s="46" t="n">
        <x:v>2.411764705882353</x:v>
      </x:c>
      <x:c r="G1073" s="46" t="n">
        <x:v>22</x:v>
      </x:c>
      <x:c r="H1073" s="61" t="n">
        <x:v>25.24853658536585</x:v>
      </x:c>
      <x:c r="I1073" s="52" t="n">
        <x:v>0.9268292682926828</x:v>
      </x:c>
      <x:c r="J1073" s="52" t="n">
        <x:v>0.4467585660603367</x:v>
      </x:c>
      <x:c r="K1073" s="60" t="n">
        <x:v>1002.57</x:v>
      </x:c>
      <x:c r="L1073" s="60" t="n">
        <x:v>32.62</x:v>
      </x:c>
      <x:c r="M1073" s="50" t="n">
        <x:v>38</x:v>
      </x:c>
      <x:c r="N1073" s="50" t="n">
        <x:v>3</x:v>
      </x:c>
      <x:c r="O1073" s="50" t="n">
        <x:v>102</x:v>
      </x:c>
      <x:c r="P1073" s="50" t="n">
        <x:v>17</x:v>
      </x:c>
    </x:row>
    <x:row r="1074" ht="36" customHeight="1">
      <x:c r="A1074" s="53" t="n">
        <x:v>1055</x:v>
      </x:c>
      <x:c r="B1074" s="53" t="n">
        <x:v>2</x:v>
      </x:c>
      <x:c r="C1074" s="40" t="str">
        <x:v>Large-Basket Occasional Shoppers</x:v>
      </x:c>
      <x:c r="D1074" s="60" t="n">
        <x:v>1204.41</x:v>
      </x:c>
      <x:c r="E1074" s="50" t="n">
        <x:v>81</x:v>
      </x:c>
      <x:c r="F1074" s="46" t="n">
        <x:v>4.263157894736842</x:v>
      </x:c>
      <x:c r="G1074" s="46" t="n">
        <x:v>14</x:v>
      </x:c>
      <x:c r="H1074" s="61" t="n">
        <x:v>14.86925925925926</x:v>
      </x:c>
      <x:c r="I1074" s="52" t="n">
        <x:v>0.9012345679012344</x:v>
      </x:c>
      <x:c r="J1074" s="52" t="n">
        <x:v>0.4541144626829734</x:v>
      </x:c>
      <x:c r="K1074" s="60" t="n">
        <x:v>1135.99</x:v>
      </x:c>
      <x:c r="L1074" s="60" t="n">
        <x:v>68.42</x:v>
      </x:c>
      <x:c r="M1074" s="50" t="n">
        <x:v>73</x:v>
      </x:c>
      <x:c r="N1074" s="50" t="n">
        <x:v>8</x:v>
      </x:c>
      <x:c r="O1074" s="50" t="n">
        <x:v>81</x:v>
      </x:c>
      <x:c r="P1074" s="50" t="n">
        <x:v>19</x:v>
      </x:c>
    </x:row>
    <x:row r="1075" ht="36" customHeight="1">
      <x:c r="A1075" s="53" t="n">
        <x:v>1056</x:v>
      </x:c>
      <x:c r="B1075" s="53" t="n">
        <x:v>2</x:v>
      </x:c>
      <x:c r="C1075" s="40" t="str">
        <x:v>Large-Basket Occasional Shoppers</x:v>
      </x:c>
      <x:c r="D1075" s="60" t="n">
        <x:v>4871.09</x:v>
      </x:c>
      <x:c r="E1075" s="50" t="n">
        <x:v>66</x:v>
      </x:c>
      <x:c r="F1075" s="46" t="n">
        <x:v>2.869565217391304</x:v>
      </x:c>
      <x:c r="G1075" s="46" t="n">
        <x:v>9</x:v>
      </x:c>
      <x:c r="H1075" s="61" t="n">
        <x:v>73.80439393939395</x:v>
      </x:c>
      <x:c r="I1075" s="52" t="n">
        <x:v>0.9393939393939392</x:v>
      </x:c>
      <x:c r="J1075" s="52" t="n">
        <x:v>0.4936205243590243</x:v>
      </x:c>
      <x:c r="K1075" s="60" t="n">
        <x:v>4839.82</x:v>
      </x:c>
      <x:c r="L1075" s="60" t="n">
        <x:v>31.27</x:v>
      </x:c>
      <x:c r="M1075" s="50" t="n">
        <x:v>62</x:v>
      </x:c>
      <x:c r="N1075" s="50" t="n">
        <x:v>4</x:v>
      </x:c>
      <x:c r="O1075" s="50" t="n">
        <x:v>128</x:v>
      </x:c>
      <x:c r="P1075" s="50" t="n">
        <x:v>23</x:v>
      </x:c>
    </x:row>
    <x:row r="1076" ht="36" customHeight="1">
      <x:c r="A1076" s="53" t="n">
        <x:v>1057</x:v>
      </x:c>
      <x:c r="B1076" s="53" t="n">
        <x:v>1</x:v>
      </x:c>
      <x:c r="C1076" s="40" t="str">
        <x:v>High-Value Frequent Shoppers</x:v>
      </x:c>
      <x:c r="D1076" s="60" t="n">
        <x:v>8219.34</x:v>
      </x:c>
      <x:c r="E1076" s="50" t="n">
        <x:v>184</x:v>
      </x:c>
      <x:c r="F1076" s="46" t="n">
        <x:v>8</x:v>
      </x:c>
      <x:c r="G1076" s="46" t="n">
        <x:v>1</x:v>
      </x:c>
      <x:c r="H1076" s="61" t="n">
        <x:v>44.67032608695652</x:v>
      </x:c>
      <x:c r="I1076" s="52" t="n">
        <x:v>0.9402173913043478</x:v>
      </x:c>
      <x:c r="J1076" s="52" t="n">
        <x:v>0.3365963690515296</x:v>
      </x:c>
      <x:c r="K1076" s="60" t="n">
        <x:v>8004.16</x:v>
      </x:c>
      <x:c r="L1076" s="60" t="n">
        <x:v>215.18</x:v>
      </x:c>
      <x:c r="M1076" s="50" t="n">
        <x:v>173</x:v>
      </x:c>
      <x:c r="N1076" s="50" t="n">
        <x:v>11</x:v>
      </x:c>
      <x:c r="O1076" s="50" t="n">
        <x:v>98</x:v>
      </x:c>
      <x:c r="P1076" s="50" t="n">
        <x:v>23</x:v>
      </x:c>
    </x:row>
    <x:row r="1077" ht="36" customHeight="1">
      <x:c r="A1077" s="53" t="n">
        <x:v>1058</x:v>
      </x:c>
      <x:c r="B1077" s="53" t="n">
        <x:v>1</x:v>
      </x:c>
      <x:c r="C1077" s="40" t="str">
        <x:v>High-Value Frequent Shoppers</x:v>
      </x:c>
      <x:c r="D1077" s="60" t="n">
        <x:v>3280.18</x:v>
      </x:c>
      <x:c r="E1077" s="50" t="n">
        <x:v>563</x:v>
      </x:c>
      <x:c r="F1077" s="46" t="n">
        <x:v>25.590909090909086</x:v>
      </x:c>
      <x:c r="G1077" s="46" t="n">
        <x:v>0</x:v>
      </x:c>
      <x:c r="H1077" s="61" t="n">
        <x:v>5.826252220248668</x:v>
      </x:c>
      <x:c r="I1077" s="52" t="n">
        <x:v>0.8294849023090586</x:v>
      </x:c>
      <x:c r="J1077" s="52" t="n">
        <x:v>0.6085489210957935</x:v>
      </x:c>
      <x:c r="K1077" s="60" t="n">
        <x:v>2739.95</x:v>
      </x:c>
      <x:c r="L1077" s="60" t="n">
        <x:v>540.23</x:v>
      </x:c>
      <x:c r="M1077" s="50" t="n">
        <x:v>467</x:v>
      </x:c>
      <x:c r="N1077" s="50" t="n">
        <x:v>96</x:v>
      </x:c>
      <x:c r="O1077" s="50" t="n">
        <x:v>138</x:v>
      </x:c>
      <x:c r="P1077" s="50" t="n">
        <x:v>22</x:v>
      </x:c>
    </x:row>
    <x:row r="1078" ht="36" customHeight="1">
      <x:c r="A1078" s="53" t="n">
        <x:v>1059</x:v>
      </x:c>
      <x:c r="B1078" s="53" t="n">
        <x:v>3</x:v>
      </x:c>
      <x:c r="C1078" s="40" t="str">
        <x:v>Low-Value Low-Engagement Shoppers</x:v>
      </x:c>
      <x:c r="D1078" s="60" t="n">
        <x:v>72.91</x:v>
      </x:c>
      <x:c r="E1078" s="50" t="n">
        <x:v>5</x:v>
      </x:c>
      <x:c r="F1078" s="46" t="n">
        <x:v>1.25</x:v>
      </x:c>
      <x:c r="G1078" s="46" t="n">
        <x:v>156</x:v>
      </x:c>
      <x:c r="H1078" s="61" t="n">
        <x:v>14.582</x:v>
      </x:c>
      <x:c r="I1078" s="52" t="n">
        <x:v>0.8</x:v>
      </x:c>
      <x:c r="J1078" s="52" t="n">
        <x:v>0.3882869290906597</x:v>
      </x:c>
      <x:c r="K1078" s="60" t="n">
        <x:v>65.44</x:v>
      </x:c>
      <x:c r="L1078" s="60" t="n">
        <x:v>7.47</x:v>
      </x:c>
      <x:c r="M1078" s="50" t="n">
        <x:v>4</x:v>
      </x:c>
      <x:c r="N1078" s="50" t="n">
        <x:v>1</x:v>
      </x:c>
      <x:c r="O1078" s="50" t="n">
        <x:v>26</x:v>
      </x:c>
      <x:c r="P1078" s="50" t="n">
        <x:v>4</x:v>
      </x:c>
    </x:row>
    <x:row r="1079" ht="36" customHeight="1">
      <x:c r="A1079" s="53" t="n">
        <x:v>1060</x:v>
      </x:c>
      <x:c r="B1079" s="53" t="n">
        <x:v>2</x:v>
      </x:c>
      <x:c r="C1079" s="40" t="str">
        <x:v>Large-Basket Occasional Shoppers</x:v>
      </x:c>
      <x:c r="D1079" s="60" t="n">
        <x:v>6096.93</x:v>
      </x:c>
      <x:c r="E1079" s="50" t="n">
        <x:v>64</x:v>
      </x:c>
      <x:c r="F1079" s="46" t="n">
        <x:v>2.7826086956521734</x:v>
      </x:c>
      <x:c r="G1079" s="46" t="n">
        <x:v>39</x:v>
      </x:c>
      <x:c r="H1079" s="61" t="n">
        <x:v>95.26453125</x:v>
      </x:c>
      <x:c r="I1079" s="52" t="n">
        <x:v>0.921875</x:v>
      </x:c>
      <x:c r="J1079" s="52" t="n">
        <x:v>0.5271439888599672</x:v>
      </x:c>
      <x:c r="K1079" s="60" t="n">
        <x:v>5976.26</x:v>
      </x:c>
      <x:c r="L1079" s="60" t="n">
        <x:v>120.67</x:v>
      </x:c>
      <x:c r="M1079" s="50" t="n">
        <x:v>59</x:v>
      </x:c>
      <x:c r="N1079" s="50" t="n">
        <x:v>5</x:v>
      </x:c>
      <x:c r="O1079" s="50" t="n">
        <x:v>131</x:v>
      </x:c>
      <x:c r="P1079" s="50" t="n">
        <x:v>23</x:v>
      </x:c>
    </x:row>
    <x:row r="1080" ht="36" customHeight="1">
      <x:c r="A1080" s="53" t="n">
        <x:v>1061</x:v>
      </x:c>
      <x:c r="B1080" s="53" t="n">
        <x:v>1</x:v>
      </x:c>
      <x:c r="C1080" s="40" t="str">
        <x:v>High-Value Frequent Shoppers</x:v>
      </x:c>
      <x:c r="D1080" s="60" t="n">
        <x:v>6211.67</x:v>
      </x:c>
      <x:c r="E1080" s="50" t="n">
        <x:v>147</x:v>
      </x:c>
      <x:c r="F1080" s="46" t="n">
        <x:v>7</x:v>
      </x:c>
      <x:c r="G1080" s="46" t="n">
        <x:v>2</x:v>
      </x:c>
      <x:c r="H1080" s="61" t="n">
        <x:v>42.25625850340136</x:v>
      </x:c>
      <x:c r="I1080" s="52" t="n">
        <x:v>0.8707482993197277</x:v>
      </x:c>
      <x:c r="J1080" s="52" t="n">
        <x:v>0.6005438151093023</x:v>
      </x:c>
      <x:c r="K1080" s="60" t="n">
        <x:v>5993.8</x:v>
      </x:c>
      <x:c r="L1080" s="60" t="n">
        <x:v>217.87</x:v>
      </x:c>
      <x:c r="M1080" s="50" t="n">
        <x:v>128</x:v>
      </x:c>
      <x:c r="N1080" s="50" t="n">
        <x:v>19</x:v>
      </x:c>
      <x:c r="O1080" s="50" t="n">
        <x:v>146</x:v>
      </x:c>
      <x:c r="P1080" s="50" t="n">
        <x:v>21</x:v>
      </x:c>
    </x:row>
    <x:row r="1081" ht="36" customHeight="1">
      <x:c r="A1081" s="53" t="n">
        <x:v>1062</x:v>
      </x:c>
      <x:c r="B1081" s="53" t="n">
        <x:v>3</x:v>
      </x:c>
      <x:c r="C1081" s="40" t="str">
        <x:v>Low-Value Low-Engagement Shoppers</x:v>
      </x:c>
      <x:c r="D1081" s="60" t="n">
        <x:v>1495.76</x:v>
      </x:c>
      <x:c r="E1081" s="50" t="n">
        <x:v>214</x:v>
      </x:c>
      <x:c r="F1081" s="46" t="n">
        <x:v>9.727272727272728</x:v>
      </x:c>
      <x:c r="G1081" s="46" t="n">
        <x:v>0</x:v>
      </x:c>
      <x:c r="H1081" s="61" t="n">
        <x:v>6.989532710280374</x:v>
      </x:c>
      <x:c r="I1081" s="52" t="n">
        <x:v>0.5560747663551401</x:v>
      </x:c>
      <x:c r="J1081" s="52" t="n">
        <x:v>0.4952532491843611</x:v>
      </x:c>
      <x:c r="K1081" s="60" t="n">
        <x:v>1267.59</x:v>
      </x:c>
      <x:c r="L1081" s="60" t="n">
        <x:v>228.17</x:v>
      </x:c>
      <x:c r="M1081" s="50" t="n">
        <x:v>119</x:v>
      </x:c>
      <x:c r="N1081" s="50" t="n">
        <x:v>95</x:v>
      </x:c>
      <x:c r="O1081" s="50" t="n">
        <x:v>96</x:v>
      </x:c>
      <x:c r="P1081" s="50" t="n">
        <x:v>22</x:v>
      </x:c>
    </x:row>
    <x:row r="1082" ht="36" customHeight="1">
      <x:c r="A1082" s="53" t="n">
        <x:v>1063</x:v>
      </x:c>
      <x:c r="B1082" s="53" t="n">
        <x:v>2</x:v>
      </x:c>
      <x:c r="C1082" s="40" t="str">
        <x:v>Large-Basket Occasional Shoppers</x:v>
      </x:c>
      <x:c r="D1082" s="60" t="n">
        <x:v>1327.48</x:v>
      </x:c>
      <x:c r="E1082" s="50" t="n">
        <x:v>57</x:v>
      </x:c>
      <x:c r="F1082" s="46" t="n">
        <x:v>3.5625</x:v>
      </x:c>
      <x:c r="G1082" s="46" t="n">
        <x:v>90</x:v>
      </x:c>
      <x:c r="H1082" s="61" t="n">
        <x:v>23.289122807017545</x:v>
      </x:c>
      <x:c r="I1082" s="52" t="n">
        <x:v>0.8245614035087719</x:v>
      </x:c>
      <x:c r="J1082" s="52" t="n">
        <x:v>0.5795567541507216</x:v>
      </x:c>
      <x:c r="K1082" s="60" t="n">
        <x:v>1235.57</x:v>
      </x:c>
      <x:c r="L1082" s="60" t="n">
        <x:v>91.91</x:v>
      </x:c>
      <x:c r="M1082" s="50" t="n">
        <x:v>47</x:v>
      </x:c>
      <x:c r="N1082" s="50" t="n">
        <x:v>10</x:v>
      </x:c>
      <x:c r="O1082" s="50" t="n">
        <x:v>89</x:v>
      </x:c>
      <x:c r="P1082" s="50" t="n">
        <x:v>16</x:v>
      </x:c>
    </x:row>
    <x:row r="1083" ht="36" customHeight="1">
      <x:c r="A1083" s="53" t="n">
        <x:v>1064</x:v>
      </x:c>
      <x:c r="B1083" s="53" t="n">
        <x:v>2</x:v>
      </x:c>
      <x:c r="C1083" s="40" t="str">
        <x:v>Large-Basket Occasional Shoppers</x:v>
      </x:c>
      <x:c r="D1083" s="60" t="n">
        <x:v>3074.68</x:v>
      </x:c>
      <x:c r="E1083" s="50" t="n">
        <x:v>44</x:v>
      </x:c>
      <x:c r="F1083" s="46" t="n">
        <x:v>2.444444444444444</x:v>
      </x:c>
      <x:c r="G1083" s="46" t="n">
        <x:v>3</x:v>
      </x:c>
      <x:c r="H1083" s="61" t="n">
        <x:v>69.8790909090909</x:v>
      </x:c>
      <x:c r="I1083" s="52" t="n">
        <x:v>0.8863636363636364</x:v>
      </x:c>
      <x:c r="J1083" s="52" t="n">
        <x:v>0.592725096595418</x:v>
      </x:c>
      <x:c r="K1083" s="60" t="n">
        <x:v>2747.62</x:v>
      </x:c>
      <x:c r="L1083" s="60" t="n">
        <x:v>327.06</x:v>
      </x:c>
      <x:c r="M1083" s="50" t="n">
        <x:v>39</x:v>
      </x:c>
      <x:c r="N1083" s="50" t="n">
        <x:v>5</x:v>
      </x:c>
      <x:c r="O1083" s="50" t="n">
        <x:v>142</x:v>
      </x:c>
      <x:c r="P1083" s="50" t="n">
        <x:v>18</x:v>
      </x:c>
    </x:row>
    <x:row r="1084" ht="36" customHeight="1">
      <x:c r="A1084" s="53" t="n">
        <x:v>1065</x:v>
      </x:c>
      <x:c r="B1084" s="53" t="n">
        <x:v>2</x:v>
      </x:c>
      <x:c r="C1084" s="40" t="str">
        <x:v>Large-Basket Occasional Shoppers</x:v>
      </x:c>
      <x:c r="D1084" s="60" t="n">
        <x:v>5167.16</x:v>
      </x:c>
      <x:c r="E1084" s="50" t="n">
        <x:v>50</x:v>
      </x:c>
      <x:c r="F1084" s="46" t="n">
        <x:v>2.1739130434782608</x:v>
      </x:c>
      <x:c r="G1084" s="46" t="n">
        <x:v>6</x:v>
      </x:c>
      <x:c r="H1084" s="61" t="n">
        <x:v>103.3432</x:v>
      </x:c>
      <x:c r="I1084" s="52" t="n">
        <x:v>0.96</x:v>
      </x:c>
      <x:c r="J1084" s="52" t="n">
        <x:v>0.485373009544895</x:v>
      </x:c>
      <x:c r="K1084" s="60" t="n">
        <x:v>5133.01</x:v>
      </x:c>
      <x:c r="L1084" s="60" t="n">
        <x:v>34.15</x:v>
      </x:c>
      <x:c r="M1084" s="50" t="n">
        <x:v>48</x:v>
      </x:c>
      <x:c r="N1084" s="50" t="n">
        <x:v>2</x:v>
      </x:c>
      <x:c r="O1084" s="50" t="n">
        <x:v>131</x:v>
      </x:c>
      <x:c r="P1084" s="50" t="n">
        <x:v>23</x:v>
      </x:c>
    </x:row>
    <x:row r="1085" ht="36" customHeight="1">
      <x:c r="A1085" s="53" t="n">
        <x:v>1066</x:v>
      </x:c>
      <x:c r="B1085" s="53" t="n">
        <x:v>1</x:v>
      </x:c>
      <x:c r="C1085" s="40" t="str">
        <x:v>High-Value Frequent Shoppers</x:v>
      </x:c>
      <x:c r="D1085" s="60" t="n">
        <x:v>3114.34</x:v>
      </x:c>
      <x:c r="E1085" s="50" t="n">
        <x:v>245</x:v>
      </x:c>
      <x:c r="F1085" s="46" t="n">
        <x:v>11.666666666666666</x:v>
      </x:c>
      <x:c r="G1085" s="46" t="n">
        <x:v>3</x:v>
      </x:c>
      <x:c r="H1085" s="61" t="n">
        <x:v>12.711591836734693</x:v>
      </x:c>
      <x:c r="I1085" s="52" t="n">
        <x:v>0.8653061224489795</x:v>
      </x:c>
      <x:c r="J1085" s="52" t="n">
        <x:v>0.5069324479665033</x:v>
      </x:c>
      <x:c r="K1085" s="60" t="n">
        <x:v>2985.52</x:v>
      </x:c>
      <x:c r="L1085" s="60" t="n">
        <x:v>128.82</x:v>
      </x:c>
      <x:c r="M1085" s="50" t="n">
        <x:v>212</x:v>
      </x:c>
      <x:c r="N1085" s="50" t="n">
        <x:v>33</x:v>
      </x:c>
      <x:c r="O1085" s="50" t="n">
        <x:v>122</x:v>
      </x:c>
      <x:c r="P1085" s="50" t="n">
        <x:v>21</x:v>
      </x:c>
    </x:row>
    <x:row r="1086" ht="36" customHeight="1">
      <x:c r="A1086" s="53" t="n">
        <x:v>1067</x:v>
      </x:c>
      <x:c r="B1086" s="53" t="n">
        <x:v>2</x:v>
      </x:c>
      <x:c r="C1086" s="40" t="str">
        <x:v>Large-Basket Occasional Shoppers</x:v>
      </x:c>
      <x:c r="D1086" s="60" t="n">
        <x:v>3741.92</x:v>
      </x:c>
      <x:c r="E1086" s="50" t="n">
        <x:v>62</x:v>
      </x:c>
      <x:c r="F1086" s="46" t="n">
        <x:v>2.952380952380953</x:v>
      </x:c>
      <x:c r="G1086" s="46" t="n">
        <x:v>9</x:v>
      </x:c>
      <x:c r="H1086" s="61" t="n">
        <x:v>60.353548387096765</x:v>
      </x:c>
      <x:c r="I1086" s="52" t="n">
        <x:v>0.8870967741935483</x:v>
      </x:c>
      <x:c r="J1086" s="52" t="n">
        <x:v>0.5434322486851669</x:v>
      </x:c>
      <x:c r="K1086" s="60" t="n">
        <x:v>3644.03</x:v>
      </x:c>
      <x:c r="L1086" s="60" t="n">
        <x:v>97.89</x:v>
      </x:c>
      <x:c r="M1086" s="50" t="n">
        <x:v>55</x:v>
      </x:c>
      <x:c r="N1086" s="50" t="n">
        <x:v>7</x:v>
      </x:c>
      <x:c r="O1086" s="50" t="n">
        <x:v>159</x:v>
      </x:c>
      <x:c r="P1086" s="50" t="n">
        <x:v>21</x:v>
      </x:c>
    </x:row>
    <x:row r="1087" ht="36" customHeight="1">
      <x:c r="A1087" s="53" t="n">
        <x:v>1068</x:v>
      </x:c>
      <x:c r="B1087" s="53" t="n">
        <x:v>3</x:v>
      </x:c>
      <x:c r="C1087" s="40" t="str">
        <x:v>Low-Value Low-Engagement Shoppers</x:v>
      </x:c>
      <x:c r="D1087" s="60" t="n">
        <x:v>1321.85</x:v>
      </x:c>
      <x:c r="E1087" s="50" t="n">
        <x:v>110</x:v>
      </x:c>
      <x:c r="F1087" s="46" t="n">
        <x:v>7.857142857142858</x:v>
      </x:c>
      <x:c r="G1087" s="46" t="n">
        <x:v>11</x:v>
      </x:c>
      <x:c r="H1087" s="61" t="n">
        <x:v>12.01681818181818</x:v>
      </x:c>
      <x:c r="I1087" s="52" t="n">
        <x:v>0.8272727272727272</x:v>
      </x:c>
      <x:c r="J1087" s="52" t="n">
        <x:v>0.5688845179105042</x:v>
      </x:c>
      <x:c r="K1087" s="60" t="n">
        <x:v>1251.5</x:v>
      </x:c>
      <x:c r="L1087" s="60" t="n">
        <x:v>70.35</x:v>
      </x:c>
      <x:c r="M1087" s="50" t="n">
        <x:v>91</x:v>
      </x:c>
      <x:c r="N1087" s="50" t="n">
        <x:v>19</x:v>
      </x:c>
      <x:c r="O1087" s="50" t="n">
        <x:v>111</x:v>
      </x:c>
      <x:c r="P1087" s="50" t="n">
        <x:v>14</x:v>
      </x:c>
    </x:row>
    <x:row r="1088" ht="36" customHeight="1">
      <x:c r="A1088" s="53" t="n">
        <x:v>1069</x:v>
      </x:c>
      <x:c r="B1088" s="53" t="n">
        <x:v>2</x:v>
      </x:c>
      <x:c r="C1088" s="40" t="str">
        <x:v>Large-Basket Occasional Shoppers</x:v>
      </x:c>
      <x:c r="D1088" s="60" t="n">
        <x:v>3433.27</x:v>
      </x:c>
      <x:c r="E1088" s="50" t="n">
        <x:v>55</x:v>
      </x:c>
      <x:c r="F1088" s="46" t="n">
        <x:v>2.619047619047619</x:v>
      </x:c>
      <x:c r="G1088" s="46" t="n">
        <x:v>30</x:v>
      </x:c>
      <x:c r="H1088" s="61" t="n">
        <x:v>62.4230909090909</x:v>
      </x:c>
      <x:c r="I1088" s="52" t="n">
        <x:v>0.9636363636363636</x:v>
      </x:c>
      <x:c r="J1088" s="52" t="n">
        <x:v>0.6060810830491047</x:v>
      </x:c>
      <x:c r="K1088" s="60" t="n">
        <x:v>3419.76</x:v>
      </x:c>
      <x:c r="L1088" s="60" t="n">
        <x:v>13.51</x:v>
      </x:c>
      <x:c r="M1088" s="50" t="n">
        <x:v>53</x:v>
      </x:c>
      <x:c r="N1088" s="50" t="n">
        <x:v>2</x:v>
      </x:c>
      <x:c r="O1088" s="50" t="n">
        <x:v>121</x:v>
      </x:c>
      <x:c r="P1088" s="50" t="n">
        <x:v>21</x:v>
      </x:c>
    </x:row>
    <x:row r="1089" ht="36" customHeight="1">
      <x:c r="A1089" s="53" t="n">
        <x:v>1070</x:v>
      </x:c>
      <x:c r="B1089" s="53" t="n">
        <x:v>1</x:v>
      </x:c>
      <x:c r="C1089" s="40" t="str">
        <x:v>High-Value Frequent Shoppers</x:v>
      </x:c>
      <x:c r="D1089" s="60" t="n">
        <x:v>5187.13</x:v>
      </x:c>
      <x:c r="E1089" s="50" t="n">
        <x:v>174</x:v>
      </x:c>
      <x:c r="F1089" s="46" t="n">
        <x:v>7.565217391304349</x:v>
      </x:c>
      <x:c r="G1089" s="46" t="n">
        <x:v>3</x:v>
      </x:c>
      <x:c r="H1089" s="61" t="n">
        <x:v>29.811091954022988</x:v>
      </x:c>
      <x:c r="I1089" s="52" t="n">
        <x:v>0.8620689655172413</x:v>
      </x:c>
      <x:c r="J1089" s="52" t="n">
        <x:v>0.5856784001943272</x:v>
      </x:c>
      <x:c r="K1089" s="60" t="n">
        <x:v>4962.77</x:v>
      </x:c>
      <x:c r="L1089" s="60" t="n">
        <x:v>224.36</x:v>
      </x:c>
      <x:c r="M1089" s="50" t="n">
        <x:v>150</x:v>
      </x:c>
      <x:c r="N1089" s="50" t="n">
        <x:v>24</x:v>
      </x:c>
      <x:c r="O1089" s="50" t="n">
        <x:v>164</x:v>
      </x:c>
      <x:c r="P1089" s="50" t="n">
        <x:v>23</x:v>
      </x:c>
    </x:row>
    <x:row r="1090" ht="36" customHeight="1">
      <x:c r="A1090" s="53" t="n">
        <x:v>1071</x:v>
      </x:c>
      <x:c r="B1090" s="53" t="n">
        <x:v>2</x:v>
      </x:c>
      <x:c r="C1090" s="40" t="str">
        <x:v>Large-Basket Occasional Shoppers</x:v>
      </x:c>
      <x:c r="D1090" s="60" t="n">
        <x:v>2052.29</x:v>
      </x:c>
      <x:c r="E1090" s="50" t="n">
        <x:v>84</x:v>
      </x:c>
      <x:c r="F1090" s="46" t="n">
        <x:v>4.2</x:v>
      </x:c>
      <x:c r="G1090" s="46" t="n">
        <x:v>6</x:v>
      </x:c>
      <x:c r="H1090" s="61" t="n">
        <x:v>24.43202380952381</x:v>
      </x:c>
      <x:c r="I1090" s="52" t="n">
        <x:v>0.869047619047619</x:v>
      </x:c>
      <x:c r="J1090" s="52" t="n">
        <x:v>0.3948857130327585</x:v>
      </x:c>
      <x:c r="K1090" s="60" t="n">
        <x:v>2010.88</x:v>
      </x:c>
      <x:c r="L1090" s="60" t="n">
        <x:v>41.41</x:v>
      </x:c>
      <x:c r="M1090" s="50" t="n">
        <x:v>73</x:v>
      </x:c>
      <x:c r="N1090" s="50" t="n">
        <x:v>11</x:v>
      </x:c>
      <x:c r="O1090" s="50" t="n">
        <x:v>145</x:v>
      </x:c>
      <x:c r="P1090" s="50" t="n">
        <x:v>20</x:v>
      </x:c>
    </x:row>
    <x:row r="1091" ht="36" customHeight="1">
      <x:c r="A1091" s="53" t="n">
        <x:v>1072</x:v>
      </x:c>
      <x:c r="B1091" s="53" t="n">
        <x:v>2</x:v>
      </x:c>
      <x:c r="C1091" s="40" t="str">
        <x:v>Large-Basket Occasional Shoppers</x:v>
      </x:c>
      <x:c r="D1091" s="60" t="n">
        <x:v>2694.8</x:v>
      </x:c>
      <x:c r="E1091" s="50" t="n">
        <x:v>61</x:v>
      </x:c>
      <x:c r="F1091" s="46" t="n">
        <x:v>2.9047619047619047</x:v>
      </x:c>
      <x:c r="G1091" s="46" t="n">
        <x:v>10</x:v>
      </x:c>
      <x:c r="H1091" s="61" t="n">
        <x:v>44.17704918032786</x:v>
      </x:c>
      <x:c r="I1091" s="52" t="n">
        <x:v>0.8852459016393442</x:v>
      </x:c>
      <x:c r="J1091" s="52" t="n">
        <x:v>0.5366743357577556</x:v>
      </x:c>
      <x:c r="K1091" s="60" t="n">
        <x:v>2645.27</x:v>
      </x:c>
      <x:c r="L1091" s="60" t="n">
        <x:v>49.53</x:v>
      </x:c>
      <x:c r="M1091" s="50" t="n">
        <x:v>54</x:v>
      </x:c>
      <x:c r="N1091" s="50" t="n">
        <x:v>7</x:v>
      </x:c>
      <x:c r="O1091" s="50" t="n">
        <x:v>137</x:v>
      </x:c>
      <x:c r="P1091" s="50" t="n">
        <x:v>21</x:v>
      </x:c>
    </x:row>
    <x:row r="1092" ht="36" customHeight="1">
      <x:c r="A1092" s="53" t="n">
        <x:v>1073</x:v>
      </x:c>
      <x:c r="B1092" s="53" t="n">
        <x:v>1</x:v>
      </x:c>
      <x:c r="C1092" s="40" t="str">
        <x:v>High-Value Frequent Shoppers</x:v>
      </x:c>
      <x:c r="D1092" s="60" t="n">
        <x:v>3014.08</x:v>
      </x:c>
      <x:c r="E1092" s="50" t="n">
        <x:v>121</x:v>
      </x:c>
      <x:c r="F1092" s="46" t="n">
        <x:v>5.761904761904762</x:v>
      </x:c>
      <x:c r="G1092" s="46" t="n">
        <x:v>1</x:v>
      </x:c>
      <x:c r="H1092" s="61" t="n">
        <x:v>24.909752066115704</x:v>
      </x:c>
      <x:c r="I1092" s="52" t="n">
        <x:v>0.9338842975206612</x:v>
      </x:c>
      <x:c r="J1092" s="52" t="n">
        <x:v>0.4389465442191315</x:v>
      </x:c>
      <x:c r="K1092" s="60" t="n">
        <x:v>2963.2</x:v>
      </x:c>
      <x:c r="L1092" s="60" t="n">
        <x:v>50.88</x:v>
      </x:c>
      <x:c r="M1092" s="50" t="n">
        <x:v>113</x:v>
      </x:c>
      <x:c r="N1092" s="50" t="n">
        <x:v>8</x:v>
      </x:c>
      <x:c r="O1092" s="50" t="n">
        <x:v>138</x:v>
      </x:c>
      <x:c r="P1092" s="50" t="n">
        <x:v>21</x:v>
      </x:c>
    </x:row>
    <x:row r="1093" ht="36" customHeight="1">
      <x:c r="A1093" s="53" t="n">
        <x:v>1074</x:v>
      </x:c>
      <x:c r="B1093" s="53" t="n">
        <x:v>1</x:v>
      </x:c>
      <x:c r="C1093" s="40" t="str">
        <x:v>High-Value Frequent Shoppers</x:v>
      </x:c>
      <x:c r="D1093" s="60" t="n">
        <x:v>7769.22</x:v>
      </x:c>
      <x:c r="E1093" s="50" t="n">
        <x:v>132</x:v>
      </x:c>
      <x:c r="F1093" s="46" t="n">
        <x:v>6.285714285714286</x:v>
      </x:c>
      <x:c r="G1093" s="46" t="n">
        <x:v>4</x:v>
      </x:c>
      <x:c r="H1093" s="61" t="n">
        <x:v>58.85772727272728</x:v>
      </x:c>
      <x:c r="I1093" s="52" t="n">
        <x:v>0.9545454545454544</x:v>
      </x:c>
      <x:c r="J1093" s="52" t="n">
        <x:v>0.5422783754353718</x:v>
      </x:c>
      <x:c r="K1093" s="60" t="n">
        <x:v>7720.83</x:v>
      </x:c>
      <x:c r="L1093" s="60" t="n">
        <x:v>48.39</x:v>
      </x:c>
      <x:c r="M1093" s="50" t="n">
        <x:v>126</x:v>
      </x:c>
      <x:c r="N1093" s="50" t="n">
        <x:v>6</x:v>
      </x:c>
      <x:c r="O1093" s="50" t="n">
        <x:v>156</x:v>
      </x:c>
      <x:c r="P1093" s="50" t="n">
        <x:v>21</x:v>
      </x:c>
    </x:row>
    <x:row r="1094" ht="36" customHeight="1">
      <x:c r="A1094" s="53" t="n">
        <x:v>1075</x:v>
      </x:c>
      <x:c r="B1094" s="53" t="n">
        <x:v>3</x:v>
      </x:c>
      <x:c r="C1094" s="40" t="str">
        <x:v>Low-Value Low-Engagement Shoppers</x:v>
      </x:c>
      <x:c r="D1094" s="60" t="n">
        <x:v>1469.02</x:v>
      </x:c>
      <x:c r="E1094" s="50" t="n">
        <x:v>67</x:v>
      </x:c>
      <x:c r="F1094" s="46" t="n">
        <x:v>3.35</x:v>
      </x:c>
      <x:c r="G1094" s="46" t="n">
        <x:v>22</x:v>
      </x:c>
      <x:c r="H1094" s="61" t="n">
        <x:v>21.925671641791045</x:v>
      </x:c>
      <x:c r="I1094" s="52" t="n">
        <x:v>0.7313432835820896</x:v>
      </x:c>
      <x:c r="J1094" s="52" t="n">
        <x:v>0.53051013600904</x:v>
      </x:c>
      <x:c r="K1094" s="60" t="n">
        <x:v>1271.41</x:v>
      </x:c>
      <x:c r="L1094" s="60" t="n">
        <x:v>197.61</x:v>
      </x:c>
      <x:c r="M1094" s="50" t="n">
        <x:v>49</x:v>
      </x:c>
      <x:c r="N1094" s="50" t="n">
        <x:v>18</x:v>
      </x:c>
      <x:c r="O1094" s="50" t="n">
        <x:v>92</x:v>
      </x:c>
      <x:c r="P1094" s="50" t="n">
        <x:v>20</x:v>
      </x:c>
    </x:row>
    <x:row r="1095" ht="36" customHeight="1">
      <x:c r="A1095" s="53" t="n">
        <x:v>1076</x:v>
      </x:c>
      <x:c r="B1095" s="53" t="n">
        <x:v>1</x:v>
      </x:c>
      <x:c r="C1095" s="40" t="str">
        <x:v>High-Value Frequent Shoppers</x:v>
      </x:c>
      <x:c r="D1095" s="60" t="n">
        <x:v>2241.01</x:v>
      </x:c>
      <x:c r="E1095" s="50" t="n">
        <x:v>86</x:v>
      </x:c>
      <x:c r="F1095" s="46" t="n">
        <x:v>4.3</x:v>
      </x:c>
      <x:c r="G1095" s="46" t="n">
        <x:v>0</x:v>
      </x:c>
      <x:c r="H1095" s="61" t="n">
        <x:v>26.058255813953487</x:v>
      </x:c>
      <x:c r="I1095" s="52" t="n">
        <x:v>0.7093023255813953</x:v>
      </x:c>
      <x:c r="J1095" s="52" t="n">
        <x:v>0.3659466044328227</x:v>
      </x:c>
      <x:c r="K1095" s="60" t="n">
        <x:v>1818.19</x:v>
      </x:c>
      <x:c r="L1095" s="60" t="n">
        <x:v>422.82</x:v>
      </x:c>
      <x:c r="M1095" s="50" t="n">
        <x:v>61</x:v>
      </x:c>
      <x:c r="N1095" s="50" t="n">
        <x:v>25</x:v>
      </x:c>
      <x:c r="O1095" s="50" t="n">
        <x:v>121</x:v>
      </x:c>
      <x:c r="P1095" s="50" t="n">
        <x:v>20</x:v>
      </x:c>
    </x:row>
    <x:row r="1096" ht="36" customHeight="1">
      <x:c r="A1096" s="53" t="n">
        <x:v>1077</x:v>
      </x:c>
      <x:c r="B1096" s="53" t="n">
        <x:v>2</x:v>
      </x:c>
      <x:c r="C1096" s="40" t="str">
        <x:v>Large-Basket Occasional Shoppers</x:v>
      </x:c>
      <x:c r="D1096" s="60" t="n">
        <x:v>1492.81</x:v>
      </x:c>
      <x:c r="E1096" s="50" t="n">
        <x:v>36</x:v>
      </x:c>
      <x:c r="F1096" s="46" t="n">
        <x:v>3.6</x:v>
      </x:c>
      <x:c r="G1096" s="46" t="n">
        <x:v>6</x:v>
      </x:c>
      <x:c r="H1096" s="61" t="n">
        <x:v>41.46694444444445</x:v>
      </x:c>
      <x:c r="I1096" s="52" t="n">
        <x:v>0.9444444444444444</x:v>
      </x:c>
      <x:c r="J1096" s="52" t="n">
        <x:v>0.4583570581654731</x:v>
      </x:c>
      <x:c r="K1096" s="60" t="n">
        <x:v>1449.53</x:v>
      </x:c>
      <x:c r="L1096" s="60" t="n">
        <x:v>43.28</x:v>
      </x:c>
      <x:c r="M1096" s="50" t="n">
        <x:v>34</x:v>
      </x:c>
      <x:c r="N1096" s="50" t="n">
        <x:v>2</x:v>
      </x:c>
      <x:c r="O1096" s="50" t="n">
        <x:v>74</x:v>
      </x:c>
      <x:c r="P1096" s="50" t="n">
        <x:v>10</x:v>
      </x:c>
    </x:row>
    <x:row r="1097" ht="36" customHeight="1">
      <x:c r="A1097" s="53" t="n">
        <x:v>1078</x:v>
      </x:c>
      <x:c r="B1097" s="53" t="n">
        <x:v>1</x:v>
      </x:c>
      <x:c r="C1097" s="40" t="str">
        <x:v>High-Value Frequent Shoppers</x:v>
      </x:c>
      <x:c r="D1097" s="60" t="n">
        <x:v>6885.68</x:v>
      </x:c>
      <x:c r="E1097" s="50" t="n">
        <x:v>250</x:v>
      </x:c>
      <x:c r="F1097" s="46" t="n">
        <x:v>11.904761904761903</x:v>
      </x:c>
      <x:c r="G1097" s="46" t="n">
        <x:v>1</x:v>
      </x:c>
      <x:c r="H1097" s="61" t="n">
        <x:v>27.54272</x:v>
      </x:c>
      <x:c r="I1097" s="52" t="n">
        <x:v>0.832</x:v>
      </x:c>
      <x:c r="J1097" s="52" t="n">
        <x:v>0.5967544236734788</x:v>
      </x:c>
      <x:c r="K1097" s="60" t="n">
        <x:v>6503.52</x:v>
      </x:c>
      <x:c r="L1097" s="60" t="n">
        <x:v>382.16</x:v>
      </x:c>
      <x:c r="M1097" s="50" t="n">
        <x:v>208</x:v>
      </x:c>
      <x:c r="N1097" s="50" t="n">
        <x:v>42</x:v>
      </x:c>
      <x:c r="O1097" s="50" t="n">
        <x:v>168</x:v>
      </x:c>
      <x:c r="P1097" s="50" t="n">
        <x:v>21</x:v>
      </x:c>
    </x:row>
    <x:row r="1098" ht="36" customHeight="1">
      <x:c r="A1098" s="53" t="n">
        <x:v>1079</x:v>
      </x:c>
      <x:c r="B1098" s="53" t="n">
        <x:v>3</x:v>
      </x:c>
      <x:c r="C1098" s="40" t="str">
        <x:v>Low-Value Low-Engagement Shoppers</x:v>
      </x:c>
      <x:c r="D1098" s="60" t="n">
        <x:v>1001.3</x:v>
      </x:c>
      <x:c r="E1098" s="50" t="n">
        <x:v>50</x:v>
      </x:c>
      <x:c r="F1098" s="46" t="n">
        <x:v>2.9411764705882355</x:v>
      </x:c>
      <x:c r="G1098" s="46" t="n">
        <x:v>49</x:v>
      </x:c>
      <x:c r="H1098" s="61" t="n">
        <x:v>20.026</x:v>
      </x:c>
      <x:c r="I1098" s="52" t="n">
        <x:v>0.84</x:v>
      </x:c>
      <x:c r="J1098" s="52" t="n">
        <x:v>0.6171776690302606</x:v>
      </x:c>
      <x:c r="K1098" s="60" t="n">
        <x:v>899.41</x:v>
      </x:c>
      <x:c r="L1098" s="60" t="n">
        <x:v>101.89</x:v>
      </x:c>
      <x:c r="M1098" s="50" t="n">
        <x:v>42</x:v>
      </x:c>
      <x:c r="N1098" s="50" t="n">
        <x:v>8</x:v>
      </x:c>
      <x:c r="O1098" s="50" t="n">
        <x:v>52</x:v>
      </x:c>
      <x:c r="P1098" s="50" t="n">
        <x:v>17</x:v>
      </x:c>
    </x:row>
    <x:row r="1099" ht="36" customHeight="1">
      <x:c r="A1099" s="53" t="n">
        <x:v>1080</x:v>
      </x:c>
      <x:c r="B1099" s="53" t="n">
        <x:v>2</x:v>
      </x:c>
      <x:c r="C1099" s="40" t="str">
        <x:v>Large-Basket Occasional Shoppers</x:v>
      </x:c>
      <x:c r="D1099" s="60" t="n">
        <x:v>2206.11</x:v>
      </x:c>
      <x:c r="E1099" s="50" t="n">
        <x:v>84</x:v>
      </x:c>
      <x:c r="F1099" s="46" t="n">
        <x:v>4.2</x:v>
      </x:c>
      <x:c r="G1099" s="46" t="n">
        <x:v>23</x:v>
      </x:c>
      <x:c r="H1099" s="61" t="n">
        <x:v>26.263214285714284</x:v>
      </x:c>
      <x:c r="I1099" s="52" t="n">
        <x:v>0.8452380952380952</x:v>
      </x:c>
      <x:c r="J1099" s="52" t="n">
        <x:v>0.6255082475488529</x:v>
      </x:c>
      <x:c r="K1099" s="60" t="n">
        <x:v>2131.74</x:v>
      </x:c>
      <x:c r="L1099" s="60" t="n">
        <x:v>74.37</x:v>
      </x:c>
      <x:c r="M1099" s="50" t="n">
        <x:v>71</x:v>
      </x:c>
      <x:c r="N1099" s="50" t="n">
        <x:v>13</x:v>
      </x:c>
      <x:c r="O1099" s="50" t="n">
        <x:v>99</x:v>
      </x:c>
      <x:c r="P1099" s="50" t="n">
        <x:v>20</x:v>
      </x:c>
    </x:row>
    <x:row r="1100" ht="36" customHeight="1">
      <x:c r="A1100" s="53" t="n">
        <x:v>1081</x:v>
      </x:c>
      <x:c r="B1100" s="53" t="n">
        <x:v>1</x:v>
      </x:c>
      <x:c r="C1100" s="40" t="str">
        <x:v>High-Value Frequent Shoppers</x:v>
      </x:c>
      <x:c r="D1100" s="60" t="n">
        <x:v>10201.55</x:v>
      </x:c>
      <x:c r="E1100" s="50" t="n">
        <x:v>139</x:v>
      </x:c>
      <x:c r="F1100" s="46" t="n">
        <x:v>6.61904761904762</x:v>
      </x:c>
      <x:c r="G1100" s="46" t="n">
        <x:v>12</x:v>
      </x:c>
      <x:c r="H1100" s="61" t="n">
        <x:v>73.39244604316545</x:v>
      </x:c>
      <x:c r="I1100" s="52" t="n">
        <x:v>0.8633093525179856</x:v>
      </x:c>
      <x:c r="J1100" s="52" t="n">
        <x:v>0.3471364645568565</x:v>
      </x:c>
      <x:c r="K1100" s="60" t="n">
        <x:v>9932.83</x:v>
      </x:c>
      <x:c r="L1100" s="60" t="n">
        <x:v>268.72</x:v>
      </x:c>
      <x:c r="M1100" s="50" t="n">
        <x:v>120</x:v>
      </x:c>
      <x:c r="N1100" s="50" t="n">
        <x:v>19</x:v>
      </x:c>
      <x:c r="O1100" s="50" t="n">
        <x:v>198</x:v>
      </x:c>
      <x:c r="P1100" s="50" t="n">
        <x:v>21</x:v>
      </x:c>
    </x:row>
    <x:row r="1101" ht="36" customHeight="1">
      <x:c r="A1101" s="53" t="n">
        <x:v>1082</x:v>
      </x:c>
      <x:c r="B1101" s="53" t="n">
        <x:v>1</x:v>
      </x:c>
      <x:c r="C1101" s="40" t="str">
        <x:v>High-Value Frequent Shoppers</x:v>
      </x:c>
      <x:c r="D1101" s="60" t="n">
        <x:v>2032.54</x:v>
      </x:c>
      <x:c r="E1101" s="50" t="n">
        <x:v>142</x:v>
      </x:c>
      <x:c r="F1101" s="46" t="n">
        <x:v>5.916666666666666</x:v>
      </x:c>
      <x:c r="G1101" s="46" t="n">
        <x:v>0</x:v>
      </x:c>
      <x:c r="H1101" s="61" t="n">
        <x:v>14.313661971830983</x:v>
      </x:c>
      <x:c r="I1101" s="52" t="n">
        <x:v>0.9366197183098592</x:v>
      </x:c>
      <x:c r="J1101" s="52" t="n">
        <x:v>0.5982071693546006</x:v>
      </x:c>
      <x:c r="K1101" s="60" t="n">
        <x:v>1993.02</x:v>
      </x:c>
      <x:c r="L1101" s="60" t="n">
        <x:v>39.52</x:v>
      </x:c>
      <x:c r="M1101" s="50" t="n">
        <x:v>133</x:v>
      </x:c>
      <x:c r="N1101" s="50" t="n">
        <x:v>9</x:v>
      </x:c>
      <x:c r="O1101" s="50" t="n">
        <x:v>94</x:v>
      </x:c>
      <x:c r="P1101" s="50" t="n">
        <x:v>24</x:v>
      </x:c>
    </x:row>
    <x:row r="1102" ht="36" customHeight="1">
      <x:c r="A1102" s="53" t="n">
        <x:v>1083</x:v>
      </x:c>
      <x:c r="B1102" s="53" t="n">
        <x:v>2</x:v>
      </x:c>
      <x:c r="C1102" s="40" t="str">
        <x:v>Large-Basket Occasional Shoppers</x:v>
      </x:c>
      <x:c r="D1102" s="60" t="n">
        <x:v>1396.93</x:v>
      </x:c>
      <x:c r="E1102" s="50" t="n">
        <x:v>54</x:v>
      </x:c>
      <x:c r="F1102" s="46" t="n">
        <x:v>2.8421052631578947</x:v>
      </x:c>
      <x:c r="G1102" s="46" t="n">
        <x:v>17</x:v>
      </x:c>
      <x:c r="H1102" s="61" t="n">
        <x:v>25.869074074074074</x:v>
      </x:c>
      <x:c r="I1102" s="52" t="n">
        <x:v>0.8888888888888888</x:v>
      </x:c>
      <x:c r="J1102" s="52" t="n">
        <x:v>0.5922487168290465</x:v>
      </x:c>
      <x:c r="K1102" s="60" t="n">
        <x:v>1367.72</x:v>
      </x:c>
      <x:c r="L1102" s="60" t="n">
        <x:v>29.21</x:v>
      </x:c>
      <x:c r="M1102" s="50" t="n">
        <x:v>48</x:v>
      </x:c>
      <x:c r="N1102" s="50" t="n">
        <x:v>6</x:v>
      </x:c>
      <x:c r="O1102" s="50" t="n">
        <x:v>94</x:v>
      </x:c>
      <x:c r="P1102" s="50" t="n">
        <x:v>19</x:v>
      </x:c>
    </x:row>
    <x:row r="1103" ht="36" customHeight="1">
      <x:c r="A1103" s="53" t="n">
        <x:v>1084</x:v>
      </x:c>
      <x:c r="B1103" s="53" t="n">
        <x:v>1</x:v>
      </x:c>
      <x:c r="C1103" s="40" t="str">
        <x:v>High-Value Frequent Shoppers</x:v>
      </x:c>
      <x:c r="D1103" s="60" t="n">
        <x:v>2363.16</x:v>
      </x:c>
      <x:c r="E1103" s="50" t="n">
        <x:v>223</x:v>
      </x:c>
      <x:c r="F1103" s="46" t="n">
        <x:v>9.695652173913045</x:v>
      </x:c>
      <x:c r="G1103" s="46" t="n">
        <x:v>0</x:v>
      </x:c>
      <x:c r="H1103" s="61" t="n">
        <x:v>10.597130044843048</x:v>
      </x:c>
      <x:c r="I1103" s="52" t="n">
        <x:v>0.8968609865470852</x:v>
      </x:c>
      <x:c r="J1103" s="52" t="n">
        <x:v>0.4663289832258501</x:v>
      </x:c>
      <x:c r="K1103" s="60" t="n">
        <x:v>2268.97</x:v>
      </x:c>
      <x:c r="L1103" s="60" t="n">
        <x:v>94.19</x:v>
      </x:c>
      <x:c r="M1103" s="50" t="n">
        <x:v>200</x:v>
      </x:c>
      <x:c r="N1103" s="50" t="n">
        <x:v>23</x:v>
      </x:c>
      <x:c r="O1103" s="50" t="n">
        <x:v>117</x:v>
      </x:c>
      <x:c r="P1103" s="50" t="n">
        <x:v>23</x:v>
      </x:c>
    </x:row>
    <x:row r="1104" ht="36" customHeight="1">
      <x:c r="A1104" s="53" t="n">
        <x:v>1085</x:v>
      </x:c>
      <x:c r="B1104" s="53" t="n">
        <x:v>1</x:v>
      </x:c>
      <x:c r="C1104" s="40" t="str">
        <x:v>High-Value Frequent Shoppers</x:v>
      </x:c>
      <x:c r="D1104" s="60" t="n">
        <x:v>4806</x:v>
      </x:c>
      <x:c r="E1104" s="50" t="n">
        <x:v>106</x:v>
      </x:c>
      <x:c r="F1104" s="46" t="n">
        <x:v>5.047619047619048</x:v>
      </x:c>
      <x:c r="G1104" s="46" t="n">
        <x:v>9</x:v>
      </x:c>
      <x:c r="H1104" s="61" t="n">
        <x:v>45.33962264150944</x:v>
      </x:c>
      <x:c r="I1104" s="52" t="n">
        <x:v>0.9622641509433962</x:v>
      </x:c>
      <x:c r="J1104" s="52" t="n">
        <x:v>0.568876404494382</x:v>
      </x:c>
      <x:c r="K1104" s="60" t="n">
        <x:v>4757.89</x:v>
      </x:c>
      <x:c r="L1104" s="60" t="n">
        <x:v>48.11</x:v>
      </x:c>
      <x:c r="M1104" s="50" t="n">
        <x:v>102</x:v>
      </x:c>
      <x:c r="N1104" s="50" t="n">
        <x:v>4</x:v>
      </x:c>
      <x:c r="O1104" s="50" t="n">
        <x:v>157</x:v>
      </x:c>
      <x:c r="P1104" s="50" t="n">
        <x:v>21</x:v>
      </x:c>
    </x:row>
    <x:row r="1105" ht="36" customHeight="1">
      <x:c r="A1105" s="53" t="n">
        <x:v>1086</x:v>
      </x:c>
      <x:c r="B1105" s="53" t="n">
        <x:v>2</x:v>
      </x:c>
      <x:c r="C1105" s="40" t="str">
        <x:v>Large-Basket Occasional Shoppers</x:v>
      </x:c>
      <x:c r="D1105" s="60" t="n">
        <x:v>1188.61</x:v>
      </x:c>
      <x:c r="E1105" s="50" t="n">
        <x:v>30</x:v>
      </x:c>
      <x:c r="F1105" s="46" t="n">
        <x:v>2</x:v>
      </x:c>
      <x:c r="G1105" s="46" t="n">
        <x:v>11</x:v>
      </x:c>
      <x:c r="H1105" s="61" t="n">
        <x:v>39.62033333333333</x:v>
      </x:c>
      <x:c r="I1105" s="52" t="n">
        <x:v>1</x:v>
      </x:c>
      <x:c r="J1105" s="52" t="n">
        <x:v>0.5579374227038305</x:v>
      </x:c>
      <x:c r="K1105" s="60" t="n">
        <x:v>1188.61</x:v>
      </x:c>
      <x:c r="L1105" s="60" t="n">
        <x:v>0</x:v>
      </x:c>
      <x:c r="M1105" s="50" t="n">
        <x:v>30</x:v>
      </x:c>
      <x:c r="N1105" s="50" t="n">
        <x:v>0</x:v>
      </x:c>
      <x:c r="O1105" s="50" t="n">
        <x:v>91</x:v>
      </x:c>
      <x:c r="P1105" s="50" t="n">
        <x:v>15</x:v>
      </x:c>
    </x:row>
    <x:row r="1106" ht="36" customHeight="1">
      <x:c r="A1106" s="53" t="n">
        <x:v>1087</x:v>
      </x:c>
      <x:c r="B1106" s="53" t="n">
        <x:v>1</x:v>
      </x:c>
      <x:c r="C1106" s="40" t="str">
        <x:v>High-Value Frequent Shoppers</x:v>
      </x:c>
      <x:c r="D1106" s="60" t="n">
        <x:v>3010.24</x:v>
      </x:c>
      <x:c r="E1106" s="50" t="n">
        <x:v>149</x:v>
      </x:c>
      <x:c r="F1106" s="46" t="n">
        <x:v>8.277777777777779</x:v>
      </x:c>
      <x:c r="G1106" s="46" t="n">
        <x:v>22</x:v>
      </x:c>
      <x:c r="H1106" s="61" t="n">
        <x:v>20.202953020134228</x:v>
      </x:c>
      <x:c r="I1106" s="52" t="n">
        <x:v>0.8053691275167785</x:v>
      </x:c>
      <x:c r="J1106" s="52" t="n">
        <x:v>0.618880886573828</x:v>
      </x:c>
      <x:c r="K1106" s="60" t="n">
        <x:v>2796.24</x:v>
      </x:c>
      <x:c r="L1106" s="60" t="n">
        <x:v>214</x:v>
      </x:c>
      <x:c r="M1106" s="50" t="n">
        <x:v>120</x:v>
      </x:c>
      <x:c r="N1106" s="50" t="n">
        <x:v>29</x:v>
      </x:c>
      <x:c r="O1106" s="50" t="n">
        <x:v>145</x:v>
      </x:c>
      <x:c r="P1106" s="50" t="n">
        <x:v>18</x:v>
      </x:c>
    </x:row>
    <x:row r="1107" ht="36" customHeight="1">
      <x:c r="A1107" s="53" t="n">
        <x:v>1088</x:v>
      </x:c>
      <x:c r="B1107" s="53" t="n">
        <x:v>2</x:v>
      </x:c>
      <x:c r="C1107" s="40" t="str">
        <x:v>Large-Basket Occasional Shoppers</x:v>
      </x:c>
      <x:c r="D1107" s="60" t="n">
        <x:v>1439.61</x:v>
      </x:c>
      <x:c r="E1107" s="50" t="n">
        <x:v>91</x:v>
      </x:c>
      <x:c r="F1107" s="46" t="n">
        <x:v>3.9565217391304346</x:v>
      </x:c>
      <x:c r="G1107" s="46" t="n">
        <x:v>0</x:v>
      </x:c>
      <x:c r="H1107" s="61" t="n">
        <x:v>15.819890109890109</x:v>
      </x:c>
      <x:c r="I1107" s="52" t="n">
        <x:v>0.8901098901098901</x:v>
      </x:c>
      <x:c r="J1107" s="52" t="n">
        <x:v>0.5975298865665006</x:v>
      </x:c>
      <x:c r="K1107" s="60" t="n">
        <x:v>1351.85</x:v>
      </x:c>
      <x:c r="L1107" s="60" t="n">
        <x:v>87.76</x:v>
      </x:c>
      <x:c r="M1107" s="50" t="n">
        <x:v>81</x:v>
      </x:c>
      <x:c r="N1107" s="50" t="n">
        <x:v>10</x:v>
      </x:c>
      <x:c r="O1107" s="50" t="n">
        <x:v>56</x:v>
      </x:c>
      <x:c r="P1107" s="50" t="n">
        <x:v>23</x:v>
      </x:c>
    </x:row>
    <x:row r="1108" ht="36" customHeight="1">
      <x:c r="A1108" s="53" t="n">
        <x:v>1089</x:v>
      </x:c>
      <x:c r="B1108" s="53" t="n">
        <x:v>2</x:v>
      </x:c>
      <x:c r="C1108" s="40" t="str">
        <x:v>Large-Basket Occasional Shoppers</x:v>
      </x:c>
      <x:c r="D1108" s="60" t="n">
        <x:v>2404.98</x:v>
      </x:c>
      <x:c r="E1108" s="50" t="n">
        <x:v>95</x:v>
      </x:c>
      <x:c r="F1108" s="46" t="n">
        <x:v>4.130434782608696</x:v>
      </x:c>
      <x:c r="G1108" s="46" t="n">
        <x:v>7</x:v>
      </x:c>
      <x:c r="H1108" s="61" t="n">
        <x:v>25.31557894736842</x:v>
      </x:c>
      <x:c r="I1108" s="52" t="n">
        <x:v>0.7473684210526315</x:v>
      </x:c>
      <x:c r="J1108" s="52" t="n">
        <x:v>0.5431812322763598</x:v>
      </x:c>
      <x:c r="K1108" s="60" t="n">
        <x:v>2263.31</x:v>
      </x:c>
      <x:c r="L1108" s="60" t="n">
        <x:v>141.67</x:v>
      </x:c>
      <x:c r="M1108" s="50" t="n">
        <x:v>71</x:v>
      </x:c>
      <x:c r="N1108" s="50" t="n">
        <x:v>24</x:v>
      </x:c>
      <x:c r="O1108" s="50" t="n">
        <x:v>116</x:v>
      </x:c>
      <x:c r="P1108" s="50" t="n">
        <x:v>23</x:v>
      </x:c>
    </x:row>
    <x:row r="1109" ht="36" customHeight="1">
      <x:c r="A1109" s="53" t="n">
        <x:v>1090</x:v>
      </x:c>
      <x:c r="B1109" s="53" t="n">
        <x:v>3</x:v>
      </x:c>
      <x:c r="C1109" s="40" t="str">
        <x:v>Low-Value Low-Engagement Shoppers</x:v>
      </x:c>
      <x:c r="D1109" s="60" t="n">
        <x:v>307.87</x:v>
      </x:c>
      <x:c r="E1109" s="50" t="n">
        <x:v>12</x:v>
      </x:c>
      <x:c r="F1109" s="46" t="n">
        <x:v>1.2</x:v>
      </x:c>
      <x:c r="G1109" s="46" t="n">
        <x:v>29</x:v>
      </x:c>
      <x:c r="H1109" s="61" t="n">
        <x:v>25.655833333333334</x:v>
      </x:c>
      <x:c r="I1109" s="52" t="n">
        <x:v>0.75</x:v>
      </x:c>
      <x:c r="J1109" s="52" t="n">
        <x:v>0.1899178224575307</x:v>
      </x:c>
      <x:c r="K1109" s="60" t="n">
        <x:v>274.15</x:v>
      </x:c>
      <x:c r="L1109" s="60" t="n">
        <x:v>33.72</x:v>
      </x:c>
      <x:c r="M1109" s="50" t="n">
        <x:v>9</x:v>
      </x:c>
      <x:c r="N1109" s="50" t="n">
        <x:v>3</x:v>
      </x:c>
      <x:c r="O1109" s="50" t="n">
        <x:v>48</x:v>
      </x:c>
      <x:c r="P1109" s="50" t="n">
        <x:v>10</x:v>
      </x:c>
    </x:row>
    <x:row r="1110" ht="36" customHeight="1">
      <x:c r="A1110" s="53" t="n">
        <x:v>1091</x:v>
      </x:c>
      <x:c r="B1110" s="53" t="n">
        <x:v>1</x:v>
      </x:c>
      <x:c r="C1110" s="40" t="str">
        <x:v>High-Value Frequent Shoppers</x:v>
      </x:c>
      <x:c r="D1110" s="60" t="n">
        <x:v>5617.4</x:v>
      </x:c>
      <x:c r="E1110" s="50" t="n">
        <x:v>116</x:v>
      </x:c>
      <x:c r="F1110" s="46" t="n">
        <x:v>6.105263157894737</x:v>
      </x:c>
      <x:c r="G1110" s="46" t="n">
        <x:v>45</x:v>
      </x:c>
      <x:c r="H1110" s="61" t="n">
        <x:v>48.42586206896552</x:v>
      </x:c>
      <x:c r="I1110" s="52" t="n">
        <x:v>0.8103448275862069</x:v>
      </x:c>
      <x:c r="J1110" s="52" t="n">
        <x:v>0.5308096272296792</x:v>
      </x:c>
      <x:c r="K1110" s="60" t="n">
        <x:v>5258</x:v>
      </x:c>
      <x:c r="L1110" s="60" t="n">
        <x:v>359.4</x:v>
      </x:c>
      <x:c r="M1110" s="50" t="n">
        <x:v>94</x:v>
      </x:c>
      <x:c r="N1110" s="50" t="n">
        <x:v>22</x:v>
      </x:c>
      <x:c r="O1110" s="50" t="n">
        <x:v>143</x:v>
      </x:c>
      <x:c r="P1110" s="50" t="n">
        <x:v>19</x:v>
      </x:c>
    </x:row>
    <x:row r="1111" ht="36" customHeight="1">
      <x:c r="A1111" s="53" t="n">
        <x:v>1092</x:v>
      </x:c>
      <x:c r="B1111" s="53" t="n">
        <x:v>2</x:v>
      </x:c>
      <x:c r="C1111" s="40" t="str">
        <x:v>Large-Basket Occasional Shoppers</x:v>
      </x:c>
      <x:c r="D1111" s="60" t="n">
        <x:v>944.69</x:v>
      </x:c>
      <x:c r="E1111" s="50" t="n">
        <x:v>42</x:v>
      </x:c>
      <x:c r="F1111" s="46" t="n">
        <x:v>2.1</x:v>
      </x:c>
      <x:c r="G1111" s="46" t="n">
        <x:v>5</x:v>
      </x:c>
      <x:c r="H1111" s="61" t="n">
        <x:v>22.492619047619048</x:v>
      </x:c>
      <x:c r="I1111" s="52" t="n">
        <x:v>0.9285714285714284</x:v>
      </x:c>
      <x:c r="J1111" s="52" t="n">
        <x:v>0.6660385946712678</x:v>
      </x:c>
      <x:c r="K1111" s="60" t="n">
        <x:v>929.06</x:v>
      </x:c>
      <x:c r="L1111" s="60" t="n">
        <x:v>15.63</x:v>
      </x:c>
      <x:c r="M1111" s="50" t="n">
        <x:v>39</x:v>
      </x:c>
      <x:c r="N1111" s="50" t="n">
        <x:v>3</x:v>
      </x:c>
      <x:c r="O1111" s="50" t="n">
        <x:v>71</x:v>
      </x:c>
      <x:c r="P1111" s="50" t="n">
        <x:v>20</x:v>
      </x:c>
    </x:row>
    <x:row r="1112" ht="36" customHeight="1">
      <x:c r="A1112" s="53" t="n">
        <x:v>1093</x:v>
      </x:c>
      <x:c r="B1112" s="53" t="n">
        <x:v>2</x:v>
      </x:c>
      <x:c r="C1112" s="40" t="str">
        <x:v>Large-Basket Occasional Shoppers</x:v>
      </x:c>
      <x:c r="D1112" s="60" t="n">
        <x:v>993.76</x:v>
      </x:c>
      <x:c r="E1112" s="50" t="n">
        <x:v>33</x:v>
      </x:c>
      <x:c r="F1112" s="46" t="n">
        <x:v>1.8333333333333333</x:v>
      </x:c>
      <x:c r="G1112" s="46" t="n">
        <x:v>0</x:v>
      </x:c>
      <x:c r="H1112" s="61" t="n">
        <x:v>30.1139393939394</x:v>
      </x:c>
      <x:c r="I1112" s="52" t="n">
        <x:v>0.7575757575757575</x:v>
      </x:c>
      <x:c r="J1112" s="52" t="n">
        <x:v>0.4945258412493962</x:v>
      </x:c>
      <x:c r="K1112" s="60" t="n">
        <x:v>935.83</x:v>
      </x:c>
      <x:c r="L1112" s="60" t="n">
        <x:v>57.93</x:v>
      </x:c>
      <x:c r="M1112" s="50" t="n">
        <x:v>25</x:v>
      </x:c>
      <x:c r="N1112" s="50" t="n">
        <x:v>8</x:v>
      </x:c>
      <x:c r="O1112" s="50" t="n">
        <x:v>102</x:v>
      </x:c>
      <x:c r="P1112" s="50" t="n">
        <x:v>18</x:v>
      </x:c>
    </x:row>
    <x:row r="1113" ht="36" customHeight="1">
      <x:c r="A1113" s="53" t="n">
        <x:v>1094</x:v>
      </x:c>
      <x:c r="B1113" s="53" t="n">
        <x:v>1</x:v>
      </x:c>
      <x:c r="C1113" s="40" t="str">
        <x:v>High-Value Frequent Shoppers</x:v>
      </x:c>
      <x:c r="D1113" s="60" t="n">
        <x:v>5935.57</x:v>
      </x:c>
      <x:c r="E1113" s="50" t="n">
        <x:v>95</x:v>
      </x:c>
      <x:c r="F1113" s="46" t="n">
        <x:v>4.3181818181818175</x:v>
      </x:c>
      <x:c r="G1113" s="46" t="n">
        <x:v>2</x:v>
      </x:c>
      <x:c r="H1113" s="61" t="n">
        <x:v>62.47968421052632</x:v>
      </x:c>
      <x:c r="I1113" s="52" t="n">
        <x:v>0.7894736842105263</x:v>
      </x:c>
      <x:c r="J1113" s="52" t="n">
        <x:v>0.528274453843523</x:v>
      </x:c>
      <x:c r="K1113" s="60" t="n">
        <x:v>5691.45</x:v>
      </x:c>
      <x:c r="L1113" s="60" t="n">
        <x:v>244.12</x:v>
      </x:c>
      <x:c r="M1113" s="50" t="n">
        <x:v>75</x:v>
      </x:c>
      <x:c r="N1113" s="50" t="n">
        <x:v>20</x:v>
      </x:c>
      <x:c r="O1113" s="50" t="n">
        <x:v>158</x:v>
      </x:c>
      <x:c r="P1113" s="50" t="n">
        <x:v>22</x:v>
      </x:c>
    </x:row>
    <x:row r="1114" ht="36" customHeight="1">
      <x:c r="A1114" s="53" t="n">
        <x:v>1095</x:v>
      </x:c>
      <x:c r="B1114" s="53" t="n">
        <x:v>3</x:v>
      </x:c>
      <x:c r="C1114" s="40" t="str">
        <x:v>Low-Value Low-Engagement Shoppers</x:v>
      </x:c>
      <x:c r="D1114" s="60" t="n">
        <x:v>599.54</x:v>
      </x:c>
      <x:c r="E1114" s="50" t="n">
        <x:v>30</x:v>
      </x:c>
      <x:c r="F1114" s="46" t="n">
        <x:v>2.142857142857143</x:v>
      </x:c>
      <x:c r="G1114" s="46" t="n">
        <x:v>67</x:v>
      </x:c>
      <x:c r="H1114" s="61" t="n">
        <x:v>19.984666666666666</x:v>
      </x:c>
      <x:c r="I1114" s="52" t="n">
        <x:v>0.7</x:v>
      </x:c>
      <x:c r="J1114" s="52" t="n">
        <x:v>0.2229542649364512</x:v>
      </x:c>
      <x:c r="K1114" s="60" t="n">
        <x:v>469.92</x:v>
      </x:c>
      <x:c r="L1114" s="60" t="n">
        <x:v>129.62</x:v>
      </x:c>
      <x:c r="M1114" s="50" t="n">
        <x:v>21</x:v>
      </x:c>
      <x:c r="N1114" s="50" t="n">
        <x:v>9</x:v>
      </x:c>
      <x:c r="O1114" s="50" t="n">
        <x:v>67</x:v>
      </x:c>
      <x:c r="P1114" s="50" t="n">
        <x:v>14</x:v>
      </x:c>
    </x:row>
    <x:row r="1115" ht="36" customHeight="1">
      <x:c r="A1115" s="53" t="n">
        <x:v>1096</x:v>
      </x:c>
      <x:c r="B1115" s="53" t="n">
        <x:v>3</x:v>
      </x:c>
      <x:c r="C1115" s="40" t="str">
        <x:v>Low-Value Low-Engagement Shoppers</x:v>
      </x:c>
      <x:c r="D1115" s="60" t="n">
        <x:v>592.36</x:v>
      </x:c>
      <x:c r="E1115" s="50" t="n">
        <x:v>47</x:v>
      </x:c>
      <x:c r="F1115" s="46" t="n">
        <x:v>4.2727272727272725</x:v>
      </x:c>
      <x:c r="G1115" s="46" t="n">
        <x:v>26</x:v>
      </x:c>
      <x:c r="H1115" s="61" t="n">
        <x:v>12.603404255319148</x:v>
      </x:c>
      <x:c r="I1115" s="52" t="n">
        <x:v>0.8936170212765957</x:v>
      </x:c>
      <x:c r="J1115" s="52" t="n">
        <x:v>0.4328448916199608</x:v>
      </x:c>
      <x:c r="K1115" s="60" t="n">
        <x:v>574.23</x:v>
      </x:c>
      <x:c r="L1115" s="60" t="n">
        <x:v>18.13</x:v>
      </x:c>
      <x:c r="M1115" s="50" t="n">
        <x:v>42</x:v>
      </x:c>
      <x:c r="N1115" s="50" t="n">
        <x:v>5</x:v>
      </x:c>
      <x:c r="O1115" s="50" t="n">
        <x:v>79</x:v>
      </x:c>
      <x:c r="P1115" s="50" t="n">
        <x:v>11</x:v>
      </x:c>
    </x:row>
    <x:row r="1116" ht="36" customHeight="1">
      <x:c r="A1116" s="53" t="n">
        <x:v>1097</x:v>
      </x:c>
      <x:c r="B1116" s="53" t="n">
        <x:v>1</x:v>
      </x:c>
      <x:c r="C1116" s="40" t="str">
        <x:v>High-Value Frequent Shoppers</x:v>
      </x:c>
      <x:c r="D1116" s="60" t="n">
        <x:v>8806.33</x:v>
      </x:c>
      <x:c r="E1116" s="50" t="n">
        <x:v>164</x:v>
      </x:c>
      <x:c r="F1116" s="46" t="n">
        <x:v>7.130434782608696</x:v>
      </x:c>
      <x:c r="G1116" s="46" t="n">
        <x:v>6</x:v>
      </x:c>
      <x:c r="H1116" s="61" t="n">
        <x:v>53.697134146341455</x:v>
      </x:c>
      <x:c r="I1116" s="52" t="n">
        <x:v>0.8780487804878048</x:v>
      </x:c>
      <x:c r="J1116" s="52" t="n">
        <x:v>0.5290739729262927</x:v>
      </x:c>
      <x:c r="K1116" s="60" t="n">
        <x:v>8541.29</x:v>
      </x:c>
      <x:c r="L1116" s="60" t="n">
        <x:v>265.04</x:v>
      </x:c>
      <x:c r="M1116" s="50" t="n">
        <x:v>144</x:v>
      </x:c>
      <x:c r="N1116" s="50" t="n">
        <x:v>20</x:v>
      </x:c>
      <x:c r="O1116" s="50" t="n">
        <x:v>182</x:v>
      </x:c>
      <x:c r="P1116" s="50" t="n">
        <x:v>23</x:v>
      </x:c>
    </x:row>
    <x:row r="1117" ht="36" customHeight="1">
      <x:c r="A1117" s="53" t="n">
        <x:v>1098</x:v>
      </x:c>
      <x:c r="B1117" s="53" t="n">
        <x:v>1</x:v>
      </x:c>
      <x:c r="C1117" s="40" t="str">
        <x:v>High-Value Frequent Shoppers</x:v>
      </x:c>
      <x:c r="D1117" s="60" t="n">
        <x:v>9500.7</x:v>
      </x:c>
      <x:c r="E1117" s="50" t="n">
        <x:v>448</x:v>
      </x:c>
      <x:c r="F1117" s="46" t="n">
        <x:v>19.47826086956521</x:v>
      </x:c>
      <x:c r="G1117" s="46" t="n">
        <x:v>0</x:v>
      </x:c>
      <x:c r="H1117" s="61" t="n">
        <x:v>21.206919642857144</x:v>
      </x:c>
      <x:c r="I1117" s="52" t="n">
        <x:v>0.9441964285714284</x:v>
      </x:c>
      <x:c r="J1117" s="52" t="n">
        <x:v>0.6900807308935131</x:v>
      </x:c>
      <x:c r="K1117" s="60" t="n">
        <x:v>9255.42</x:v>
      </x:c>
      <x:c r="L1117" s="60" t="n">
        <x:v>245.28</x:v>
      </x:c>
      <x:c r="M1117" s="50" t="n">
        <x:v>423</x:v>
      </x:c>
      <x:c r="N1117" s="50" t="n">
        <x:v>25</x:v>
      </x:c>
      <x:c r="O1117" s="50" t="n">
        <x:v>159</x:v>
      </x:c>
      <x:c r="P1117" s="50" t="n">
        <x:v>23</x:v>
      </x:c>
    </x:row>
    <x:row r="1118" ht="36" customHeight="1">
      <x:c r="A1118" s="53" t="n">
        <x:v>1099</x:v>
      </x:c>
      <x:c r="B1118" s="53" t="n">
        <x:v>2</x:v>
      </x:c>
      <x:c r="C1118" s="40" t="str">
        <x:v>Large-Basket Occasional Shoppers</x:v>
      </x:c>
      <x:c r="D1118" s="60" t="n">
        <x:v>683.13</x:v>
      </x:c>
      <x:c r="E1118" s="50" t="n">
        <x:v>28</x:v>
      </x:c>
      <x:c r="F1118" s="46" t="n">
        <x:v>2.333333333333333</x:v>
      </x:c>
      <x:c r="G1118" s="46" t="n">
        <x:v>63</x:v>
      </x:c>
      <x:c r="H1118" s="61" t="n">
        <x:v>24.3975</x:v>
      </x:c>
      <x:c r="I1118" s="52" t="n">
        <x:v>0.9285714285714284</x:v>
      </x:c>
      <x:c r="J1118" s="52" t="n">
        <x:v>0.6106597572936338</x:v>
      </x:c>
      <x:c r="K1118" s="60" t="n">
        <x:v>674.14</x:v>
      </x:c>
      <x:c r="L1118" s="60" t="n">
        <x:v>8.99</x:v>
      </x:c>
      <x:c r="M1118" s="50" t="n">
        <x:v>26</x:v>
      </x:c>
      <x:c r="N1118" s="50" t="n">
        <x:v>2</x:v>
      </x:c>
      <x:c r="O1118" s="50" t="n">
        <x:v>53</x:v>
      </x:c>
      <x:c r="P1118" s="50" t="n">
        <x:v>12</x:v>
      </x:c>
    </x:row>
    <x:row r="1119" ht="36" customHeight="1">
      <x:c r="A1119" s="53" t="n">
        <x:v>1100</x:v>
      </x:c>
      <x:c r="B1119" s="53" t="n">
        <x:v>3</x:v>
      </x:c>
      <x:c r="C1119" s="40" t="str">
        <x:v>Low-Value Low-Engagement Shoppers</x:v>
      </x:c>
      <x:c r="D1119" s="60" t="n">
        <x:v>313.41</x:v>
      </x:c>
      <x:c r="E1119" s="50" t="n">
        <x:v>26</x:v>
      </x:c>
      <x:c r="F1119" s="46" t="n">
        <x:v>1.625</x:v>
      </x:c>
      <x:c r="G1119" s="46" t="n">
        <x:v>8</x:v>
      </x:c>
      <x:c r="H1119" s="61" t="n">
        <x:v>12.054230769230768</x:v>
      </x:c>
      <x:c r="I1119" s="52" t="n">
        <x:v>0.5769230769230769</x:v>
      </x:c>
      <x:c r="J1119" s="52" t="n">
        <x:v>0.4760218244472097</x:v>
      </x:c>
      <x:c r="K1119" s="60" t="n">
        <x:v>191.48</x:v>
      </x:c>
      <x:c r="L1119" s="60" t="n">
        <x:v>121.93</x:v>
      </x:c>
      <x:c r="M1119" s="50" t="n">
        <x:v>15</x:v>
      </x:c>
      <x:c r="N1119" s="50" t="n">
        <x:v>11</x:v>
      </x:c>
      <x:c r="O1119" s="50" t="n">
        <x:v>28</x:v>
      </x:c>
      <x:c r="P1119" s="50" t="n">
        <x:v>16</x:v>
      </x:c>
    </x:row>
    <x:row r="1120" ht="36" customHeight="1">
      <x:c r="A1120" s="53" t="n">
        <x:v>1101</x:v>
      </x:c>
      <x:c r="B1120" s="53" t="n">
        <x:v>3</x:v>
      </x:c>
      <x:c r="C1120" s="40" t="str">
        <x:v>Low-Value Low-Engagement Shoppers</x:v>
      </x:c>
      <x:c r="D1120" s="60" t="n">
        <x:v>190.78</x:v>
      </x:c>
      <x:c r="E1120" s="50" t="n">
        <x:v>16</x:v>
      </x:c>
      <x:c r="F1120" s="46" t="n">
        <x:v>2</x:v>
      </x:c>
      <x:c r="G1120" s="46" t="n">
        <x:v>50</x:v>
      </x:c>
      <x:c r="H1120" s="61" t="n">
        <x:v>11.92375</x:v>
      </x:c>
      <x:c r="I1120" s="52" t="n">
        <x:v>0.8125</x:v>
      </x:c>
      <x:c r="J1120" s="52" t="n">
        <x:v>0.6016878079463256</x:v>
      </x:c>
      <x:c r="K1120" s="60" t="n">
        <x:v>170.41</x:v>
      </x:c>
      <x:c r="L1120" s="60" t="n">
        <x:v>20.37</x:v>
      </x:c>
      <x:c r="M1120" s="50" t="n">
        <x:v>13</x:v>
      </x:c>
      <x:c r="N1120" s="50" t="n">
        <x:v>3</x:v>
      </x:c>
      <x:c r="O1120" s="50" t="n">
        <x:v>29</x:v>
      </x:c>
      <x:c r="P1120" s="50" t="n">
        <x:v>8</x:v>
      </x:c>
    </x:row>
    <x:row r="1121" ht="36" customHeight="1">
      <x:c r="A1121" s="53" t="n">
        <x:v>1102</x:v>
      </x:c>
      <x:c r="B1121" s="53" t="n">
        <x:v>2</x:v>
      </x:c>
      <x:c r="C1121" s="40" t="str">
        <x:v>Large-Basket Occasional Shoppers</x:v>
      </x:c>
      <x:c r="D1121" s="60" t="n">
        <x:v>2263.4</x:v>
      </x:c>
      <x:c r="E1121" s="50" t="n">
        <x:v>81</x:v>
      </x:c>
      <x:c r="F1121" s="46" t="n">
        <x:v>3.5217391304347823</x:v>
      </x:c>
      <x:c r="G1121" s="46" t="n">
        <x:v>18</x:v>
      </x:c>
      <x:c r="H1121" s="61" t="n">
        <x:v>27.943209876543207</x:v>
      </x:c>
      <x:c r="I1121" s="52" t="n">
        <x:v>0.9135802469135802</x:v>
      </x:c>
      <x:c r="J1121" s="52" t="n">
        <x:v>0.5569983211098347</x:v>
      </x:c>
      <x:c r="K1121" s="60" t="n">
        <x:v>2205.75</x:v>
      </x:c>
      <x:c r="L1121" s="60" t="n">
        <x:v>57.65</x:v>
      </x:c>
      <x:c r="M1121" s="50" t="n">
        <x:v>74</x:v>
      </x:c>
      <x:c r="N1121" s="50" t="n">
        <x:v>7</x:v>
      </x:c>
      <x:c r="O1121" s="50" t="n">
        <x:v>134</x:v>
      </x:c>
      <x:c r="P1121" s="50" t="n">
        <x:v>23</x:v>
      </x:c>
    </x:row>
    <x:row r="1122" ht="36" customHeight="1">
      <x:c r="A1122" s="53" t="n">
        <x:v>1103</x:v>
      </x:c>
      <x:c r="B1122" s="53" t="n">
        <x:v>1</x:v>
      </x:c>
      <x:c r="C1122" s="40" t="str">
        <x:v>High-Value Frequent Shoppers</x:v>
      </x:c>
      <x:c r="D1122" s="60" t="n">
        <x:v>6104.19</x:v>
      </x:c>
      <x:c r="E1122" s="50" t="n">
        <x:v>204</x:v>
      </x:c>
      <x:c r="F1122" s="46" t="n">
        <x:v>9.714285714285714</x:v>
      </x:c>
      <x:c r="G1122" s="46" t="n">
        <x:v>3</x:v>
      </x:c>
      <x:c r="H1122" s="61" t="n">
        <x:v>29.9225</x:v>
      </x:c>
      <x:c r="I1122" s="52" t="n">
        <x:v>0.8578431372549019</x:v>
      </x:c>
      <x:c r="J1122" s="52" t="n">
        <x:v>0.5392066760700436</x:v>
      </x:c>
      <x:c r="K1122" s="60" t="n">
        <x:v>5716.12</x:v>
      </x:c>
      <x:c r="L1122" s="60" t="n">
        <x:v>388.07</x:v>
      </x:c>
      <x:c r="M1122" s="50" t="n">
        <x:v>175</x:v>
      </x:c>
      <x:c r="N1122" s="50" t="n">
        <x:v>29</x:v>
      </x:c>
      <x:c r="O1122" s="50" t="n">
        <x:v>159</x:v>
      </x:c>
      <x:c r="P1122" s="50" t="n">
        <x:v>21</x:v>
      </x:c>
    </x:row>
    <x:row r="1123" ht="36" customHeight="1">
      <x:c r="A1123" s="53" t="n">
        <x:v>1104</x:v>
      </x:c>
      <x:c r="B1123" s="53" t="n">
        <x:v>1</x:v>
      </x:c>
      <x:c r="C1123" s="40" t="str">
        <x:v>High-Value Frequent Shoppers</x:v>
      </x:c>
      <x:c r="D1123" s="60" t="n">
        <x:v>3378.16</x:v>
      </x:c>
      <x:c r="E1123" s="50" t="n">
        <x:v>118</x:v>
      </x:c>
      <x:c r="F1123" s="46" t="n">
        <x:v>5.363636363636364</x:v>
      </x:c>
      <x:c r="G1123" s="46" t="n">
        <x:v>13</x:v>
      </x:c>
      <x:c r="H1123" s="61" t="n">
        <x:v>28.628474576271184</x:v>
      </x:c>
      <x:c r="I1123" s="52" t="n">
        <x:v>0.8559322033898304</x:v>
      </x:c>
      <x:c r="J1123" s="52" t="n">
        <x:v>0.4039181092665829</x:v>
      </x:c>
      <x:c r="K1123" s="60" t="n">
        <x:v>3178.19</x:v>
      </x:c>
      <x:c r="L1123" s="60" t="n">
        <x:v>199.97</x:v>
      </x:c>
      <x:c r="M1123" s="50" t="n">
        <x:v>101</x:v>
      </x:c>
      <x:c r="N1123" s="50" t="n">
        <x:v>17</x:v>
      </x:c>
      <x:c r="O1123" s="50" t="n">
        <x:v>145</x:v>
      </x:c>
      <x:c r="P1123" s="50" t="n">
        <x:v>22</x:v>
      </x:c>
    </x:row>
    <x:row r="1124" ht="36" customHeight="1">
      <x:c r="A1124" s="53" t="n">
        <x:v>1105</x:v>
      </x:c>
      <x:c r="B1124" s="53" t="n">
        <x:v>2</x:v>
      </x:c>
      <x:c r="C1124" s="40" t="str">
        <x:v>Large-Basket Occasional Shoppers</x:v>
      </x:c>
      <x:c r="D1124" s="60" t="n">
        <x:v>500.14</x:v>
      </x:c>
      <x:c r="E1124" s="50" t="n">
        <x:v>9</x:v>
      </x:c>
      <x:c r="F1124" s="46" t="n">
        <x:v>3</x:v>
      </x:c>
      <x:c r="G1124" s="46" t="n">
        <x:v>23</x:v>
      </x:c>
      <x:c r="H1124" s="61" t="n">
        <x:v>55.57111111111112</x:v>
      </x:c>
      <x:c r="I1124" s="52" t="n">
        <x:v>1</x:v>
      </x:c>
      <x:c r="J1124" s="52" t="n">
        <x:v>0.4016675330907345</x:v>
      </x:c>
      <x:c r="K1124" s="60" t="n">
        <x:v>500.14</x:v>
      </x:c>
      <x:c r="L1124" s="60" t="n">
        <x:v>0</x:v>
      </x:c>
      <x:c r="M1124" s="50" t="n">
        <x:v>9</x:v>
      </x:c>
      <x:c r="N1124" s="50" t="n">
        <x:v>0</x:v>
      </x:c>
      <x:c r="O1124" s="50" t="n">
        <x:v>68</x:v>
      </x:c>
      <x:c r="P1124" s="50" t="n">
        <x:v>3</x:v>
      </x:c>
    </x:row>
    <x:row r="1125" ht="36" customHeight="1">
      <x:c r="A1125" s="53" t="n">
        <x:v>1106</x:v>
      </x:c>
      <x:c r="B1125" s="53" t="n">
        <x:v>3</x:v>
      </x:c>
      <x:c r="C1125" s="40" t="str">
        <x:v>Low-Value Low-Engagement Shoppers</x:v>
      </x:c>
      <x:c r="D1125" s="60" t="n">
        <x:v>683.26</x:v>
      </x:c>
      <x:c r="E1125" s="50" t="n">
        <x:v>38</x:v>
      </x:c>
      <x:c r="F1125" s="46" t="n">
        <x:v>2.111111111111111</x:v>
      </x:c>
      <x:c r="G1125" s="46" t="n">
        <x:v>9</x:v>
      </x:c>
      <x:c r="H1125" s="61" t="n">
        <x:v>17.980526315789472</x:v>
      </x:c>
      <x:c r="I1125" s="52" t="n">
        <x:v>0.7368421052631579</x:v>
      </x:c>
      <x:c r="J1125" s="52" t="n">
        <x:v>0.4148493984720311</x:v>
      </x:c>
      <x:c r="K1125" s="60" t="n">
        <x:v>569.37</x:v>
      </x:c>
      <x:c r="L1125" s="60" t="n">
        <x:v>113.89</x:v>
      </x:c>
      <x:c r="M1125" s="50" t="n">
        <x:v>28</x:v>
      </x:c>
      <x:c r="N1125" s="50" t="n">
        <x:v>10</x:v>
      </x:c>
      <x:c r="O1125" s="50" t="n">
        <x:v>67</x:v>
      </x:c>
      <x:c r="P1125" s="50" t="n">
        <x:v>18</x:v>
      </x:c>
    </x:row>
    <x:row r="1126" ht="36" customHeight="1">
      <x:c r="A1126" s="53" t="n">
        <x:v>1107</x:v>
      </x:c>
      <x:c r="B1126" s="53" t="n">
        <x:v>2</x:v>
      </x:c>
      <x:c r="C1126" s="40" t="str">
        <x:v>Large-Basket Occasional Shoppers</x:v>
      </x:c>
      <x:c r="D1126" s="60" t="n">
        <x:v>877.32</x:v>
      </x:c>
      <x:c r="E1126" s="50" t="n">
        <x:v>22</x:v>
      </x:c>
      <x:c r="F1126" s="46" t="n">
        <x:v>1.4666666666666668</x:v>
      </x:c>
      <x:c r="G1126" s="46" t="n">
        <x:v>63</x:v>
      </x:c>
      <x:c r="H1126" s="61" t="n">
        <x:v>39.878181818181815</x:v>
      </x:c>
      <x:c r="I1126" s="52" t="n">
        <x:v>0.909090909090909</x:v>
      </x:c>
      <x:c r="J1126" s="52" t="n">
        <x:v>0.6042834997492363</x:v>
      </x:c>
      <x:c r="K1126" s="60" t="n">
        <x:v>869.67</x:v>
      </x:c>
      <x:c r="L1126" s="60" t="n">
        <x:v>7.65</x:v>
      </x:c>
      <x:c r="M1126" s="50" t="n">
        <x:v>20</x:v>
      </x:c>
      <x:c r="N1126" s="50" t="n">
        <x:v>2</x:v>
      </x:c>
      <x:c r="O1126" s="50" t="n">
        <x:v>70</x:v>
      </x:c>
      <x:c r="P1126" s="50" t="n">
        <x:v>15</x:v>
      </x:c>
    </x:row>
    <x:row r="1127" ht="36" customHeight="1">
      <x:c r="A1127" s="53" t="n">
        <x:v>1108</x:v>
      </x:c>
      <x:c r="B1127" s="53" t="n">
        <x:v>3</x:v>
      </x:c>
      <x:c r="C1127" s="40" t="str">
        <x:v>Low-Value Low-Engagement Shoppers</x:v>
      </x:c>
      <x:c r="D1127" s="60" t="n">
        <x:v>292.1</x:v>
      </x:c>
      <x:c r="E1127" s="50" t="n">
        <x:v>22</x:v>
      </x:c>
      <x:c r="F1127" s="46" t="n">
        <x:v>2.2</x:v>
      </x:c>
      <x:c r="G1127" s="46" t="n">
        <x:v>34</x:v>
      </x:c>
      <x:c r="H1127" s="61" t="n">
        <x:v>13.277272727272727</x:v>
      </x:c>
      <x:c r="I1127" s="52" t="n">
        <x:v>0.6363636363636364</x:v>
      </x:c>
      <x:c r="J1127" s="52" t="n">
        <x:v>0.3620335501540568</x:v>
      </x:c>
      <x:c r="K1127" s="60" t="n">
        <x:v>230.6</x:v>
      </x:c>
      <x:c r="L1127" s="60" t="n">
        <x:v>61.5</x:v>
      </x:c>
      <x:c r="M1127" s="50" t="n">
        <x:v>14</x:v>
      </x:c>
      <x:c r="N1127" s="50" t="n">
        <x:v>8</x:v>
      </x:c>
      <x:c r="O1127" s="50" t="n">
        <x:v>52</x:v>
      </x:c>
      <x:c r="P1127" s="50" t="n">
        <x:v>10</x:v>
      </x:c>
    </x:row>
    <x:row r="1128" ht="36" customHeight="1">
      <x:c r="A1128" s="53" t="n">
        <x:v>1109</x:v>
      </x:c>
      <x:c r="B1128" s="53" t="n">
        <x:v>2</x:v>
      </x:c>
      <x:c r="C1128" s="40" t="str">
        <x:v>Large-Basket Occasional Shoppers</x:v>
      </x:c>
      <x:c r="D1128" s="60" t="n">
        <x:v>3059</x:v>
      </x:c>
      <x:c r="E1128" s="50" t="n">
        <x:v>86</x:v>
      </x:c>
      <x:c r="F1128" s="46" t="n">
        <x:v>4.095238095238095</x:v>
      </x:c>
      <x:c r="G1128" s="46" t="n">
        <x:v>20</x:v>
      </x:c>
      <x:c r="H1128" s="61" t="n">
        <x:v>35.56976744186046</x:v>
      </x:c>
      <x:c r="I1128" s="52" t="n">
        <x:v>0.9534883720930232</x:v>
      </x:c>
      <x:c r="J1128" s="52" t="n">
        <x:v>0.3981824125531219</x:v>
      </x:c>
      <x:c r="K1128" s="60" t="n">
        <x:v>2858.11</x:v>
      </x:c>
      <x:c r="L1128" s="60" t="n">
        <x:v>200.89</x:v>
      </x:c>
      <x:c r="M1128" s="50" t="n">
        <x:v>82</x:v>
      </x:c>
      <x:c r="N1128" s="50" t="n">
        <x:v>4</x:v>
      </x:c>
      <x:c r="O1128" s="50" t="n">
        <x:v>128</x:v>
      </x:c>
      <x:c r="P1128" s="50" t="n">
        <x:v>21</x:v>
      </x:c>
    </x:row>
    <x:row r="1129" ht="36" customHeight="1">
      <x:c r="A1129" s="53" t="n">
        <x:v>1110</x:v>
      </x:c>
      <x:c r="B1129" s="53" t="n">
        <x:v>1</x:v>
      </x:c>
      <x:c r="C1129" s="40" t="str">
        <x:v>High-Value Frequent Shoppers</x:v>
      </x:c>
      <x:c r="D1129" s="60" t="n">
        <x:v>5508.47</x:v>
      </x:c>
      <x:c r="E1129" s="50" t="n">
        <x:v>133</x:v>
      </x:c>
      <x:c r="F1129" s="46" t="n">
        <x:v>7.823529411764707</x:v>
      </x:c>
      <x:c r="G1129" s="46" t="n">
        <x:v>3</x:v>
      </x:c>
      <x:c r="H1129" s="61" t="n">
        <x:v>41.41706766917293</x:v>
      </x:c>
      <x:c r="I1129" s="52" t="n">
        <x:v>0.8796992481203006</x:v>
      </x:c>
      <x:c r="J1129" s="52" t="n">
        <x:v>0.5685825646685921</x:v>
      </x:c>
      <x:c r="K1129" s="60" t="n">
        <x:v>5180.1</x:v>
      </x:c>
      <x:c r="L1129" s="60" t="n">
        <x:v>328.37</x:v>
      </x:c>
      <x:c r="M1129" s="50" t="n">
        <x:v>117</x:v>
      </x:c>
      <x:c r="N1129" s="50" t="n">
        <x:v>16</x:v>
      </x:c>
      <x:c r="O1129" s="50" t="n">
        <x:v>151</x:v>
      </x:c>
      <x:c r="P1129" s="50" t="n">
        <x:v>17</x:v>
      </x:c>
    </x:row>
    <x:row r="1130" ht="36" customHeight="1">
      <x:c r="A1130" s="53" t="n">
        <x:v>1111</x:v>
      </x:c>
      <x:c r="B1130" s="53" t="n">
        <x:v>1</x:v>
      </x:c>
      <x:c r="C1130" s="40" t="str">
        <x:v>High-Value Frequent Shoppers</x:v>
      </x:c>
      <x:c r="D1130" s="60" t="n">
        <x:v>18894.72</x:v>
      </x:c>
      <x:c r="E1130" s="50" t="n">
        <x:v>321</x:v>
      </x:c>
      <x:c r="F1130" s="46" t="n">
        <x:v>13.956521739130434</x:v>
      </x:c>
      <x:c r="G1130" s="46" t="n">
        <x:v>4</x:v>
      </x:c>
      <x:c r="H1130" s="61" t="n">
        <x:v>58.86205607476636</x:v>
      </x:c>
      <x:c r="I1130" s="52" t="n">
        <x:v>0.7538940809968847</x:v>
      </x:c>
      <x:c r="J1130" s="52" t="n">
        <x:v>0.3576697617112082</x:v>
      </x:c>
      <x:c r="K1130" s="60" t="n">
        <x:v>18197.69</x:v>
      </x:c>
      <x:c r="L1130" s="60" t="n">
        <x:v>697.03</x:v>
      </x:c>
      <x:c r="M1130" s="50" t="n">
        <x:v>242</x:v>
      </x:c>
      <x:c r="N1130" s="50" t="n">
        <x:v>79</x:v>
      </x:c>
      <x:c r="O1130" s="50" t="n">
        <x:v>186</x:v>
      </x:c>
      <x:c r="P1130" s="50" t="n">
        <x:v>23</x:v>
      </x:c>
    </x:row>
    <x:row r="1131" ht="36" customHeight="1">
      <x:c r="A1131" s="53" t="n">
        <x:v>1112</x:v>
      </x:c>
      <x:c r="B1131" s="53" t="n">
        <x:v>2</x:v>
      </x:c>
      <x:c r="C1131" s="40" t="str">
        <x:v>Large-Basket Occasional Shoppers</x:v>
      </x:c>
      <x:c r="D1131" s="60" t="n">
        <x:v>1889.45</x:v>
      </x:c>
      <x:c r="E1131" s="50" t="n">
        <x:v>52</x:v>
      </x:c>
      <x:c r="F1131" s="46" t="n">
        <x:v>2.888888888888889</x:v>
      </x:c>
      <x:c r="G1131" s="46" t="n">
        <x:v>35</x:v>
      </x:c>
      <x:c r="H1131" s="61" t="n">
        <x:v>36.33557692307692</x:v>
      </x:c>
      <x:c r="I1131" s="52" t="n">
        <x:v>0.8846153846153846</x:v>
      </x:c>
      <x:c r="J1131" s="52" t="n">
        <x:v>0.5319907909709174</x:v>
      </x:c>
      <x:c r="K1131" s="60" t="n">
        <x:v>1790.44</x:v>
      </x:c>
      <x:c r="L1131" s="60" t="n">
        <x:v>99.01</x:v>
      </x:c>
      <x:c r="M1131" s="50" t="n">
        <x:v>46</x:v>
      </x:c>
      <x:c r="N1131" s="50" t="n">
        <x:v>6</x:v>
      </x:c>
      <x:c r="O1131" s="50" t="n">
        <x:v>107</x:v>
      </x:c>
      <x:c r="P1131" s="50" t="n">
        <x:v>18</x:v>
      </x:c>
    </x:row>
    <x:row r="1132" ht="36" customHeight="1">
      <x:c r="A1132" s="53" t="n">
        <x:v>1113</x:v>
      </x:c>
      <x:c r="B1132" s="53" t="n">
        <x:v>1</x:v>
      </x:c>
      <x:c r="C1132" s="40" t="str">
        <x:v>High-Value Frequent Shoppers</x:v>
      </x:c>
      <x:c r="D1132" s="60" t="n">
        <x:v>4391.3</x:v>
      </x:c>
      <x:c r="E1132" s="50" t="n">
        <x:v>176</x:v>
      </x:c>
      <x:c r="F1132" s="46" t="n">
        <x:v>8</x:v>
      </x:c>
      <x:c r="G1132" s="46" t="n">
        <x:v>1</x:v>
      </x:c>
      <x:c r="H1132" s="61" t="n">
        <x:v>24.95056818181818</x:v>
      </x:c>
      <x:c r="I1132" s="52" t="n">
        <x:v>0.909090909090909</x:v>
      </x:c>
      <x:c r="J1132" s="52" t="n">
        <x:v>0.5388791474050963</x:v>
      </x:c>
      <x:c r="K1132" s="60" t="n">
        <x:v>4242.13</x:v>
      </x:c>
      <x:c r="L1132" s="60" t="n">
        <x:v>149.17</x:v>
      </x:c>
      <x:c r="M1132" s="50" t="n">
        <x:v>160</x:v>
      </x:c>
      <x:c r="N1132" s="50" t="n">
        <x:v>16</x:v>
      </x:c>
      <x:c r="O1132" s="50" t="n">
        <x:v>143</x:v>
      </x:c>
      <x:c r="P1132" s="50" t="n">
        <x:v>22</x:v>
      </x:c>
    </x:row>
    <x:row r="1133" ht="36" customHeight="1">
      <x:c r="A1133" s="53" t="n">
        <x:v>1114</x:v>
      </x:c>
      <x:c r="B1133" s="53" t="n">
        <x:v>3</x:v>
      </x:c>
      <x:c r="C1133" s="40" t="str">
        <x:v>Low-Value Low-Engagement Shoppers</x:v>
      </x:c>
      <x:c r="D1133" s="60" t="n">
        <x:v>970.95</x:v>
      </x:c>
      <x:c r="E1133" s="50" t="n">
        <x:v>44</x:v>
      </x:c>
      <x:c r="F1133" s="46" t="n">
        <x:v>2.095238095238096</x:v>
      </x:c>
      <x:c r="G1133" s="46" t="n">
        <x:v>1</x:v>
      </x:c>
      <x:c r="H1133" s="61" t="n">
        <x:v>22.06704545454545</x:v>
      </x:c>
      <x:c r="I1133" s="52" t="n">
        <x:v>0.7954545454545454</x:v>
      </x:c>
      <x:c r="J1133" s="52" t="n">
        <x:v>0.6005767547247541</x:v>
      </x:c>
      <x:c r="K1133" s="60" t="n">
        <x:v>917.34</x:v>
      </x:c>
      <x:c r="L1133" s="60" t="n">
        <x:v>53.61</x:v>
      </x:c>
      <x:c r="M1133" s="50" t="n">
        <x:v>35</x:v>
      </x:c>
      <x:c r="N1133" s="50" t="n">
        <x:v>9</x:v>
      </x:c>
      <x:c r="O1133" s="50" t="n">
        <x:v>78</x:v>
      </x:c>
      <x:c r="P1133" s="50" t="n">
        <x:v>21</x:v>
      </x:c>
    </x:row>
    <x:row r="1134" ht="36" customHeight="1">
      <x:c r="A1134" s="53" t="n">
        <x:v>1115</x:v>
      </x:c>
      <x:c r="B1134" s="53" t="n">
        <x:v>2</x:v>
      </x:c>
      <x:c r="C1134" s="40" t="str">
        <x:v>Large-Basket Occasional Shoppers</x:v>
      </x:c>
      <x:c r="D1134" s="60" t="n">
        <x:v>1828.64</x:v>
      </x:c>
      <x:c r="E1134" s="50" t="n">
        <x:v>51</x:v>
      </x:c>
      <x:c r="F1134" s="46" t="n">
        <x:v>3</x:v>
      </x:c>
      <x:c r="G1134" s="46" t="n">
        <x:v>3</x:v>
      </x:c>
      <x:c r="H1134" s="61" t="n">
        <x:v>35.85568627450981</x:v>
      </x:c>
      <x:c r="I1134" s="52" t="n">
        <x:v>0.784313725490196</x:v>
      </x:c>
      <x:c r="J1134" s="52" t="n">
        <x:v>0.4027692711523317</x:v>
      </x:c>
      <x:c r="K1134" s="60" t="n">
        <x:v>1364.86</x:v>
      </x:c>
      <x:c r="L1134" s="60" t="n">
        <x:v>463.78</x:v>
      </x:c>
      <x:c r="M1134" s="50" t="n">
        <x:v>40</x:v>
      </x:c>
      <x:c r="N1134" s="50" t="n">
        <x:v>11</x:v>
      </x:c>
      <x:c r="O1134" s="50" t="n">
        <x:v>119</x:v>
      </x:c>
      <x:c r="P1134" s="50" t="n">
        <x:v>17</x:v>
      </x:c>
    </x:row>
    <x:row r="1135" ht="36" customHeight="1">
      <x:c r="A1135" s="53" t="n">
        <x:v>1116</x:v>
      </x:c>
      <x:c r="B1135" s="53" t="n">
        <x:v>2</x:v>
      </x:c>
      <x:c r="C1135" s="40" t="str">
        <x:v>Large-Basket Occasional Shoppers</x:v>
      </x:c>
      <x:c r="D1135" s="60" t="n">
        <x:v>2779.14</x:v>
      </x:c>
      <x:c r="E1135" s="50" t="n">
        <x:v>64</x:v>
      </x:c>
      <x:c r="F1135" s="46" t="n">
        <x:v>3.555555555555556</x:v>
      </x:c>
      <x:c r="G1135" s="46" t="n">
        <x:v>15</x:v>
      </x:c>
      <x:c r="H1135" s="61" t="n">
        <x:v>43.4240625</x:v>
      </x:c>
      <x:c r="I1135" s="52" t="n">
        <x:v>0.71875</x:v>
      </x:c>
      <x:c r="J1135" s="52" t="n">
        <x:v>0.5443230639694293</x:v>
      </x:c>
      <x:c r="K1135" s="60" t="n">
        <x:v>2650.49</x:v>
      </x:c>
      <x:c r="L1135" s="60" t="n">
        <x:v>128.65</x:v>
      </x:c>
      <x:c r="M1135" s="50" t="n">
        <x:v>46</x:v>
      </x:c>
      <x:c r="N1135" s="50" t="n">
        <x:v>18</x:v>
      </x:c>
      <x:c r="O1135" s="50" t="n">
        <x:v>95</x:v>
      </x:c>
      <x:c r="P1135" s="50" t="n">
        <x:v>18</x:v>
      </x:c>
    </x:row>
    <x:row r="1136" ht="36" customHeight="1">
      <x:c r="A1136" s="53" t="n">
        <x:v>1117</x:v>
      </x:c>
      <x:c r="B1136" s="53" t="n">
        <x:v>1</x:v>
      </x:c>
      <x:c r="C1136" s="40" t="str">
        <x:v>High-Value Frequent Shoppers</x:v>
      </x:c>
      <x:c r="D1136" s="60" t="n">
        <x:v>3667.44</x:v>
      </x:c>
      <x:c r="E1136" s="50" t="n">
        <x:v>186</x:v>
      </x:c>
      <x:c r="F1136" s="46" t="n">
        <x:v>7.75</x:v>
      </x:c>
      <x:c r="G1136" s="46" t="n">
        <x:v>1</x:v>
      </x:c>
      <x:c r="H1136" s="61" t="n">
        <x:v>19.717419354838707</x:v>
      </x:c>
      <x:c r="I1136" s="52" t="n">
        <x:v>0.7741935483870968</x:v>
      </x:c>
      <x:c r="J1136" s="52" t="n">
        <x:v>0.4451851973038413</x:v>
      </x:c>
      <x:c r="K1136" s="60" t="n">
        <x:v>3143.95</x:v>
      </x:c>
      <x:c r="L1136" s="60" t="n">
        <x:v>523.49</x:v>
      </x:c>
      <x:c r="M1136" s="50" t="n">
        <x:v>144</x:v>
      </x:c>
      <x:c r="N1136" s="50" t="n">
        <x:v>42</x:v>
      </x:c>
      <x:c r="O1136" s="50" t="n">
        <x:v>147</x:v>
      </x:c>
      <x:c r="P1136" s="50" t="n">
        <x:v>24</x:v>
      </x:c>
    </x:row>
    <x:row r="1137" ht="36" customHeight="1">
      <x:c r="A1137" s="53" t="n">
        <x:v>1118</x:v>
      </x:c>
      <x:c r="B1137" s="53" t="n">
        <x:v>2</x:v>
      </x:c>
      <x:c r="C1137" s="40" t="str">
        <x:v>Large-Basket Occasional Shoppers</x:v>
      </x:c>
      <x:c r="D1137" s="60" t="n">
        <x:v>945.89</x:v>
      </x:c>
      <x:c r="E1137" s="50" t="n">
        <x:v>16</x:v>
      </x:c>
      <x:c r="F1137" s="46" t="n">
        <x:v>1.2307692307692308</x:v>
      </x:c>
      <x:c r="G1137" s="46" t="n">
        <x:v>116</x:v>
      </x:c>
      <x:c r="H1137" s="61" t="n">
        <x:v>59.118125</x:v>
      </x:c>
      <x:c r="I1137" s="52" t="n">
        <x:v>1</x:v>
      </x:c>
      <x:c r="J1137" s="52" t="n">
        <x:v>0.3592912495110425</x:v>
      </x:c>
      <x:c r="K1137" s="60" t="n">
        <x:v>945.89</x:v>
      </x:c>
      <x:c r="L1137" s="60" t="n">
        <x:v>0</x:v>
      </x:c>
      <x:c r="M1137" s="50" t="n">
        <x:v>16</x:v>
      </x:c>
      <x:c r="N1137" s="50" t="n">
        <x:v>0</x:v>
      </x:c>
      <x:c r="O1137" s="50" t="n">
        <x:v>45</x:v>
      </x:c>
      <x:c r="P1137" s="50" t="n">
        <x:v>13</x:v>
      </x:c>
    </x:row>
    <x:row r="1138" ht="36" customHeight="1">
      <x:c r="A1138" s="53" t="n">
        <x:v>1119</x:v>
      </x:c>
      <x:c r="B1138" s="53" t="n">
        <x:v>2</x:v>
      </x:c>
      <x:c r="C1138" s="40" t="str">
        <x:v>Large-Basket Occasional Shoppers</x:v>
      </x:c>
      <x:c r="D1138" s="60" t="n">
        <x:v>2232.75</x:v>
      </x:c>
      <x:c r="E1138" s="50" t="n">
        <x:v>68</x:v>
      </x:c>
      <x:c r="F1138" s="46" t="n">
        <x:v>3.4</x:v>
      </x:c>
      <x:c r="G1138" s="46" t="n">
        <x:v>1</x:v>
      </x:c>
      <x:c r="H1138" s="61" t="n">
        <x:v>32.834558823529406</x:v>
      </x:c>
      <x:c r="I1138" s="52" t="n">
        <x:v>0.9558823529411764</x:v>
      </x:c>
      <x:c r="J1138" s="52" t="n">
        <x:v>0.6052580897995745</x:v>
      </x:c>
      <x:c r="K1138" s="60" t="n">
        <x:v>2187.07</x:v>
      </x:c>
      <x:c r="L1138" s="60" t="n">
        <x:v>45.68</x:v>
      </x:c>
      <x:c r="M1138" s="50" t="n">
        <x:v>65</x:v>
      </x:c>
      <x:c r="N1138" s="50" t="n">
        <x:v>3</x:v>
      </x:c>
      <x:c r="O1138" s="50" t="n">
        <x:v>141</x:v>
      </x:c>
      <x:c r="P1138" s="50" t="n">
        <x:v>20</x:v>
      </x:c>
    </x:row>
    <x:row r="1139" ht="36" customHeight="1">
      <x:c r="A1139" s="53" t="n">
        <x:v>1120</x:v>
      </x:c>
      <x:c r="B1139" s="53" t="n">
        <x:v>1</x:v>
      </x:c>
      <x:c r="C1139" s="40" t="str">
        <x:v>High-Value Frequent Shoppers</x:v>
      </x:c>
      <x:c r="D1139" s="60" t="n">
        <x:v>1737.84</x:v>
      </x:c>
      <x:c r="E1139" s="50" t="n">
        <x:v>87</x:v>
      </x:c>
      <x:c r="F1139" s="46" t="n">
        <x:v>4.35</x:v>
      </x:c>
      <x:c r="G1139" s="46" t="n">
        <x:v>2</x:v>
      </x:c>
      <x:c r="H1139" s="61" t="n">
        <x:v>19.975172413793103</x:v>
      </x:c>
      <x:c r="I1139" s="52" t="n">
        <x:v>0.8505747126436781</x:v>
      </x:c>
      <x:c r="J1139" s="52" t="n">
        <x:v>0.4560834138931086</x:v>
      </x:c>
      <x:c r="K1139" s="60" t="n">
        <x:v>1603.07</x:v>
      </x:c>
      <x:c r="L1139" s="60" t="n">
        <x:v>134.77</x:v>
      </x:c>
      <x:c r="M1139" s="50" t="n">
        <x:v>74</x:v>
      </x:c>
      <x:c r="N1139" s="50" t="n">
        <x:v>13</x:v>
      </x:c>
      <x:c r="O1139" s="50" t="n">
        <x:v>120</x:v>
      </x:c>
      <x:c r="P1139" s="50" t="n">
        <x:v>20</x:v>
      </x:c>
    </x:row>
    <x:row r="1140" ht="36" customHeight="1">
      <x:c r="A1140" s="53" t="n">
        <x:v>1121</x:v>
      </x:c>
      <x:c r="B1140" s="53" t="n">
        <x:v>2</x:v>
      </x:c>
      <x:c r="C1140" s="40" t="str">
        <x:v>Large-Basket Occasional Shoppers</x:v>
      </x:c>
      <x:c r="D1140" s="60" t="n">
        <x:v>2486.64</x:v>
      </x:c>
      <x:c r="E1140" s="50" t="n">
        <x:v>61</x:v>
      </x:c>
      <x:c r="F1140" s="46" t="n">
        <x:v>2.772727272727273</x:v>
      </x:c>
      <x:c r="G1140" s="46" t="n">
        <x:v>29</x:v>
      </x:c>
      <x:c r="H1140" s="61" t="n">
        <x:v>40.76459016393442</x:v>
      </x:c>
      <x:c r="I1140" s="52" t="n">
        <x:v>0.9344262295081968</x:v>
      </x:c>
      <x:c r="J1140" s="52" t="n">
        <x:v>0.575680436251327</x:v>
      </x:c>
      <x:c r="K1140" s="60" t="n">
        <x:v>2458.86</x:v>
      </x:c>
      <x:c r="L1140" s="60" t="n">
        <x:v>27.78</x:v>
      </x:c>
      <x:c r="M1140" s="50" t="n">
        <x:v>57</x:v>
      </x:c>
      <x:c r="N1140" s="50" t="n">
        <x:v>4</x:v>
      </x:c>
      <x:c r="O1140" s="50" t="n">
        <x:v>134</x:v>
      </x:c>
      <x:c r="P1140" s="50" t="n">
        <x:v>22</x:v>
      </x:c>
    </x:row>
    <x:row r="1141" ht="36" customHeight="1">
      <x:c r="A1141" s="53" t="n">
        <x:v>1122</x:v>
      </x:c>
      <x:c r="B1141" s="53" t="n">
        <x:v>3</x:v>
      </x:c>
      <x:c r="C1141" s="40" t="str">
        <x:v>Low-Value Low-Engagement Shoppers</x:v>
      </x:c>
      <x:c r="D1141" s="60" t="n">
        <x:v>1236.98</x:v>
      </x:c>
      <x:c r="E1141" s="50" t="n">
        <x:v>77</x:v>
      </x:c>
      <x:c r="F1141" s="46" t="n">
        <x:v>5.5</x:v>
      </x:c>
      <x:c r="G1141" s="46" t="n">
        <x:v>213</x:v>
      </x:c>
      <x:c r="H1141" s="61" t="n">
        <x:v>16.064675324675324</x:v>
      </x:c>
      <x:c r="I1141" s="52" t="n">
        <x:v>0.8701298701298701</x:v>
      </x:c>
      <x:c r="J1141" s="52" t="n">
        <x:v>0.4422221862924218</x:v>
      </x:c>
      <x:c r="K1141" s="60" t="n">
        <x:v>1147.81</x:v>
      </x:c>
      <x:c r="L1141" s="60" t="n">
        <x:v>89.17</x:v>
      </x:c>
      <x:c r="M1141" s="50" t="n">
        <x:v>67</x:v>
      </x:c>
      <x:c r="N1141" s="50" t="n">
        <x:v>10</x:v>
      </x:c>
      <x:c r="O1141" s="50" t="n">
        <x:v>91</x:v>
      </x:c>
      <x:c r="P1141" s="50" t="n">
        <x:v>14</x:v>
      </x:c>
    </x:row>
    <x:row r="1142" ht="36" customHeight="1">
      <x:c r="A1142" s="53" t="n">
        <x:v>1123</x:v>
      </x:c>
      <x:c r="B1142" s="53" t="n">
        <x:v>2</x:v>
      </x:c>
      <x:c r="C1142" s="40" t="str">
        <x:v>Large-Basket Occasional Shoppers</x:v>
      </x:c>
      <x:c r="D1142" s="60" t="n">
        <x:v>3915.81</x:v>
      </x:c>
      <x:c r="E1142" s="50" t="n">
        <x:v>73</x:v>
      </x:c>
      <x:c r="F1142" s="46" t="n">
        <x:v>3.476190476190476</x:v>
      </x:c>
      <x:c r="G1142" s="46" t="n">
        <x:v>37</x:v>
      </x:c>
      <x:c r="H1142" s="61" t="n">
        <x:v>53.64123287671233</x:v>
      </x:c>
      <x:c r="I1142" s="52" t="n">
        <x:v>0.7808219178082191</x:v>
      </x:c>
      <x:c r="J1142" s="52" t="n">
        <x:v>0.3995878247412412</x:v>
      </x:c>
      <x:c r="K1142" s="60" t="n">
        <x:v>3649.19</x:v>
      </x:c>
      <x:c r="L1142" s="60" t="n">
        <x:v>266.62</x:v>
      </x:c>
      <x:c r="M1142" s="50" t="n">
        <x:v>57</x:v>
      </x:c>
      <x:c r="N1142" s="50" t="n">
        <x:v>16</x:v>
      </x:c>
      <x:c r="O1142" s="50" t="n">
        <x:v>133</x:v>
      </x:c>
      <x:c r="P1142" s="50" t="n">
        <x:v>21</x:v>
      </x:c>
    </x:row>
    <x:row r="1143" ht="36" customHeight="1">
      <x:c r="A1143" s="53" t="n">
        <x:v>1124</x:v>
      </x:c>
      <x:c r="B1143" s="53" t="n">
        <x:v>2</x:v>
      </x:c>
      <x:c r="C1143" s="40" t="str">
        <x:v>Large-Basket Occasional Shoppers</x:v>
      </x:c>
      <x:c r="D1143" s="60" t="n">
        <x:v>1896.39</x:v>
      </x:c>
      <x:c r="E1143" s="50" t="n">
        <x:v>79</x:v>
      </x:c>
      <x:c r="F1143" s="46" t="n">
        <x:v>3.95</x:v>
      </x:c>
      <x:c r="G1143" s="46" t="n">
        <x:v>2</x:v>
      </x:c>
      <x:c r="H1143" s="61" t="n">
        <x:v>24.00493670886076</x:v>
      </x:c>
      <x:c r="I1143" s="52" t="n">
        <x:v>0.8354430379746834</x:v>
      </x:c>
      <x:c r="J1143" s="52" t="n">
        <x:v>0.5413654364344886</x:v>
      </x:c>
      <x:c r="K1143" s="60" t="n">
        <x:v>1826.45</x:v>
      </x:c>
      <x:c r="L1143" s="60" t="n">
        <x:v>69.94</x:v>
      </x:c>
      <x:c r="M1143" s="50" t="n">
        <x:v>66</x:v>
      </x:c>
      <x:c r="N1143" s="50" t="n">
        <x:v>13</x:v>
      </x:c>
      <x:c r="O1143" s="50" t="n">
        <x:v>120</x:v>
      </x:c>
      <x:c r="P1143" s="50" t="n">
        <x:v>20</x:v>
      </x:c>
    </x:row>
    <x:row r="1144" ht="36" customHeight="1">
      <x:c r="A1144" s="53" t="n">
        <x:v>1125</x:v>
      </x:c>
      <x:c r="B1144" s="53" t="n">
        <x:v>3</x:v>
      </x:c>
      <x:c r="C1144" s="40" t="str">
        <x:v>Low-Value Low-Engagement Shoppers</x:v>
      </x:c>
      <x:c r="D1144" s="60" t="n">
        <x:v>691.1</x:v>
      </x:c>
      <x:c r="E1144" s="50" t="n">
        <x:v>89</x:v>
      </x:c>
      <x:c r="F1144" s="46" t="n">
        <x:v>6.357142857142857</x:v>
      </x:c>
      <x:c r="G1144" s="46" t="n">
        <x:v>0</x:v>
      </x:c>
      <x:c r="H1144" s="61" t="n">
        <x:v>7.765168539325842</x:v>
      </x:c>
      <x:c r="I1144" s="52" t="n">
        <x:v>0.8314606741573033</x:v>
      </x:c>
      <x:c r="J1144" s="52" t="n">
        <x:v>0.4724931268991462</x:v>
      </x:c>
      <x:c r="K1144" s="60" t="n">
        <x:v>625.01</x:v>
      </x:c>
      <x:c r="L1144" s="60" t="n">
        <x:v>66.09</x:v>
      </x:c>
      <x:c r="M1144" s="50" t="n">
        <x:v>74</x:v>
      </x:c>
      <x:c r="N1144" s="50" t="n">
        <x:v>15</x:v>
      </x:c>
      <x:c r="O1144" s="50" t="n">
        <x:v>99</x:v>
      </x:c>
      <x:c r="P1144" s="50" t="n">
        <x:v>14</x:v>
      </x:c>
    </x:row>
    <x:row r="1145" ht="36" customHeight="1">
      <x:c r="A1145" s="53" t="n">
        <x:v>1126</x:v>
      </x:c>
      <x:c r="B1145" s="53" t="n">
        <x:v>2</x:v>
      </x:c>
      <x:c r="C1145" s="40" t="str">
        <x:v>Large-Basket Occasional Shoppers</x:v>
      </x:c>
      <x:c r="D1145" s="60" t="n">
        <x:v>2543.36</x:v>
      </x:c>
      <x:c r="E1145" s="50" t="n">
        <x:v>28</x:v>
      </x:c>
      <x:c r="F1145" s="46" t="n">
        <x:v>1.5555555555555556</x:v>
      </x:c>
      <x:c r="G1145" s="46" t="n">
        <x:v>1</x:v>
      </x:c>
      <x:c r="H1145" s="61" t="n">
        <x:v>90.83428571428573</x:v>
      </x:c>
      <x:c r="I1145" s="52" t="n">
        <x:v>1</x:v>
      </x:c>
      <x:c r="J1145" s="52" t="n">
        <x:v>0.6327535228988423</x:v>
      </x:c>
      <x:c r="K1145" s="60" t="n">
        <x:v>2543.36</x:v>
      </x:c>
      <x:c r="L1145" s="60" t="n">
        <x:v>0</x:v>
      </x:c>
      <x:c r="M1145" s="50" t="n">
        <x:v>28</x:v>
      </x:c>
      <x:c r="N1145" s="50" t="n">
        <x:v>0</x:v>
      </x:c>
      <x:c r="O1145" s="50" t="n">
        <x:v>108</x:v>
      </x:c>
      <x:c r="P1145" s="50" t="n">
        <x:v>18</x:v>
      </x:c>
    </x:row>
    <x:row r="1146" ht="36" customHeight="1">
      <x:c r="A1146" s="53" t="n">
        <x:v>1127</x:v>
      </x:c>
      <x:c r="B1146" s="53" t="n">
        <x:v>2</x:v>
      </x:c>
      <x:c r="C1146" s="40" t="str">
        <x:v>Large-Basket Occasional Shoppers</x:v>
      </x:c>
      <x:c r="D1146" s="60" t="n">
        <x:v>1563.53</x:v>
      </x:c>
      <x:c r="E1146" s="50" t="n">
        <x:v>29</x:v>
      </x:c>
      <x:c r="F1146" s="46" t="n">
        <x:v>2.230769230769231</x:v>
      </x:c>
      <x:c r="G1146" s="46" t="n">
        <x:v>0</x:v>
      </x:c>
      <x:c r="H1146" s="61" t="n">
        <x:v>53.9148275862069</x:v>
      </x:c>
      <x:c r="I1146" s="52" t="n">
        <x:v>0.8620689655172413</x:v>
      </x:c>
      <x:c r="J1146" s="52" t="n">
        <x:v>0.472398994582771</x:v>
      </x:c>
      <x:c r="K1146" s="60" t="n">
        <x:v>1542.44</x:v>
      </x:c>
      <x:c r="L1146" s="60" t="n">
        <x:v>21.09</x:v>
      </x:c>
      <x:c r="M1146" s="50" t="n">
        <x:v>25</x:v>
      </x:c>
      <x:c r="N1146" s="50" t="n">
        <x:v>4</x:v>
      </x:c>
      <x:c r="O1146" s="50" t="n">
        <x:v>115</x:v>
      </x:c>
      <x:c r="P1146" s="50" t="n">
        <x:v>13</x:v>
      </x:c>
    </x:row>
    <x:row r="1147" ht="36" customHeight="1">
      <x:c r="A1147" s="53" t="n">
        <x:v>1128</x:v>
      </x:c>
      <x:c r="B1147" s="53" t="n">
        <x:v>1</x:v>
      </x:c>
      <x:c r="C1147" s="40" t="str">
        <x:v>High-Value Frequent Shoppers</x:v>
      </x:c>
      <x:c r="D1147" s="60" t="n">
        <x:v>3027</x:v>
      </x:c>
      <x:c r="E1147" s="50" t="n">
        <x:v>234</x:v>
      </x:c>
      <x:c r="F1147" s="46" t="n">
        <x:v>9.75</x:v>
      </x:c>
      <x:c r="G1147" s="46" t="n">
        <x:v>1</x:v>
      </x:c>
      <x:c r="H1147" s="61" t="n">
        <x:v>12.935897435897436</x:v>
      </x:c>
      <x:c r="I1147" s="52" t="n">
        <x:v>0.7863247863247863</x:v>
      </x:c>
      <x:c r="J1147" s="52" t="n">
        <x:v>0.4439610175090849</x:v>
      </x:c>
      <x:c r="K1147" s="60" t="n">
        <x:v>2656.78</x:v>
      </x:c>
      <x:c r="L1147" s="60" t="n">
        <x:v>370.22</x:v>
      </x:c>
      <x:c r="M1147" s="50" t="n">
        <x:v>184</x:v>
      </x:c>
      <x:c r="N1147" s="50" t="n">
        <x:v>50</x:v>
      </x:c>
      <x:c r="O1147" s="50" t="n">
        <x:v>157</x:v>
      </x:c>
      <x:c r="P1147" s="50" t="n">
        <x:v>24</x:v>
      </x:c>
    </x:row>
    <x:row r="1148" ht="36" customHeight="1">
      <x:c r="A1148" s="53" t="n">
        <x:v>1129</x:v>
      </x:c>
      <x:c r="B1148" s="53" t="n">
        <x:v>1</x:v>
      </x:c>
      <x:c r="C1148" s="40" t="str">
        <x:v>High-Value Frequent Shoppers</x:v>
      </x:c>
      <x:c r="D1148" s="60" t="n">
        <x:v>2401.41</x:v>
      </x:c>
      <x:c r="E1148" s="50" t="n">
        <x:v>73</x:v>
      </x:c>
      <x:c r="F1148" s="46" t="n">
        <x:v>3.476190476190476</x:v>
      </x:c>
      <x:c r="G1148" s="46" t="n">
        <x:v>0</x:v>
      </x:c>
      <x:c r="H1148" s="61" t="n">
        <x:v>32.89602739726028</x:v>
      </x:c>
      <x:c r="I1148" s="52" t="n">
        <x:v>0.8767123287671232</x:v>
      </x:c>
      <x:c r="J1148" s="52" t="n">
        <x:v>0.4384091013196413</x:v>
      </x:c>
      <x:c r="K1148" s="60" t="n">
        <x:v>2181.44</x:v>
      </x:c>
      <x:c r="L1148" s="60" t="n">
        <x:v>219.97</x:v>
      </x:c>
      <x:c r="M1148" s="50" t="n">
        <x:v>64</x:v>
      </x:c>
      <x:c r="N1148" s="50" t="n">
        <x:v>9</x:v>
      </x:c>
      <x:c r="O1148" s="50" t="n">
        <x:v>125</x:v>
      </x:c>
      <x:c r="P1148" s="50" t="n">
        <x:v>21</x:v>
      </x:c>
    </x:row>
    <x:row r="1149" ht="36" customHeight="1">
      <x:c r="A1149" s="53" t="n">
        <x:v>1130</x:v>
      </x:c>
      <x:c r="B1149" s="53" t="n">
        <x:v>1</x:v>
      </x:c>
      <x:c r="C1149" s="40" t="str">
        <x:v>High-Value Frequent Shoppers</x:v>
      </x:c>
      <x:c r="D1149" s="60" t="n">
        <x:v>6563.15</x:v>
      </x:c>
      <x:c r="E1149" s="50" t="n">
        <x:v>362</x:v>
      </x:c>
      <x:c r="F1149" s="46" t="n">
        <x:v>15.083333333333332</x:v>
      </x:c>
      <x:c r="G1149" s="46" t="n">
        <x:v>0</x:v>
      </x:c>
      <x:c r="H1149" s="61" t="n">
        <x:v>18.130248618784528</x:v>
      </x:c>
      <x:c r="I1149" s="52" t="n">
        <x:v>0.8232044198895027</x:v>
      </x:c>
      <x:c r="J1149" s="52" t="n">
        <x:v>0.5212573230841897</x:v>
      </x:c>
      <x:c r="K1149" s="60" t="n">
        <x:v>6066.92</x:v>
      </x:c>
      <x:c r="L1149" s="60" t="n">
        <x:v>496.23</x:v>
      </x:c>
      <x:c r="M1149" s="50" t="n">
        <x:v>298</x:v>
      </x:c>
      <x:c r="N1149" s="50" t="n">
        <x:v>64</x:v>
      </x:c>
      <x:c r="O1149" s="50" t="n">
        <x:v>188</x:v>
      </x:c>
      <x:c r="P1149" s="50" t="n">
        <x:v>24</x:v>
      </x:c>
    </x:row>
    <x:row r="1150" ht="36" customHeight="1">
      <x:c r="A1150" s="53" t="n">
        <x:v>1131</x:v>
      </x:c>
      <x:c r="B1150" s="53" t="n">
        <x:v>1</x:v>
      </x:c>
      <x:c r="C1150" s="40" t="str">
        <x:v>High-Value Frequent Shoppers</x:v>
      </x:c>
      <x:c r="D1150" s="60" t="n">
        <x:v>3034.77</x:v>
      </x:c>
      <x:c r="E1150" s="50" t="n">
        <x:v>102</x:v>
      </x:c>
      <x:c r="F1150" s="46" t="n">
        <x:v>4.857142857142857</x:v>
      </x:c>
      <x:c r="G1150" s="46" t="n">
        <x:v>1</x:v>
      </x:c>
      <x:c r="H1150" s="61" t="n">
        <x:v>29.752647058823527</x:v>
      </x:c>
      <x:c r="I1150" s="52" t="n">
        <x:v>0.9019607843137254</x:v>
      </x:c>
      <x:c r="J1150" s="52" t="n">
        <x:v>0.4989043650754422</x:v>
      </x:c>
      <x:c r="K1150" s="60" t="n">
        <x:v>2924.52</x:v>
      </x:c>
      <x:c r="L1150" s="60" t="n">
        <x:v>110.25</x:v>
      </x:c>
      <x:c r="M1150" s="50" t="n">
        <x:v>92</x:v>
      </x:c>
      <x:c r="N1150" s="50" t="n">
        <x:v>10</x:v>
      </x:c>
      <x:c r="O1150" s="50" t="n">
        <x:v>154</x:v>
      </x:c>
      <x:c r="P1150" s="50" t="n">
        <x:v>21</x:v>
      </x:c>
    </x:row>
    <x:row r="1151" ht="36" customHeight="1">
      <x:c r="A1151" s="53" t="n">
        <x:v>1132</x:v>
      </x:c>
      <x:c r="B1151" s="53" t="n">
        <x:v>2</x:v>
      </x:c>
      <x:c r="C1151" s="40" t="str">
        <x:v>Large-Basket Occasional Shoppers</x:v>
      </x:c>
      <x:c r="D1151" s="60" t="n">
        <x:v>2073.62</x:v>
      </x:c>
      <x:c r="E1151" s="50" t="n">
        <x:v>58</x:v>
      </x:c>
      <x:c r="F1151" s="46" t="n">
        <x:v>2.7619047619047614</x:v>
      </x:c>
      <x:c r="G1151" s="46" t="n">
        <x:v>10</x:v>
      </x:c>
      <x:c r="H1151" s="61" t="n">
        <x:v>35.75206896551724</x:v>
      </x:c>
      <x:c r="I1151" s="52" t="n">
        <x:v>0.8793103448275862</x:v>
      </x:c>
      <x:c r="J1151" s="52" t="n">
        <x:v>0.5001060946557228</x:v>
      </x:c>
      <x:c r="K1151" s="60" t="n">
        <x:v>2000.88</x:v>
      </x:c>
      <x:c r="L1151" s="60" t="n">
        <x:v>72.74</x:v>
      </x:c>
      <x:c r="M1151" s="50" t="n">
        <x:v>51</x:v>
      </x:c>
      <x:c r="N1151" s="50" t="n">
        <x:v>7</x:v>
      </x:c>
      <x:c r="O1151" s="50" t="n">
        <x:v>118</x:v>
      </x:c>
      <x:c r="P1151" s="50" t="n">
        <x:v>21</x:v>
      </x:c>
    </x:row>
    <x:row r="1152" ht="36" customHeight="1">
      <x:c r="A1152" s="53" t="n">
        <x:v>1133</x:v>
      </x:c>
      <x:c r="B1152" s="53" t="n">
        <x:v>3</x:v>
      </x:c>
      <x:c r="C1152" s="40" t="str">
        <x:v>Low-Value Low-Engagement Shoppers</x:v>
      </x:c>
      <x:c r="D1152" s="60" t="n">
        <x:v>1377.66</x:v>
      </x:c>
      <x:c r="E1152" s="50" t="n">
        <x:v>115</x:v>
      </x:c>
      <x:c r="F1152" s="46" t="n">
        <x:v>5.227272727272728</x:v>
      </x:c>
      <x:c r="G1152" s="46" t="n">
        <x:v>0</x:v>
      </x:c>
      <x:c r="H1152" s="61" t="n">
        <x:v>11.979652173913044</x:v>
      </x:c>
      <x:c r="I1152" s="52" t="n">
        <x:v>0.7217391304347825</x:v>
      </x:c>
      <x:c r="J1152" s="52" t="n">
        <x:v>0.4767504318917584</x:v>
      </x:c>
      <x:c r="K1152" s="60" t="n">
        <x:v>1130.88</x:v>
      </x:c>
      <x:c r="L1152" s="60" t="n">
        <x:v>246.78</x:v>
      </x:c>
      <x:c r="M1152" s="50" t="n">
        <x:v>83</x:v>
      </x:c>
      <x:c r="N1152" s="50" t="n">
        <x:v>32</x:v>
      </x:c>
      <x:c r="O1152" s="50" t="n">
        <x:v>111</x:v>
      </x:c>
      <x:c r="P1152" s="50" t="n">
        <x:v>22</x:v>
      </x:c>
    </x:row>
    <x:row r="1153" ht="36" customHeight="1">
      <x:c r="A1153" s="53" t="n">
        <x:v>1134</x:v>
      </x:c>
      <x:c r="B1153" s="53" t="n">
        <x:v>2</x:v>
      </x:c>
      <x:c r="C1153" s="40" t="str">
        <x:v>Large-Basket Occasional Shoppers</x:v>
      </x:c>
      <x:c r="D1153" s="60" t="n">
        <x:v>5050.53</x:v>
      </x:c>
      <x:c r="E1153" s="50" t="n">
        <x:v>51</x:v>
      </x:c>
      <x:c r="F1153" s="46" t="n">
        <x:v>3</x:v>
      </x:c>
      <x:c r="G1153" s="46" t="n">
        <x:v>22</x:v>
      </x:c>
      <x:c r="H1153" s="61" t="n">
        <x:v>99.03</x:v>
      </x:c>
      <x:c r="I1153" s="52" t="n">
        <x:v>0.9411764705882352</x:v>
      </x:c>
      <x:c r="J1153" s="52" t="n">
        <x:v>0.4306379726484151</x:v>
      </x:c>
      <x:c r="K1153" s="60" t="n">
        <x:v>5009.2</x:v>
      </x:c>
      <x:c r="L1153" s="60" t="n">
        <x:v>41.33</x:v>
      </x:c>
      <x:c r="M1153" s="50" t="n">
        <x:v>48</x:v>
      </x:c>
      <x:c r="N1153" s="50" t="n">
        <x:v>3</x:v>
      </x:c>
      <x:c r="O1153" s="50" t="n">
        <x:v>180</x:v>
      </x:c>
      <x:c r="P1153" s="50" t="n">
        <x:v>17</x:v>
      </x:c>
    </x:row>
    <x:row r="1154" ht="36" customHeight="1">
      <x:c r="A1154" s="53" t="n">
        <x:v>1135</x:v>
      </x:c>
      <x:c r="B1154" s="53" t="n">
        <x:v>3</x:v>
      </x:c>
      <x:c r="C1154" s="40" t="str">
        <x:v>Low-Value Low-Engagement Shoppers</x:v>
      </x:c>
      <x:c r="D1154" s="60" t="n">
        <x:v>748.88</x:v>
      </x:c>
      <x:c r="E1154" s="50" t="n">
        <x:v>64</x:v>
      </x:c>
      <x:c r="F1154" s="46" t="n">
        <x:v>3.7647058823529407</x:v>
      </x:c>
      <x:c r="G1154" s="46" t="n">
        <x:v>5</x:v>
      </x:c>
      <x:c r="H1154" s="61" t="n">
        <x:v>11.70125</x:v>
      </x:c>
      <x:c r="I1154" s="52" t="n">
        <x:v>0.8125</x:v>
      </x:c>
      <x:c r="J1154" s="52" t="n">
        <x:v>0.5540139942313855</x:v>
      </x:c>
      <x:c r="K1154" s="60" t="n">
        <x:v>637.22</x:v>
      </x:c>
      <x:c r="L1154" s="60" t="n">
        <x:v>111.66</x:v>
      </x:c>
      <x:c r="M1154" s="50" t="n">
        <x:v>52</x:v>
      </x:c>
      <x:c r="N1154" s="50" t="n">
        <x:v>12</x:v>
      </x:c>
      <x:c r="O1154" s="50" t="n">
        <x:v>80</x:v>
      </x:c>
      <x:c r="P1154" s="50" t="n">
        <x:v>17</x:v>
      </x:c>
    </x:row>
    <x:row r="1155" ht="36" customHeight="1">
      <x:c r="A1155" s="53" t="n">
        <x:v>1136</x:v>
      </x:c>
      <x:c r="B1155" s="53" t="n">
        <x:v>2</x:v>
      </x:c>
      <x:c r="C1155" s="40" t="str">
        <x:v>Large-Basket Occasional Shoppers</x:v>
      </x:c>
      <x:c r="D1155" s="60" t="n">
        <x:v>1934.11</x:v>
      </x:c>
      <x:c r="E1155" s="50" t="n">
        <x:v>58</x:v>
      </x:c>
      <x:c r="F1155" s="46" t="n">
        <x:v>2.5217391304347823</x:v>
      </x:c>
      <x:c r="G1155" s="46" t="n">
        <x:v>7</x:v>
      </x:c>
      <x:c r="H1155" s="61" t="n">
        <x:v>33.346724137931034</x:v>
      </x:c>
      <x:c r="I1155" s="52" t="n">
        <x:v>0.896551724137931</x:v>
      </x:c>
      <x:c r="J1155" s="52" t="n">
        <x:v>0.5259835273071335</x:v>
      </x:c>
      <x:c r="K1155" s="60" t="n">
        <x:v>1861.08</x:v>
      </x:c>
      <x:c r="L1155" s="60" t="n">
        <x:v>73.03</x:v>
      </x:c>
      <x:c r="M1155" s="50" t="n">
        <x:v>52</x:v>
      </x:c>
      <x:c r="N1155" s="50" t="n">
        <x:v>6</x:v>
      </x:c>
      <x:c r="O1155" s="50" t="n">
        <x:v>117</x:v>
      </x:c>
      <x:c r="P1155" s="50" t="n">
        <x:v>23</x:v>
      </x:c>
    </x:row>
    <x:row r="1156" ht="36" customHeight="1">
      <x:c r="A1156" s="53" t="n">
        <x:v>1137</x:v>
      </x:c>
      <x:c r="B1156" s="53" t="n">
        <x:v>2</x:v>
      </x:c>
      <x:c r="C1156" s="40" t="str">
        <x:v>Large-Basket Occasional Shoppers</x:v>
      </x:c>
      <x:c r="D1156" s="60" t="n">
        <x:v>2121.89</x:v>
      </x:c>
      <x:c r="E1156" s="50" t="n">
        <x:v>134</x:v>
      </x:c>
      <x:c r="F1156" s="46" t="n">
        <x:v>6.090909090909091</x:v>
      </x:c>
      <x:c r="G1156" s="46" t="n">
        <x:v>3</x:v>
      </x:c>
      <x:c r="H1156" s="61" t="n">
        <x:v>15.835</x:v>
      </x:c>
      <x:c r="I1156" s="52" t="n">
        <x:v>0.8656716417910447</x:v>
      </x:c>
      <x:c r="J1156" s="52" t="n">
        <x:v>0.4005391419913379</x:v>
      </x:c>
      <x:c r="K1156" s="60" t="n">
        <x:v>1944.6</x:v>
      </x:c>
      <x:c r="L1156" s="60" t="n">
        <x:v>177.29</x:v>
      </x:c>
      <x:c r="M1156" s="50" t="n">
        <x:v>116</x:v>
      </x:c>
      <x:c r="N1156" s="50" t="n">
        <x:v>18</x:v>
      </x:c>
      <x:c r="O1156" s="50" t="n">
        <x:v>65</x:v>
      </x:c>
      <x:c r="P1156" s="50" t="n">
        <x:v>22</x:v>
      </x:c>
    </x:row>
    <x:row r="1157" ht="36" customHeight="1">
      <x:c r="A1157" s="53" t="n">
        <x:v>1138</x:v>
      </x:c>
      <x:c r="B1157" s="53" t="n">
        <x:v>1</x:v>
      </x:c>
      <x:c r="C1157" s="40" t="str">
        <x:v>High-Value Frequent Shoppers</x:v>
      </x:c>
      <x:c r="D1157" s="60" t="n">
        <x:v>4546.37</x:v>
      </x:c>
      <x:c r="E1157" s="50" t="n">
        <x:v>212</x:v>
      </x:c>
      <x:c r="F1157" s="46" t="n">
        <x:v>8.833333333333332</x:v>
      </x:c>
      <x:c r="G1157" s="46" t="n">
        <x:v>0</x:v>
      </x:c>
      <x:c r="H1157" s="61" t="n">
        <x:v>21.44514150943396</x:v>
      </x:c>
      <x:c r="I1157" s="52" t="n">
        <x:v>0.8113207547169811</x:v>
      </x:c>
      <x:c r="J1157" s="52" t="n">
        <x:v>0.4535486553008224</x:v>
      </x:c>
      <x:c r="K1157" s="60" t="n">
        <x:v>4151.98</x:v>
      </x:c>
      <x:c r="L1157" s="60" t="n">
        <x:v>394.39</x:v>
      </x:c>
      <x:c r="M1157" s="50" t="n">
        <x:v>172</x:v>
      </x:c>
      <x:c r="N1157" s="50" t="n">
        <x:v>40</x:v>
      </x:c>
      <x:c r="O1157" s="50" t="n">
        <x:v>98</x:v>
      </x:c>
      <x:c r="P1157" s="50" t="n">
        <x:v>24</x:v>
      </x:c>
    </x:row>
    <x:row r="1158" ht="36" customHeight="1">
      <x:c r="A1158" s="53" t="n">
        <x:v>1139</x:v>
      </x:c>
      <x:c r="B1158" s="53" t="n">
        <x:v>1</x:v>
      </x:c>
      <x:c r="C1158" s="40" t="str">
        <x:v>High-Value Frequent Shoppers</x:v>
      </x:c>
      <x:c r="D1158" s="60" t="n">
        <x:v>7539.55</x:v>
      </x:c>
      <x:c r="E1158" s="50" t="n">
        <x:v>92</x:v>
      </x:c>
      <x:c r="F1158" s="46" t="n">
        <x:v>4.181818181818182</x:v>
      </x:c>
      <x:c r="G1158" s="46" t="n">
        <x:v>6</x:v>
      </x:c>
      <x:c r="H1158" s="61" t="n">
        <x:v>81.95163043478259</x:v>
      </x:c>
      <x:c r="I1158" s="52" t="n">
        <x:v>0.9130434782608696</x:v>
      </x:c>
      <x:c r="J1158" s="52" t="n">
        <x:v>0.316991067106127</x:v>
      </x:c>
      <x:c r="K1158" s="60" t="n">
        <x:v>7441.97</x:v>
      </x:c>
      <x:c r="L1158" s="60" t="n">
        <x:v>97.58</x:v>
      </x:c>
      <x:c r="M1158" s="50" t="n">
        <x:v>84</x:v>
      </x:c>
      <x:c r="N1158" s="50" t="n">
        <x:v>8</x:v>
      </x:c>
      <x:c r="O1158" s="50" t="n">
        <x:v>164</x:v>
      </x:c>
      <x:c r="P1158" s="50" t="n">
        <x:v>22</x:v>
      </x:c>
    </x:row>
    <x:row r="1159" ht="36" customHeight="1">
      <x:c r="A1159" s="53" t="n">
        <x:v>1140</x:v>
      </x:c>
      <x:c r="B1159" s="53" t="n">
        <x:v>2</x:v>
      </x:c>
      <x:c r="C1159" s="40" t="str">
        <x:v>Large-Basket Occasional Shoppers</x:v>
      </x:c>
      <x:c r="D1159" s="60" t="n">
        <x:v>1164.18</x:v>
      </x:c>
      <x:c r="E1159" s="50" t="n">
        <x:v>21</x:v>
      </x:c>
      <x:c r="F1159" s="46" t="n">
        <x:v>3</x:v>
      </x:c>
      <x:c r="G1159" s="46" t="n">
        <x:v>51</x:v>
      </x:c>
      <x:c r="H1159" s="61" t="n">
        <x:v>55.43714285714286</x:v>
      </x:c>
      <x:c r="I1159" s="52" t="n">
        <x:v>0.7619047619047619</x:v>
      </x:c>
      <x:c r="J1159" s="52" t="n">
        <x:v>0.5138294765414283</x:v>
      </x:c>
      <x:c r="K1159" s="60" t="n">
        <x:v>1110.62</x:v>
      </x:c>
      <x:c r="L1159" s="60" t="n">
        <x:v>53.56</x:v>
      </x:c>
      <x:c r="M1159" s="50" t="n">
        <x:v>16</x:v>
      </x:c>
      <x:c r="N1159" s="50" t="n">
        <x:v>5</x:v>
      </x:c>
      <x:c r="O1159" s="50" t="n">
        <x:v>91</x:v>
      </x:c>
      <x:c r="P1159" s="50" t="n">
        <x:v>7</x:v>
      </x:c>
    </x:row>
    <x:row r="1160" ht="36" customHeight="1">
      <x:c r="A1160" s="53" t="n">
        <x:v>1141</x:v>
      </x:c>
      <x:c r="B1160" s="53" t="n">
        <x:v>2</x:v>
      </x:c>
      <x:c r="C1160" s="40" t="str">
        <x:v>Large-Basket Occasional Shoppers</x:v>
      </x:c>
      <x:c r="D1160" s="60" t="n">
        <x:v>1137.28</x:v>
      </x:c>
      <x:c r="E1160" s="50" t="n">
        <x:v>59</x:v>
      </x:c>
      <x:c r="F1160" s="46" t="n">
        <x:v>3.1052631578947367</x:v>
      </x:c>
      <x:c r="G1160" s="46" t="n">
        <x:v>15</x:v>
      </x:c>
      <x:c r="H1160" s="61" t="n">
        <x:v>19.275932203389832</x:v>
      </x:c>
      <x:c r="I1160" s="52" t="n">
        <x:v>0.8983050847457626</x:v>
      </x:c>
      <x:c r="J1160" s="52" t="n">
        <x:v>0.5558349746764208</x:v>
      </x:c>
      <x:c r="K1160" s="60" t="n">
        <x:v>1119.63</x:v>
      </x:c>
      <x:c r="L1160" s="60" t="n">
        <x:v>17.65</x:v>
      </x:c>
      <x:c r="M1160" s="50" t="n">
        <x:v>53</x:v>
      </x:c>
      <x:c r="N1160" s="50" t="n">
        <x:v>6</x:v>
      </x:c>
      <x:c r="O1160" s="50" t="n">
        <x:v>100</x:v>
      </x:c>
      <x:c r="P1160" s="50" t="n">
        <x:v>19</x:v>
      </x:c>
    </x:row>
    <x:row r="1161" ht="36" customHeight="1">
      <x:c r="A1161" s="53" t="n">
        <x:v>1142</x:v>
      </x:c>
      <x:c r="B1161" s="53" t="n">
        <x:v>1</x:v>
      </x:c>
      <x:c r="C1161" s="40" t="str">
        <x:v>High-Value Frequent Shoppers</x:v>
      </x:c>
      <x:c r="D1161" s="60" t="n">
        <x:v>15178.96</x:v>
      </x:c>
      <x:c r="E1161" s="50" t="n">
        <x:v>284</x:v>
      </x:c>
      <x:c r="F1161" s="46" t="n">
        <x:v>12.34782608695652</x:v>
      </x:c>
      <x:c r="G1161" s="46" t="n">
        <x:v>1</x:v>
      </x:c>
      <x:c r="H1161" s="61" t="n">
        <x:v>53.447042253521126</x:v>
      </x:c>
      <x:c r="I1161" s="52" t="n">
        <x:v>0.8415492957746478</x:v>
      </x:c>
      <x:c r="J1161" s="52" t="n">
        <x:v>0.4202547473608205</x:v>
      </x:c>
      <x:c r="K1161" s="60" t="n">
        <x:v>14345</x:v>
      </x:c>
      <x:c r="L1161" s="60" t="n">
        <x:v>833.96</x:v>
      </x:c>
      <x:c r="M1161" s="50" t="n">
        <x:v>239</x:v>
      </x:c>
      <x:c r="N1161" s="50" t="n">
        <x:v>45</x:v>
      </x:c>
      <x:c r="O1161" s="50" t="n">
        <x:v>187</x:v>
      </x:c>
      <x:c r="P1161" s="50" t="n">
        <x:v>23</x:v>
      </x:c>
    </x:row>
    <x:row r="1162" ht="36" customHeight="1">
      <x:c r="A1162" s="53" t="n">
        <x:v>1143</x:v>
      </x:c>
      <x:c r="B1162" s="53" t="n">
        <x:v>3</x:v>
      </x:c>
      <x:c r="C1162" s="40" t="str">
        <x:v>Low-Value Low-Engagement Shoppers</x:v>
      </x:c>
      <x:c r="D1162" s="60" t="n">
        <x:v>173.31</x:v>
      </x:c>
      <x:c r="E1162" s="50" t="n">
        <x:v>12</x:v>
      </x:c>
      <x:c r="F1162" s="46" t="n">
        <x:v>1.3333333333333333</x:v>
      </x:c>
      <x:c r="G1162" s="46" t="n">
        <x:v>75</x:v>
      </x:c>
      <x:c r="H1162" s="61" t="n">
        <x:v>14.4425</x:v>
      </x:c>
      <x:c r="I1162" s="52" t="n">
        <x:v>0.9166666666666666</x:v>
      </x:c>
      <x:c r="J1162" s="52" t="n">
        <x:v>0.7074606196988056</x:v>
      </x:c>
      <x:c r="K1162" s="60" t="n">
        <x:v>168.33</x:v>
      </x:c>
      <x:c r="L1162" s="60" t="n">
        <x:v>4.98</x:v>
      </x:c>
      <x:c r="M1162" s="50" t="n">
        <x:v>11</x:v>
      </x:c>
      <x:c r="N1162" s="50" t="n">
        <x:v>1</x:v>
      </x:c>
      <x:c r="O1162" s="50" t="n">
        <x:v>25</x:v>
      </x:c>
      <x:c r="P1162" s="50" t="n">
        <x:v>9</x:v>
      </x:c>
    </x:row>
    <x:row r="1163" ht="36" customHeight="1">
      <x:c r="A1163" s="53" t="n">
        <x:v>1144</x:v>
      </x:c>
      <x:c r="B1163" s="53" t="n">
        <x:v>3</x:v>
      </x:c>
      <x:c r="C1163" s="40" t="str">
        <x:v>Low-Value Low-Engagement Shoppers</x:v>
      </x:c>
      <x:c r="D1163" s="60" t="n">
        <x:v>187.09</x:v>
      </x:c>
      <x:c r="E1163" s="50" t="n">
        <x:v>24</x:v>
      </x:c>
      <x:c r="F1163" s="46" t="n">
        <x:v>1.7142857142857144</x:v>
      </x:c>
      <x:c r="G1163" s="46" t="n">
        <x:v>13</x:v>
      </x:c>
      <x:c r="H1163" s="61" t="n">
        <x:v>7.795416666666665</x:v>
      </x:c>
      <x:c r="I1163" s="52" t="n">
        <x:v>0.5833333333333333</x:v>
      </x:c>
      <x:c r="J1163" s="52" t="n">
        <x:v>0.4609011705596237</x:v>
      </x:c>
      <x:c r="K1163" s="60" t="n">
        <x:v>130.05</x:v>
      </x:c>
      <x:c r="L1163" s="60" t="n">
        <x:v>57.04</x:v>
      </x:c>
      <x:c r="M1163" s="50" t="n">
        <x:v>14</x:v>
      </x:c>
      <x:c r="N1163" s="50" t="n">
        <x:v>10</x:v>
      </x:c>
      <x:c r="O1163" s="50" t="n">
        <x:v>26</x:v>
      </x:c>
      <x:c r="P1163" s="50" t="n">
        <x:v>14</x:v>
      </x:c>
    </x:row>
    <x:row r="1164" ht="36" customHeight="1">
      <x:c r="A1164" s="53" t="n">
        <x:v>1145</x:v>
      </x:c>
      <x:c r="B1164" s="53" t="n">
        <x:v>2</x:v>
      </x:c>
      <x:c r="C1164" s="40" t="str">
        <x:v>Large-Basket Occasional Shoppers</x:v>
      </x:c>
      <x:c r="D1164" s="60" t="n">
        <x:v>3875.17</x:v>
      </x:c>
      <x:c r="E1164" s="50" t="n">
        <x:v>81</x:v>
      </x:c>
      <x:c r="F1164" s="46" t="n">
        <x:v>3.8571428571428568</x:v>
      </x:c>
      <x:c r="G1164" s="46" t="n">
        <x:v>4</x:v>
      </x:c>
      <x:c r="H1164" s="61" t="n">
        <x:v>47.8416049382716</x:v>
      </x:c>
      <x:c r="I1164" s="52" t="n">
        <x:v>0.8765432098765432</x:v>
      </x:c>
      <x:c r="J1164" s="52" t="n">
        <x:v>0.5436200218313003</x:v>
      </x:c>
      <x:c r="K1164" s="60" t="n">
        <x:v>3803.46</x:v>
      </x:c>
      <x:c r="L1164" s="60" t="n">
        <x:v>71.71</x:v>
      </x:c>
      <x:c r="M1164" s="50" t="n">
        <x:v>71</x:v>
      </x:c>
      <x:c r="N1164" s="50" t="n">
        <x:v>10</x:v>
      </x:c>
      <x:c r="O1164" s="50" t="n">
        <x:v>134</x:v>
      </x:c>
      <x:c r="P1164" s="50" t="n">
        <x:v>21</x:v>
      </x:c>
    </x:row>
    <x:row r="1165" ht="36" customHeight="1">
      <x:c r="A1165" s="53" t="n">
        <x:v>1146</x:v>
      </x:c>
      <x:c r="B1165" s="53" t="n">
        <x:v>1</x:v>
      </x:c>
      <x:c r="C1165" s="40" t="str">
        <x:v>High-Value Frequent Shoppers</x:v>
      </x:c>
      <x:c r="D1165" s="60" t="n">
        <x:v>8854.64</x:v>
      </x:c>
      <x:c r="E1165" s="50" t="n">
        <x:v>345</x:v>
      </x:c>
      <x:c r="F1165" s="46" t="n">
        <x:v>16.428571428571427</x:v>
      </x:c>
      <x:c r="G1165" s="46" t="n">
        <x:v>0</x:v>
      </x:c>
      <x:c r="H1165" s="61" t="n">
        <x:v>25.6656231884058</x:v>
      </x:c>
      <x:c r="I1165" s="52" t="n">
        <x:v>0.889855072463768</x:v>
      </x:c>
      <x:c r="J1165" s="52" t="n">
        <x:v>0.7010437465554782</x:v>
      </x:c>
      <x:c r="K1165" s="60" t="n">
        <x:v>8520.39</x:v>
      </x:c>
      <x:c r="L1165" s="60" t="n">
        <x:v>334.25</x:v>
      </x:c>
      <x:c r="M1165" s="50" t="n">
        <x:v>307</x:v>
      </x:c>
      <x:c r="N1165" s="50" t="n">
        <x:v>38</x:v>
      </x:c>
      <x:c r="O1165" s="50" t="n">
        <x:v>149</x:v>
      </x:c>
      <x:c r="P1165" s="50" t="n">
        <x:v>21</x:v>
      </x:c>
    </x:row>
    <x:row r="1166" ht="36" customHeight="1">
      <x:c r="A1166" s="53" t="n">
        <x:v>1147</x:v>
      </x:c>
      <x:c r="B1166" s="53" t="n">
        <x:v>2</x:v>
      </x:c>
      <x:c r="C1166" s="40" t="str">
        <x:v>Large-Basket Occasional Shoppers</x:v>
      </x:c>
      <x:c r="D1166" s="60" t="n">
        <x:v>3779.36</x:v>
      </x:c>
      <x:c r="E1166" s="50" t="n">
        <x:v>57</x:v>
      </x:c>
      <x:c r="F1166" s="46" t="n">
        <x:v>2.7142857142857144</x:v>
      </x:c>
      <x:c r="G1166" s="46" t="n">
        <x:v>1</x:v>
      </x:c>
      <x:c r="H1166" s="61" t="n">
        <x:v>66.30456140350877</x:v>
      </x:c>
      <x:c r="I1166" s="52" t="n">
        <x:v>0.9824561403508772</x:v>
      </x:c>
      <x:c r="J1166" s="52" t="n">
        <x:v>0.4314328351890267</x:v>
      </x:c>
      <x:c r="K1166" s="60" t="n">
        <x:v>3774.47</x:v>
      </x:c>
      <x:c r="L1166" s="60" t="n">
        <x:v>4.89</x:v>
      </x:c>
      <x:c r="M1166" s="50" t="n">
        <x:v>56</x:v>
      </x:c>
      <x:c r="N1166" s="50" t="n">
        <x:v>1</x:v>
      </x:c>
      <x:c r="O1166" s="50" t="n">
        <x:v>113</x:v>
      </x:c>
      <x:c r="P1166" s="50" t="n">
        <x:v>21</x:v>
      </x:c>
    </x:row>
    <x:row r="1167" ht="36" customHeight="1">
      <x:c r="A1167" s="53" t="n">
        <x:v>1148</x:v>
      </x:c>
      <x:c r="B1167" s="53" t="n">
        <x:v>3</x:v>
      </x:c>
      <x:c r="C1167" s="40" t="str">
        <x:v>Low-Value Low-Engagement Shoppers</x:v>
      </x:c>
      <x:c r="D1167" s="60" t="n">
        <x:v>478.59</x:v>
      </x:c>
      <x:c r="E1167" s="50" t="n">
        <x:v>26</x:v>
      </x:c>
      <x:c r="F1167" s="46" t="n">
        <x:v>2</x:v>
      </x:c>
      <x:c r="G1167" s="46" t="n">
        <x:v>3</x:v>
      </x:c>
      <x:c r="H1167" s="61" t="n">
        <x:v>18.40730769230769</x:v>
      </x:c>
      <x:c r="I1167" s="52" t="n">
        <x:v>0.8076923076923076</x:v>
      </x:c>
      <x:c r="J1167" s="52" t="n">
        <x:v>0.5823565055684407</x:v>
      </x:c>
      <x:c r="K1167" s="60" t="n">
        <x:v>406.56</x:v>
      </x:c>
      <x:c r="L1167" s="60" t="n">
        <x:v>72.03</x:v>
      </x:c>
      <x:c r="M1167" s="50" t="n">
        <x:v>21</x:v>
      </x:c>
      <x:c r="N1167" s="50" t="n">
        <x:v>5</x:v>
      </x:c>
      <x:c r="O1167" s="50" t="n">
        <x:v>53</x:v>
      </x:c>
      <x:c r="P1167" s="50" t="n">
        <x:v>13</x:v>
      </x:c>
    </x:row>
    <x:row r="1168" ht="36" customHeight="1">
      <x:c r="A1168" s="53" t="n">
        <x:v>1149</x:v>
      </x:c>
      <x:c r="B1168" s="53" t="n">
        <x:v>3</x:v>
      </x:c>
      <x:c r="C1168" s="40" t="str">
        <x:v>Low-Value Low-Engagement Shoppers</x:v>
      </x:c>
      <x:c r="D1168" s="60" t="n">
        <x:v>307.91</x:v>
      </x:c>
      <x:c r="E1168" s="50" t="n">
        <x:v>17</x:v>
      </x:c>
      <x:c r="F1168" s="46" t="n">
        <x:v>1.5454545454545456</x:v>
      </x:c>
      <x:c r="G1168" s="46" t="n">
        <x:v>39</x:v>
      </x:c>
      <x:c r="H1168" s="61" t="n">
        <x:v>18.11235294117647</x:v>
      </x:c>
      <x:c r="I1168" s="52" t="n">
        <x:v>0.6470588235294117</x:v>
      </x:c>
      <x:c r="J1168" s="52" t="n">
        <x:v>0.3382481894059952</x:v>
      </x:c>
      <x:c r="K1168" s="60" t="n">
        <x:v>255.79</x:v>
      </x:c>
      <x:c r="L1168" s="60" t="n">
        <x:v>52.12</x:v>
      </x:c>
      <x:c r="M1168" s="50" t="n">
        <x:v>11</x:v>
      </x:c>
      <x:c r="N1168" s="50" t="n">
        <x:v>6</x:v>
      </x:c>
      <x:c r="O1168" s="50" t="n">
        <x:v>36</x:v>
      </x:c>
      <x:c r="P1168" s="50" t="n">
        <x:v>11</x:v>
      </x:c>
    </x:row>
    <x:row r="1169" ht="36" customHeight="1">
      <x:c r="A1169" s="53" t="n">
        <x:v>1150</x:v>
      </x:c>
      <x:c r="B1169" s="53" t="n">
        <x:v>2</x:v>
      </x:c>
      <x:c r="C1169" s="40" t="str">
        <x:v>Large-Basket Occasional Shoppers</x:v>
      </x:c>
      <x:c r="D1169" s="60" t="n">
        <x:v>845.39</x:v>
      </x:c>
      <x:c r="E1169" s="50" t="n">
        <x:v>14</x:v>
      </x:c>
      <x:c r="F1169" s="46" t="n">
        <x:v>1.75</x:v>
      </x:c>
      <x:c r="G1169" s="46" t="n">
        <x:v>159</x:v>
      </x:c>
      <x:c r="H1169" s="61" t="n">
        <x:v>60.385</x:v>
      </x:c>
      <x:c r="I1169" s="52" t="n">
        <x:v>1</x:v>
      </x:c>
      <x:c r="J1169" s="52" t="n">
        <x:v>0.4614438306580394</x:v>
      </x:c>
      <x:c r="K1169" s="60" t="n">
        <x:v>845.39</x:v>
      </x:c>
      <x:c r="L1169" s="60" t="n">
        <x:v>0</x:v>
      </x:c>
      <x:c r="M1169" s="50" t="n">
        <x:v>14</x:v>
      </x:c>
      <x:c r="N1169" s="50" t="n">
        <x:v>0</x:v>
      </x:c>
      <x:c r="O1169" s="50" t="n">
        <x:v>78</x:v>
      </x:c>
      <x:c r="P1169" s="50" t="n">
        <x:v>8</x:v>
      </x:c>
    </x:row>
    <x:row r="1170" ht="36" customHeight="1">
      <x:c r="A1170" s="53" t="n">
        <x:v>1151</x:v>
      </x:c>
      <x:c r="B1170" s="53" t="n">
        <x:v>1</x:v>
      </x:c>
      <x:c r="C1170" s="40" t="str">
        <x:v>High-Value Frequent Shoppers</x:v>
      </x:c>
      <x:c r="D1170" s="60" t="n">
        <x:v>2808.91</x:v>
      </x:c>
      <x:c r="E1170" s="50" t="n">
        <x:v>159</x:v>
      </x:c>
      <x:c r="F1170" s="46" t="n">
        <x:v>6.913043478260869</x:v>
      </x:c>
      <x:c r="G1170" s="46" t="n">
        <x:v>3</x:v>
      </x:c>
      <x:c r="H1170" s="61" t="n">
        <x:v>17.666100628930817</x:v>
      </x:c>
      <x:c r="I1170" s="52" t="n">
        <x:v>0.7484276729559748</x:v>
      </x:c>
      <x:c r="J1170" s="52" t="n">
        <x:v>0.4754086104574372</x:v>
      </x:c>
      <x:c r="K1170" s="60" t="n">
        <x:v>2576.45</x:v>
      </x:c>
      <x:c r="L1170" s="60" t="n">
        <x:v>232.46</x:v>
      </x:c>
      <x:c r="M1170" s="50" t="n">
        <x:v>119</x:v>
      </x:c>
      <x:c r="N1170" s="50" t="n">
        <x:v>40</x:v>
      </x:c>
      <x:c r="O1170" s="50" t="n">
        <x:v>96</x:v>
      </x:c>
      <x:c r="P1170" s="50" t="n">
        <x:v>23</x:v>
      </x:c>
    </x:row>
    <x:row r="1171" ht="36" customHeight="1">
      <x:c r="A1171" s="53" t="n">
        <x:v>1152</x:v>
      </x:c>
      <x:c r="B1171" s="53" t="n">
        <x:v>3</x:v>
      </x:c>
      <x:c r="C1171" s="40" t="str">
        <x:v>Low-Value Low-Engagement Shoppers</x:v>
      </x:c>
      <x:c r="D1171" s="60" t="n">
        <x:v>1305.66</x:v>
      </x:c>
      <x:c r="E1171" s="50" t="n">
        <x:v>77</x:v>
      </x:c>
      <x:c r="F1171" s="46" t="n">
        <x:v>5.923076923076923</x:v>
      </x:c>
      <x:c r="G1171" s="46" t="n">
        <x:v>16</x:v>
      </x:c>
      <x:c r="H1171" s="61" t="n">
        <x:v>16.956623376623376</x:v>
      </x:c>
      <x:c r="I1171" s="52" t="n">
        <x:v>0.6103896103896103</x:v>
      </x:c>
      <x:c r="J1171" s="52" t="n">
        <x:v>0.5475315166276059</x:v>
      </x:c>
      <x:c r="K1171" s="60" t="n">
        <x:v>1165.46</x:v>
      </x:c>
      <x:c r="L1171" s="60" t="n">
        <x:v>140.2</x:v>
      </x:c>
      <x:c r="M1171" s="50" t="n">
        <x:v>47</x:v>
      </x:c>
      <x:c r="N1171" s="50" t="n">
        <x:v>30</x:v>
      </x:c>
      <x:c r="O1171" s="50" t="n">
        <x:v>102</x:v>
      </x:c>
      <x:c r="P1171" s="50" t="n">
        <x:v>13</x:v>
      </x:c>
    </x:row>
    <x:row r="1172" ht="36" customHeight="1">
      <x:c r="A1172" s="53" t="n">
        <x:v>1153</x:v>
      </x:c>
      <x:c r="B1172" s="53" t="n">
        <x:v>2</x:v>
      </x:c>
      <x:c r="C1172" s="40" t="str">
        <x:v>Large-Basket Occasional Shoppers</x:v>
      </x:c>
      <x:c r="D1172" s="60" t="n">
        <x:v>1142.86</x:v>
      </x:c>
      <x:c r="E1172" s="50" t="n">
        <x:v>65</x:v>
      </x:c>
      <x:c r="F1172" s="46" t="n">
        <x:v>3.611111111111111</x:v>
      </x:c>
      <x:c r="G1172" s="46" t="n">
        <x:v>6</x:v>
      </x:c>
      <x:c r="H1172" s="61" t="n">
        <x:v>17.582461538461537</x:v>
      </x:c>
      <x:c r="I1172" s="52" t="n">
        <x:v>0.8769230769230769</x:v>
      </x:c>
      <x:c r="J1172" s="52" t="n">
        <x:v>0.5877360306599233</x:v>
      </x:c>
      <x:c r="K1172" s="60" t="n">
        <x:v>1104.08</x:v>
      </x:c>
      <x:c r="L1172" s="60" t="n">
        <x:v>38.78</x:v>
      </x:c>
      <x:c r="M1172" s="50" t="n">
        <x:v>57</x:v>
      </x:c>
      <x:c r="N1172" s="50" t="n">
        <x:v>8</x:v>
      </x:c>
      <x:c r="O1172" s="50" t="n">
        <x:v>76</x:v>
      </x:c>
      <x:c r="P1172" s="50" t="n">
        <x:v>18</x:v>
      </x:c>
    </x:row>
    <x:row r="1173" ht="36" customHeight="1">
      <x:c r="A1173" s="53" t="n">
        <x:v>1154</x:v>
      </x:c>
      <x:c r="B1173" s="53" t="n">
        <x:v>1</x:v>
      </x:c>
      <x:c r="C1173" s="40" t="str">
        <x:v>High-Value Frequent Shoppers</x:v>
      </x:c>
      <x:c r="D1173" s="60" t="n">
        <x:v>3803.55</x:v>
      </x:c>
      <x:c r="E1173" s="50" t="n">
        <x:v>127</x:v>
      </x:c>
      <x:c r="F1173" s="46" t="n">
        <x:v>5.7727272727272725</x:v>
      </x:c>
      <x:c r="G1173" s="46" t="n">
        <x:v>0</x:v>
      </x:c>
      <x:c r="H1173" s="61" t="n">
        <x:v>29.9492125984252</x:v>
      </x:c>
      <x:c r="I1173" s="52" t="n">
        <x:v>0.937007874015748</x:v>
      </x:c>
      <x:c r="J1173" s="52" t="n">
        <x:v>0.5296394158089153</x:v>
      </x:c>
      <x:c r="K1173" s="60" t="n">
        <x:v>3757.94</x:v>
      </x:c>
      <x:c r="L1173" s="60" t="n">
        <x:v>45.61</x:v>
      </x:c>
      <x:c r="M1173" s="50" t="n">
        <x:v>119</x:v>
      </x:c>
      <x:c r="N1173" s="50" t="n">
        <x:v>8</x:v>
      </x:c>
      <x:c r="O1173" s="50" t="n">
        <x:v>129</x:v>
      </x:c>
      <x:c r="P1173" s="50" t="n">
        <x:v>22</x:v>
      </x:c>
    </x:row>
    <x:row r="1174" ht="36" customHeight="1">
      <x:c r="A1174" s="53" t="n">
        <x:v>1155</x:v>
      </x:c>
      <x:c r="B1174" s="53" t="n">
        <x:v>2</x:v>
      </x:c>
      <x:c r="C1174" s="40" t="str">
        <x:v>Large-Basket Occasional Shoppers</x:v>
      </x:c>
      <x:c r="D1174" s="60" t="n">
        <x:v>2053.02</x:v>
      </x:c>
      <x:c r="E1174" s="50" t="n">
        <x:v>41</x:v>
      </x:c>
      <x:c r="F1174" s="46" t="n">
        <x:v>2.7333333333333334</x:v>
      </x:c>
      <x:c r="G1174" s="46" t="n">
        <x:v>0</x:v>
      </x:c>
      <x:c r="H1174" s="61" t="n">
        <x:v>50.07365853658537</x:v>
      </x:c>
      <x:c r="I1174" s="52" t="n">
        <x:v>0.9268292682926828</x:v>
      </x:c>
      <x:c r="J1174" s="52" t="n">
        <x:v>0.6163602887453604</x:v>
      </x:c>
      <x:c r="K1174" s="60" t="n">
        <x:v>2028.43</x:v>
      </x:c>
      <x:c r="L1174" s="60" t="n">
        <x:v>24.59</x:v>
      </x:c>
      <x:c r="M1174" s="50" t="n">
        <x:v>38</x:v>
      </x:c>
      <x:c r="N1174" s="50" t="n">
        <x:v>3</x:v>
      </x:c>
      <x:c r="O1174" s="50" t="n">
        <x:v>100</x:v>
      </x:c>
      <x:c r="P1174" s="50" t="n">
        <x:v>15</x:v>
      </x:c>
    </x:row>
    <x:row r="1175" ht="36" customHeight="1">
      <x:c r="A1175" s="53" t="n">
        <x:v>1156</x:v>
      </x:c>
      <x:c r="B1175" s="53" t="n">
        <x:v>3</x:v>
      </x:c>
      <x:c r="C1175" s="40" t="str">
        <x:v>Low-Value Low-Engagement Shoppers</x:v>
      </x:c>
      <x:c r="D1175" s="60" t="n">
        <x:v>999.33</x:v>
      </x:c>
      <x:c r="E1175" s="50" t="n">
        <x:v>29</x:v>
      </x:c>
      <x:c r="F1175" s="46" t="n">
        <x:v>1.8125</x:v>
      </x:c>
      <x:c r="G1175" s="46" t="n">
        <x:v>73</x:v>
      </x:c>
      <x:c r="H1175" s="61" t="n">
        <x:v>34.4596551724138</x:v>
      </x:c>
      <x:c r="I1175" s="52" t="n">
        <x:v>0.7241379310344827</x:v>
      </x:c>
      <x:c r="J1175" s="52" t="n">
        <x:v>0.3190637727277275</x:v>
      </x:c>
      <x:c r="K1175" s="60" t="n">
        <x:v>862.94</x:v>
      </x:c>
      <x:c r="L1175" s="60" t="n">
        <x:v>136.39</x:v>
      </x:c>
      <x:c r="M1175" s="50" t="n">
        <x:v>21</x:v>
      </x:c>
      <x:c r="N1175" s="50" t="n">
        <x:v>8</x:v>
      </x:c>
      <x:c r="O1175" s="50" t="n">
        <x:v>88</x:v>
      </x:c>
      <x:c r="P1175" s="50" t="n">
        <x:v>16</x:v>
      </x:c>
    </x:row>
    <x:row r="1176" ht="36" customHeight="1">
      <x:c r="A1176" s="53" t="n">
        <x:v>1157</x:v>
      </x:c>
      <x:c r="B1176" s="53" t="n">
        <x:v>2</x:v>
      </x:c>
      <x:c r="C1176" s="40" t="str">
        <x:v>Large-Basket Occasional Shoppers</x:v>
      </x:c>
      <x:c r="D1176" s="60" t="n">
        <x:v>2779.86</x:v>
      </x:c>
      <x:c r="E1176" s="50" t="n">
        <x:v>101</x:v>
      </x:c>
      <x:c r="F1176" s="46" t="n">
        <x:v>4.590909090909091</x:v>
      </x:c>
      <x:c r="G1176" s="46" t="n">
        <x:v>37</x:v>
      </x:c>
      <x:c r="H1176" s="61" t="n">
        <x:v>27.523366336633664</x:v>
      </x:c>
      <x:c r="I1176" s="52" t="n">
        <x:v>0.7128712871287128</x:v>
      </x:c>
      <x:c r="J1176" s="52" t="n">
        <x:v>0.3785622297525774</x:v>
      </x:c>
      <x:c r="K1176" s="60" t="n">
        <x:v>2469.55</x:v>
      </x:c>
      <x:c r="L1176" s="60" t="n">
        <x:v>310.31</x:v>
      </x:c>
      <x:c r="M1176" s="50" t="n">
        <x:v>72</x:v>
      </x:c>
      <x:c r="N1176" s="50" t="n">
        <x:v>29</x:v>
      </x:c>
      <x:c r="O1176" s="50" t="n">
        <x:v>142</x:v>
      </x:c>
      <x:c r="P1176" s="50" t="n">
        <x:v>22</x:v>
      </x:c>
    </x:row>
    <x:row r="1177" ht="36" customHeight="1">
      <x:c r="A1177" s="53" t="n">
        <x:v>1158</x:v>
      </x:c>
      <x:c r="B1177" s="53" t="n">
        <x:v>1</x:v>
      </x:c>
      <x:c r="C1177" s="40" t="str">
        <x:v>High-Value Frequent Shoppers</x:v>
      </x:c>
      <x:c r="D1177" s="60" t="n">
        <x:v>2903.2</x:v>
      </x:c>
      <x:c r="E1177" s="50" t="n">
        <x:v>218</x:v>
      </x:c>
      <x:c r="F1177" s="46" t="n">
        <x:v>9.909090909090908</x:v>
      </x:c>
      <x:c r="G1177" s="46" t="n">
        <x:v>0</x:v>
      </x:c>
      <x:c r="H1177" s="61" t="n">
        <x:v>13.31743119266055</x:v>
      </x:c>
      <x:c r="I1177" s="52" t="n">
        <x:v>0.665137614678899</x:v>
      </x:c>
      <x:c r="J1177" s="52" t="n">
        <x:v>0.5573849545329291</x:v>
      </x:c>
      <x:c r="K1177" s="60" t="n">
        <x:v>2570.46</x:v>
      </x:c>
      <x:c r="L1177" s="60" t="n">
        <x:v>332.74</x:v>
      </x:c>
      <x:c r="M1177" s="50" t="n">
        <x:v>145</x:v>
      </x:c>
      <x:c r="N1177" s="50" t="n">
        <x:v>73</x:v>
      </x:c>
      <x:c r="O1177" s="50" t="n">
        <x:v>140</x:v>
      </x:c>
      <x:c r="P1177" s="50" t="n">
        <x:v>22</x:v>
      </x:c>
    </x:row>
    <x:row r="1178" ht="36" customHeight="1">
      <x:c r="A1178" s="53" t="n">
        <x:v>1159</x:v>
      </x:c>
      <x:c r="B1178" s="53" t="n">
        <x:v>1</x:v>
      </x:c>
      <x:c r="C1178" s="40" t="str">
        <x:v>High-Value Frequent Shoppers</x:v>
      </x:c>
      <x:c r="D1178" s="60" t="n">
        <x:v>4468.63</x:v>
      </x:c>
      <x:c r="E1178" s="50" t="n">
        <x:v>233</x:v>
      </x:c>
      <x:c r="F1178" s="46" t="n">
        <x:v>13.705882352941176</x:v>
      </x:c>
      <x:c r="G1178" s="46" t="n">
        <x:v>3</x:v>
      </x:c>
      <x:c r="H1178" s="61" t="n">
        <x:v>19.178669527897</x:v>
      </x:c>
      <x:c r="I1178" s="52" t="n">
        <x:v>0.8497854077253219</x:v>
      </x:c>
      <x:c r="J1178" s="52" t="n">
        <x:v>0.5152093594681143</x:v>
      </x:c>
      <x:c r="K1178" s="60" t="n">
        <x:v>4149.9</x:v>
      </x:c>
      <x:c r="L1178" s="60" t="n">
        <x:v>318.73</x:v>
      </x:c>
      <x:c r="M1178" s="50" t="n">
        <x:v>198</x:v>
      </x:c>
      <x:c r="N1178" s="50" t="n">
        <x:v>35</x:v>
      </x:c>
      <x:c r="O1178" s="50" t="n">
        <x:v>148</x:v>
      </x:c>
      <x:c r="P1178" s="50" t="n">
        <x:v>17</x:v>
      </x:c>
    </x:row>
    <x:row r="1179" ht="36" customHeight="1">
      <x:c r="A1179" s="53" t="n">
        <x:v>1160</x:v>
      </x:c>
      <x:c r="B1179" s="53" t="n">
        <x:v>1</x:v>
      </x:c>
      <x:c r="C1179" s="40" t="str">
        <x:v>High-Value Frequent Shoppers</x:v>
      </x:c>
      <x:c r="D1179" s="60" t="n">
        <x:v>4377.96</x:v>
      </x:c>
      <x:c r="E1179" s="50" t="n">
        <x:v>145</x:v>
      </x:c>
      <x:c r="F1179" s="46" t="n">
        <x:v>6.904761904761905</x:v>
      </x:c>
      <x:c r="G1179" s="46" t="n">
        <x:v>0</x:v>
      </x:c>
      <x:c r="H1179" s="61" t="n">
        <x:v>30.192827586206896</x:v>
      </x:c>
      <x:c r="I1179" s="52" t="n">
        <x:v>0.8344827586206895</x:v>
      </x:c>
      <x:c r="J1179" s="52" t="n">
        <x:v>0.5482622043143381</x:v>
      </x:c>
      <x:c r="K1179" s="60" t="n">
        <x:v>4158.14</x:v>
      </x:c>
      <x:c r="L1179" s="60" t="n">
        <x:v>219.82</x:v>
      </x:c>
      <x:c r="M1179" s="50" t="n">
        <x:v>121</x:v>
      </x:c>
      <x:c r="N1179" s="50" t="n">
        <x:v>24</x:v>
      </x:c>
      <x:c r="O1179" s="50" t="n">
        <x:v>146</x:v>
      </x:c>
      <x:c r="P1179" s="50" t="n">
        <x:v>21</x:v>
      </x:c>
    </x:row>
    <x:row r="1180" ht="36" customHeight="1">
      <x:c r="A1180" s="53" t="n">
        <x:v>1161</x:v>
      </x:c>
      <x:c r="B1180" s="53" t="n">
        <x:v>2</x:v>
      </x:c>
      <x:c r="C1180" s="40" t="str">
        <x:v>Large-Basket Occasional Shoppers</x:v>
      </x:c>
      <x:c r="D1180" s="60" t="n">
        <x:v>1377.57</x:v>
      </x:c>
      <x:c r="E1180" s="50" t="n">
        <x:v>62</x:v>
      </x:c>
      <x:c r="F1180" s="46" t="n">
        <x:v>3.444444444444444</x:v>
      </x:c>
      <x:c r="G1180" s="46" t="n">
        <x:v>6</x:v>
      </x:c>
      <x:c r="H1180" s="61" t="n">
        <x:v>22.21887096774193</x:v>
      </x:c>
      <x:c r="I1180" s="52" t="n">
        <x:v>0.8548387096774193</x:v>
      </x:c>
      <x:c r="J1180" s="52" t="n">
        <x:v>0.4671559339997241</x:v>
      </x:c>
      <x:c r="K1180" s="60" t="n">
        <x:v>1329.95</x:v>
      </x:c>
      <x:c r="L1180" s="60" t="n">
        <x:v>47.62</x:v>
      </x:c>
      <x:c r="M1180" s="50" t="n">
        <x:v>53</x:v>
      </x:c>
      <x:c r="N1180" s="50" t="n">
        <x:v>9</x:v>
      </x:c>
      <x:c r="O1180" s="50" t="n">
        <x:v>142</x:v>
      </x:c>
      <x:c r="P1180" s="50" t="n">
        <x:v>18</x:v>
      </x:c>
    </x:row>
    <x:row r="1181" ht="36" customHeight="1">
      <x:c r="A1181" s="53" t="n">
        <x:v>1162</x:v>
      </x:c>
      <x:c r="B1181" s="53" t="n">
        <x:v>3</x:v>
      </x:c>
      <x:c r="C1181" s="40" t="str">
        <x:v>Low-Value Low-Engagement Shoppers</x:v>
      </x:c>
      <x:c r="D1181" s="60" t="n">
        <x:v>431.76</x:v>
      </x:c>
      <x:c r="E1181" s="50" t="n">
        <x:v>33</x:v>
      </x:c>
      <x:c r="F1181" s="46" t="n">
        <x:v>2.5384615384615383</x:v>
      </x:c>
      <x:c r="G1181" s="46" t="n">
        <x:v>214</x:v>
      </x:c>
      <x:c r="H1181" s="61" t="n">
        <x:v>13.083636363636364</x:v>
      </x:c>
      <x:c r="I1181" s="52" t="n">
        <x:v>0.8787878787878787</x:v>
      </x:c>
      <x:c r="J1181" s="52" t="n">
        <x:v>0.7255651287752455</x:v>
      </x:c>
      <x:c r="K1181" s="60" t="n">
        <x:v>423.17</x:v>
      </x:c>
      <x:c r="L1181" s="60" t="n">
        <x:v>8.59</x:v>
      </x:c>
      <x:c r="M1181" s="50" t="n">
        <x:v>29</x:v>
      </x:c>
      <x:c r="N1181" s="50" t="n">
        <x:v>4</x:v>
      </x:c>
      <x:c r="O1181" s="50" t="n">
        <x:v>50</x:v>
      </x:c>
      <x:c r="P1181" s="50" t="n">
        <x:v>13</x:v>
      </x:c>
    </x:row>
    <x:row r="1182" ht="36" customHeight="1">
      <x:c r="A1182" s="53" t="n">
        <x:v>1163</x:v>
      </x:c>
      <x:c r="B1182" s="53" t="n">
        <x:v>1</x:v>
      </x:c>
      <x:c r="C1182" s="40" t="str">
        <x:v>High-Value Frequent Shoppers</x:v>
      </x:c>
      <x:c r="D1182" s="60" t="n">
        <x:v>4808.01</x:v>
      </x:c>
      <x:c r="E1182" s="50" t="n">
        <x:v>153</x:v>
      </x:c>
      <x:c r="F1182" s="46" t="n">
        <x:v>6.652173913043479</x:v>
      </x:c>
      <x:c r="G1182" s="46" t="n">
        <x:v>17</x:v>
      </x:c>
      <x:c r="H1182" s="61" t="n">
        <x:v>31.424901960784315</x:v>
      </x:c>
      <x:c r="I1182" s="52" t="n">
        <x:v>0.9281045751633986</x:v>
      </x:c>
      <x:c r="J1182" s="52" t="n">
        <x:v>0.587997945095788</x:v>
      </x:c>
      <x:c r="K1182" s="60" t="n">
        <x:v>4711.91</x:v>
      </x:c>
      <x:c r="L1182" s="60" t="n">
        <x:v>96.1</x:v>
      </x:c>
      <x:c r="M1182" s="50" t="n">
        <x:v>142</x:v>
      </x:c>
      <x:c r="N1182" s="50" t="n">
        <x:v>11</x:v>
      </x:c>
      <x:c r="O1182" s="50" t="n">
        <x:v>166</x:v>
      </x:c>
      <x:c r="P1182" s="50" t="n">
        <x:v>23</x:v>
      </x:c>
    </x:row>
    <x:row r="1183" ht="36" customHeight="1">
      <x:c r="A1183" s="53" t="n">
        <x:v>1164</x:v>
      </x:c>
      <x:c r="B1183" s="53" t="n">
        <x:v>1</x:v>
      </x:c>
      <x:c r="C1183" s="40" t="str">
        <x:v>High-Value Frequent Shoppers</x:v>
      </x:c>
      <x:c r="D1183" s="60" t="n">
        <x:v>4689.35</x:v>
      </x:c>
      <x:c r="E1183" s="50" t="n">
        <x:v>103</x:v>
      </x:c>
      <x:c r="F1183" s="46" t="n">
        <x:v>4.478260869565218</x:v>
      </x:c>
      <x:c r="G1183" s="46" t="n">
        <x:v>0</x:v>
      </x:c>
      <x:c r="H1183" s="61" t="n">
        <x:v>45.52766990291262</x:v>
      </x:c>
      <x:c r="I1183" s="52" t="n">
        <x:v>0.8155339805825242</x:v>
      </x:c>
      <x:c r="J1183" s="52" t="n">
        <x:v>0.2008274067834561</x:v>
      </x:c>
      <x:c r="K1183" s="60" t="n">
        <x:v>4283.35</x:v>
      </x:c>
      <x:c r="L1183" s="60" t="n">
        <x:v>406</x:v>
      </x:c>
      <x:c r="M1183" s="50" t="n">
        <x:v>84</x:v>
      </x:c>
      <x:c r="N1183" s="50" t="n">
        <x:v>19</x:v>
      </x:c>
      <x:c r="O1183" s="50" t="n">
        <x:v>114</x:v>
      </x:c>
      <x:c r="P1183" s="50" t="n">
        <x:v>23</x:v>
      </x:c>
    </x:row>
    <x:row r="1184" ht="36" customHeight="1">
      <x:c r="A1184" s="53" t="n">
        <x:v>1165</x:v>
      </x:c>
      <x:c r="B1184" s="53" t="n">
        <x:v>2</x:v>
      </x:c>
      <x:c r="C1184" s="40" t="str">
        <x:v>Large-Basket Occasional Shoppers</x:v>
      </x:c>
      <x:c r="D1184" s="60" t="n">
        <x:v>1413.52</x:v>
      </x:c>
      <x:c r="E1184" s="50" t="n">
        <x:v>57</x:v>
      </x:c>
      <x:c r="F1184" s="46" t="n">
        <x:v>3</x:v>
      </x:c>
      <x:c r="G1184" s="46" t="n">
        <x:v>5</x:v>
      </x:c>
      <x:c r="H1184" s="61" t="n">
        <x:v>24.79859649122807</x:v>
      </x:c>
      <x:c r="I1184" s="52" t="n">
        <x:v>0.8771929824561403</x:v>
      </x:c>
      <x:c r="J1184" s="52" t="n">
        <x:v>0.5989444790310713</x:v>
      </x:c>
      <x:c r="K1184" s="60" t="n">
        <x:v>1345.18</x:v>
      </x:c>
      <x:c r="L1184" s="60" t="n">
        <x:v>68.34</x:v>
      </x:c>
      <x:c r="M1184" s="50" t="n">
        <x:v>50</x:v>
      </x:c>
      <x:c r="N1184" s="50" t="n">
        <x:v>7</x:v>
      </x:c>
      <x:c r="O1184" s="50" t="n">
        <x:v>114</x:v>
      </x:c>
      <x:c r="P1184" s="50" t="n">
        <x:v>19</x:v>
      </x:c>
    </x:row>
    <x:row r="1185" ht="36" customHeight="1">
      <x:c r="A1185" s="53" t="n">
        <x:v>1166</x:v>
      </x:c>
      <x:c r="B1185" s="53" t="n">
        <x:v>1</x:v>
      </x:c>
      <x:c r="C1185" s="40" t="str">
        <x:v>High-Value Frequent Shoppers</x:v>
      </x:c>
      <x:c r="D1185" s="60" t="n">
        <x:v>12300.62</x:v>
      </x:c>
      <x:c r="E1185" s="50" t="n">
        <x:v>409</x:v>
      </x:c>
      <x:c r="F1185" s="46" t="n">
        <x:v>18.590909090909086</x:v>
      </x:c>
      <x:c r="G1185" s="46" t="n">
        <x:v>0</x:v>
      </x:c>
      <x:c r="H1185" s="61" t="n">
        <x:v>30.07486552567237</x:v>
      </x:c>
      <x:c r="I1185" s="52" t="n">
        <x:v>0.8973105134474327</x:v>
      </x:c>
      <x:c r="J1185" s="52" t="n">
        <x:v>0.6931829452499142</x:v>
      </x:c>
      <x:c r="K1185" s="60" t="n">
        <x:v>11995.68</x:v>
      </x:c>
      <x:c r="L1185" s="60" t="n">
        <x:v>304.94</x:v>
      </x:c>
      <x:c r="M1185" s="50" t="n">
        <x:v>367</x:v>
      </x:c>
      <x:c r="N1185" s="50" t="n">
        <x:v>42</x:v>
      </x:c>
      <x:c r="O1185" s="50" t="n">
        <x:v>188</x:v>
      </x:c>
      <x:c r="P1185" s="50" t="n">
        <x:v>22</x:v>
      </x:c>
    </x:row>
    <x:row r="1186" ht="36" customHeight="1">
      <x:c r="A1186" s="53" t="n">
        <x:v>1167</x:v>
      </x:c>
      <x:c r="B1186" s="53" t="n">
        <x:v>1</x:v>
      </x:c>
      <x:c r="C1186" s="40" t="str">
        <x:v>High-Value Frequent Shoppers</x:v>
      </x:c>
      <x:c r="D1186" s="60" t="n">
        <x:v>6798.79</x:v>
      </x:c>
      <x:c r="E1186" s="50" t="n">
        <x:v>150</x:v>
      </x:c>
      <x:c r="F1186" s="46" t="n">
        <x:v>6.521739130434783</x:v>
      </x:c>
      <x:c r="G1186" s="46" t="n">
        <x:v>3</x:v>
      </x:c>
      <x:c r="H1186" s="61" t="n">
        <x:v>45.32526666666666</x:v>
      </x:c>
      <x:c r="I1186" s="52" t="n">
        <x:v>0.8866666666666666</x:v>
      </x:c>
      <x:c r="J1186" s="52" t="n">
        <x:v>0.4200100311967276</x:v>
      </x:c>
      <x:c r="K1186" s="60" t="n">
        <x:v>6565.91</x:v>
      </x:c>
      <x:c r="L1186" s="60" t="n">
        <x:v>232.88</x:v>
      </x:c>
      <x:c r="M1186" s="50" t="n">
        <x:v>133</x:v>
      </x:c>
      <x:c r="N1186" s="50" t="n">
        <x:v>17</x:v>
      </x:c>
      <x:c r="O1186" s="50" t="n">
        <x:v>184</x:v>
      </x:c>
      <x:c r="P1186" s="50" t="n">
        <x:v>23</x:v>
      </x:c>
    </x:row>
    <x:row r="1187" ht="36" customHeight="1">
      <x:c r="A1187" s="53" t="n">
        <x:v>1168</x:v>
      </x:c>
      <x:c r="B1187" s="53" t="n">
        <x:v>3</x:v>
      </x:c>
      <x:c r="C1187" s="40" t="str">
        <x:v>Low-Value Low-Engagement Shoppers</x:v>
      </x:c>
      <x:c r="D1187" s="60" t="n">
        <x:v>874.23</x:v>
      </x:c>
      <x:c r="E1187" s="50" t="n">
        <x:v>68</x:v>
      </x:c>
      <x:c r="F1187" s="46" t="n">
        <x:v>2.9565217391304346</x:v>
      </x:c>
      <x:c r="G1187" s="46" t="n">
        <x:v>8</x:v>
      </x:c>
      <x:c r="H1187" s="61" t="n">
        <x:v>12.856323529411764</x:v>
      </x:c>
      <x:c r="I1187" s="52" t="n">
        <x:v>0.6617647058823529</x:v>
      </x:c>
      <x:c r="J1187" s="52" t="n">
        <x:v>0.2149091200256225</x:v>
      </x:c>
      <x:c r="K1187" s="60" t="n">
        <x:v>584.41</x:v>
      </x:c>
      <x:c r="L1187" s="60" t="n">
        <x:v>289.82</x:v>
      </x:c>
      <x:c r="M1187" s="50" t="n">
        <x:v>45</x:v>
      </x:c>
      <x:c r="N1187" s="50" t="n">
        <x:v>23</x:v>
      </x:c>
      <x:c r="O1187" s="50" t="n">
        <x:v>63</x:v>
      </x:c>
      <x:c r="P1187" s="50" t="n">
        <x:v>23</x:v>
      </x:c>
    </x:row>
    <x:row r="1188" ht="36" customHeight="1">
      <x:c r="A1188" s="53" t="n">
        <x:v>1169</x:v>
      </x:c>
      <x:c r="B1188" s="53" t="n">
        <x:v>1</x:v>
      </x:c>
      <x:c r="C1188" s="40" t="str">
        <x:v>High-Value Frequent Shoppers</x:v>
      </x:c>
      <x:c r="D1188" s="60" t="n">
        <x:v>5159.4</x:v>
      </x:c>
      <x:c r="E1188" s="50" t="n">
        <x:v>128</x:v>
      </x:c>
      <x:c r="F1188" s="46" t="n">
        <x:v>5.8181818181818175</x:v>
      </x:c>
      <x:c r="G1188" s="46" t="n">
        <x:v>6</x:v>
      </x:c>
      <x:c r="H1188" s="61" t="n">
        <x:v>40.3078125</x:v>
      </x:c>
      <x:c r="I1188" s="52" t="n">
        <x:v>0.8515625</x:v>
      </x:c>
      <x:c r="J1188" s="52" t="n">
        <x:v>0.5851746327092296</x:v>
      </x:c>
      <x:c r="K1188" s="60" t="n">
        <x:v>5071.36</x:v>
      </x:c>
      <x:c r="L1188" s="60" t="n">
        <x:v>88.04</x:v>
      </x:c>
      <x:c r="M1188" s="50" t="n">
        <x:v>109</x:v>
      </x:c>
      <x:c r="N1188" s="50" t="n">
        <x:v>19</x:v>
      </x:c>
      <x:c r="O1188" s="50" t="n">
        <x:v>136</x:v>
      </x:c>
      <x:c r="P1188" s="50" t="n">
        <x:v>22</x:v>
      </x:c>
    </x:row>
    <x:row r="1189" ht="36" customHeight="1">
      <x:c r="A1189" s="53" t="n">
        <x:v>1170</x:v>
      </x:c>
      <x:c r="B1189" s="53" t="n">
        <x:v>3</x:v>
      </x:c>
      <x:c r="C1189" s="40" t="str">
        <x:v>Low-Value Low-Engagement Shoppers</x:v>
      </x:c>
      <x:c r="D1189" s="60" t="n">
        <x:v>68.45</x:v>
      </x:c>
      <x:c r="E1189" s="50" t="n">
        <x:v>7</x:v>
      </x:c>
      <x:c r="F1189" s="46" t="n">
        <x:v>1</x:v>
      </x:c>
      <x:c r="G1189" s="46" t="n">
        <x:v>62</x:v>
      </x:c>
      <x:c r="H1189" s="61" t="n">
        <x:v>9.778571428571428</x:v>
      </x:c>
      <x:c r="I1189" s="52" t="n">
        <x:v>0.7142857142857142</x:v>
      </x:c>
      <x:c r="J1189" s="52" t="n">
        <x:v>0.3212563915266617</x:v>
      </x:c>
      <x:c r="K1189" s="60" t="n">
        <x:v>40.5</x:v>
      </x:c>
      <x:c r="L1189" s="60" t="n">
        <x:v>27.95</x:v>
      </x:c>
      <x:c r="M1189" s="50" t="n">
        <x:v>5</x:v>
      </x:c>
      <x:c r="N1189" s="50" t="n">
        <x:v>2</x:v>
      </x:c>
      <x:c r="O1189" s="50" t="n">
        <x:v>16</x:v>
      </x:c>
      <x:c r="P1189" s="50" t="n">
        <x:v>7</x:v>
      </x:c>
    </x:row>
    <x:row r="1190" ht="36" customHeight="1">
      <x:c r="A1190" s="53" t="n">
        <x:v>1171</x:v>
      </x:c>
      <x:c r="B1190" s="53" t="n">
        <x:v>2</x:v>
      </x:c>
      <x:c r="C1190" s="40" t="str">
        <x:v>Large-Basket Occasional Shoppers</x:v>
      </x:c>
      <x:c r="D1190" s="60" t="n">
        <x:v>996.6</x:v>
      </x:c>
      <x:c r="E1190" s="50" t="n">
        <x:v>34</x:v>
      </x:c>
      <x:c r="F1190" s="46" t="n">
        <x:v>2.125</x:v>
      </x:c>
      <x:c r="G1190" s="46" t="n">
        <x:v>4</x:v>
      </x:c>
      <x:c r="H1190" s="61" t="n">
        <x:v>29.311764705882357</x:v>
      </x:c>
      <x:c r="I1190" s="52" t="n">
        <x:v>0.7647058823529411</x:v>
      </x:c>
      <x:c r="J1190" s="52" t="n">
        <x:v>0.3247140276941601</x:v>
      </x:c>
      <x:c r="K1190" s="60" t="n">
        <x:v>892.25</x:v>
      </x:c>
      <x:c r="L1190" s="60" t="n">
        <x:v>104.35</x:v>
      </x:c>
      <x:c r="M1190" s="50" t="n">
        <x:v>26</x:v>
      </x:c>
      <x:c r="N1190" s="50" t="n">
        <x:v>8</x:v>
      </x:c>
      <x:c r="O1190" s="50" t="n">
        <x:v>87</x:v>
      </x:c>
      <x:c r="P1190" s="50" t="n">
        <x:v>16</x:v>
      </x:c>
    </x:row>
    <x:row r="1191" ht="36" customHeight="1">
      <x:c r="A1191" s="53" t="n">
        <x:v>1172</x:v>
      </x:c>
      <x:c r="B1191" s="53" t="n">
        <x:v>1</x:v>
      </x:c>
      <x:c r="C1191" s="40" t="str">
        <x:v>High-Value Frequent Shoppers</x:v>
      </x:c>
      <x:c r="D1191" s="60" t="n">
        <x:v>4569.24</x:v>
      </x:c>
      <x:c r="E1191" s="50" t="n">
        <x:v>167</x:v>
      </x:c>
      <x:c r="F1191" s="46" t="n">
        <x:v>6.958333333333333</x:v>
      </x:c>
      <x:c r="G1191" s="46" t="n">
        <x:v>1</x:v>
      </x:c>
      <x:c r="H1191" s="61" t="n">
        <x:v>27.360718562874247</x:v>
      </x:c>
      <x:c r="I1191" s="52" t="n">
        <x:v>0.688622754491018</x:v>
      </x:c>
      <x:c r="J1191" s="52" t="n">
        <x:v>0.3778527720146019</x:v>
      </x:c>
      <x:c r="K1191" s="60" t="n">
        <x:v>3760.15</x:v>
      </x:c>
      <x:c r="L1191" s="60" t="n">
        <x:v>809.09</x:v>
      </x:c>
      <x:c r="M1191" s="50" t="n">
        <x:v>115</x:v>
      </x:c>
      <x:c r="N1191" s="50" t="n">
        <x:v>52</x:v>
      </x:c>
      <x:c r="O1191" s="50" t="n">
        <x:v>155</x:v>
      </x:c>
      <x:c r="P1191" s="50" t="n">
        <x:v>24</x:v>
      </x:c>
    </x:row>
    <x:row r="1192" ht="36" customHeight="1">
      <x:c r="A1192" s="53" t="n">
        <x:v>1173</x:v>
      </x:c>
      <x:c r="B1192" s="53" t="n">
        <x:v>3</x:v>
      </x:c>
      <x:c r="C1192" s="40" t="str">
        <x:v>Low-Value Low-Engagement Shoppers</x:v>
      </x:c>
      <x:c r="D1192" s="60" t="n">
        <x:v>655.77</x:v>
      </x:c>
      <x:c r="E1192" s="50" t="n">
        <x:v>41</x:v>
      </x:c>
      <x:c r="F1192" s="46" t="n">
        <x:v>3.1538461538461537</x:v>
      </x:c>
      <x:c r="G1192" s="46" t="n">
        <x:v>74</x:v>
      </x:c>
      <x:c r="H1192" s="61" t="n">
        <x:v>15.99439024390244</x:v>
      </x:c>
      <x:c r="I1192" s="52" t="n">
        <x:v>0.6829268292682926</x:v>
      </x:c>
      <x:c r="J1192" s="52" t="n">
        <x:v>0.4779114628604541</x:v>
      </x:c>
      <x:c r="K1192" s="60" t="n">
        <x:v>532.69</x:v>
      </x:c>
      <x:c r="L1192" s="60" t="n">
        <x:v>123.08</x:v>
      </x:c>
      <x:c r="M1192" s="50" t="n">
        <x:v>28</x:v>
      </x:c>
      <x:c r="N1192" s="50" t="n">
        <x:v>13</x:v>
      </x:c>
      <x:c r="O1192" s="50" t="n">
        <x:v>82</x:v>
      </x:c>
      <x:c r="P1192" s="50" t="n">
        <x:v>13</x:v>
      </x:c>
    </x:row>
    <x:row r="1193" ht="36" customHeight="1">
      <x:c r="A1193" s="53" t="n">
        <x:v>1174</x:v>
      </x:c>
      <x:c r="B1193" s="53" t="n">
        <x:v>1</x:v>
      </x:c>
      <x:c r="C1193" s="40" t="str">
        <x:v>High-Value Frequent Shoppers</x:v>
      </x:c>
      <x:c r="D1193" s="60" t="n">
        <x:v>2156.65</x:v>
      </x:c>
      <x:c r="E1193" s="50" t="n">
        <x:v>122</x:v>
      </x:c>
      <x:c r="F1193" s="46" t="n">
        <x:v>5.809523809523809</x:v>
      </x:c>
      <x:c r="G1193" s="46" t="n">
        <x:v>7</x:v>
      </x:c>
      <x:c r="H1193" s="61" t="n">
        <x:v>17.677459016393442</x:v>
      </x:c>
      <x:c r="I1193" s="52" t="n">
        <x:v>0.7704918032786885</x:v>
      </x:c>
      <x:c r="J1193" s="52" t="n">
        <x:v>0.5026824009459114</x:v>
      </x:c>
      <x:c r="K1193" s="60" t="n">
        <x:v>2019.87</x:v>
      </x:c>
      <x:c r="L1193" s="60" t="n">
        <x:v>136.78</x:v>
      </x:c>
      <x:c r="M1193" s="50" t="n">
        <x:v>94</x:v>
      </x:c>
      <x:c r="N1193" s="50" t="n">
        <x:v>28</x:v>
      </x:c>
      <x:c r="O1193" s="50" t="n">
        <x:v>153</x:v>
      </x:c>
      <x:c r="P1193" s="50" t="n">
        <x:v>21</x:v>
      </x:c>
    </x:row>
    <x:row r="1194" ht="36" customHeight="1">
      <x:c r="A1194" s="53" t="n">
        <x:v>1175</x:v>
      </x:c>
      <x:c r="B1194" s="53" t="n">
        <x:v>1</x:v>
      </x:c>
      <x:c r="C1194" s="40" t="str">
        <x:v>High-Value Frequent Shoppers</x:v>
      </x:c>
      <x:c r="D1194" s="60" t="n">
        <x:v>7403.51</x:v>
      </x:c>
      <x:c r="E1194" s="50" t="n">
        <x:v>134</x:v>
      </x:c>
      <x:c r="F1194" s="46" t="n">
        <x:v>6.3809523809523805</x:v>
      </x:c>
      <x:c r="G1194" s="46" t="n">
        <x:v>5</x:v>
      </x:c>
      <x:c r="H1194" s="61" t="n">
        <x:v>55.25007462686568</x:v>
      </x:c>
      <x:c r="I1194" s="52" t="n">
        <x:v>0.9626865671641792</x:v>
      </x:c>
      <x:c r="J1194" s="52" t="n">
        <x:v>0.4862072179277126</x:v>
      </x:c>
      <x:c r="K1194" s="60" t="n">
        <x:v>7317.25</x:v>
      </x:c>
      <x:c r="L1194" s="60" t="n">
        <x:v>86.26</x:v>
      </x:c>
      <x:c r="M1194" s="50" t="n">
        <x:v>129</x:v>
      </x:c>
      <x:c r="N1194" s="50" t="n">
        <x:v>5</x:v>
      </x:c>
      <x:c r="O1194" s="50" t="n">
        <x:v>160</x:v>
      </x:c>
      <x:c r="P1194" s="50" t="n">
        <x:v>21</x:v>
      </x:c>
    </x:row>
    <x:row r="1195" ht="36" customHeight="1">
      <x:c r="A1195" s="53" t="n">
        <x:v>1176</x:v>
      </x:c>
      <x:c r="B1195" s="53" t="n">
        <x:v>3</x:v>
      </x:c>
      <x:c r="C1195" s="40" t="str">
        <x:v>Low-Value Low-Engagement Shoppers</x:v>
      </x:c>
      <x:c r="D1195" s="60" t="n">
        <x:v>240.85</x:v>
      </x:c>
      <x:c r="E1195" s="50" t="n">
        <x:v>16</x:v>
      </x:c>
      <x:c r="F1195" s="46" t="n">
        <x:v>3.2</x:v>
      </x:c>
      <x:c r="G1195" s="46" t="n">
        <x:v>8</x:v>
      </x:c>
      <x:c r="H1195" s="61" t="n">
        <x:v>15.053125</x:v>
      </x:c>
      <x:c r="I1195" s="52" t="n">
        <x:v>0.75</x:v>
      </x:c>
      <x:c r="J1195" s="52" t="n">
        <x:v>0.6072244135353954</x:v>
      </x:c>
      <x:c r="K1195" s="60" t="n">
        <x:v>207.55</x:v>
      </x:c>
      <x:c r="L1195" s="60" t="n">
        <x:v>33.3</x:v>
      </x:c>
      <x:c r="M1195" s="50" t="n">
        <x:v>12</x:v>
      </x:c>
      <x:c r="N1195" s="50" t="n">
        <x:v>4</x:v>
      </x:c>
      <x:c r="O1195" s="50" t="n">
        <x:v>29</x:v>
      </x:c>
      <x:c r="P1195" s="50" t="n">
        <x:v>5</x:v>
      </x:c>
    </x:row>
    <x:row r="1196" ht="36" customHeight="1">
      <x:c r="A1196" s="53" t="n">
        <x:v>1177</x:v>
      </x:c>
      <x:c r="B1196" s="53" t="n">
        <x:v>3</x:v>
      </x:c>
      <x:c r="C1196" s="40" t="str">
        <x:v>Low-Value Low-Engagement Shoppers</x:v>
      </x:c>
      <x:c r="D1196" s="60" t="n">
        <x:v>337.97</x:v>
      </x:c>
      <x:c r="E1196" s="50" t="n">
        <x:v>17</x:v>
      </x:c>
      <x:c r="F1196" s="46" t="n">
        <x:v>1.5454545454545456</x:v>
      </x:c>
      <x:c r="G1196" s="46" t="n">
        <x:v>13</x:v>
      </x:c>
      <x:c r="H1196" s="61" t="n">
        <x:v>19.88058823529412</x:v>
      </x:c>
      <x:c r="I1196" s="52" t="n">
        <x:v>0.8823529411764705</x:v>
      </x:c>
      <x:c r="J1196" s="52" t="n">
        <x:v>0.2328017279640204</x:v>
      </x:c>
      <x:c r="K1196" s="60" t="n">
        <x:v>299.95</x:v>
      </x:c>
      <x:c r="L1196" s="60" t="n">
        <x:v>38.02</x:v>
      </x:c>
      <x:c r="M1196" s="50" t="n">
        <x:v>15</x:v>
      </x:c>
      <x:c r="N1196" s="50" t="n">
        <x:v>2</x:v>
      </x:c>
      <x:c r="O1196" s="50" t="n">
        <x:v>41</x:v>
      </x:c>
      <x:c r="P1196" s="50" t="n">
        <x:v>11</x:v>
      </x:c>
    </x:row>
    <x:row r="1197" ht="36" customHeight="1">
      <x:c r="A1197" s="53" t="n">
        <x:v>1178</x:v>
      </x:c>
      <x:c r="B1197" s="53" t="n">
        <x:v>1</x:v>
      </x:c>
      <x:c r="C1197" s="40" t="str">
        <x:v>High-Value Frequent Shoppers</x:v>
      </x:c>
      <x:c r="D1197" s="60" t="n">
        <x:v>5022.28</x:v>
      </x:c>
      <x:c r="E1197" s="50" t="n">
        <x:v>212</x:v>
      </x:c>
      <x:c r="F1197" s="46" t="n">
        <x:v>9.217391304347826</x:v>
      </x:c>
      <x:c r="G1197" s="46" t="n">
        <x:v>3</x:v>
      </x:c>
      <x:c r="H1197" s="61" t="n">
        <x:v>23.69</x:v>
      </x:c>
      <x:c r="I1197" s="52" t="n">
        <x:v>0.9622641509433962</x:v>
      </x:c>
      <x:c r="J1197" s="52" t="n">
        <x:v>0.6496013762673526</x:v>
      </x:c>
      <x:c r="K1197" s="60" t="n">
        <x:v>4877.7</x:v>
      </x:c>
      <x:c r="L1197" s="60" t="n">
        <x:v>144.58</x:v>
      </x:c>
      <x:c r="M1197" s="50" t="n">
        <x:v>204</x:v>
      </x:c>
      <x:c r="N1197" s="50" t="n">
        <x:v>8</x:v>
      </x:c>
      <x:c r="O1197" s="50" t="n">
        <x:v>162</x:v>
      </x:c>
      <x:c r="P1197" s="50" t="n">
        <x:v>23</x:v>
      </x:c>
    </x:row>
    <x:row r="1198" ht="36" customHeight="1">
      <x:c r="A1198" s="53" t="n">
        <x:v>1179</x:v>
      </x:c>
      <x:c r="B1198" s="53" t="n">
        <x:v>1</x:v>
      </x:c>
      <x:c r="C1198" s="40" t="str">
        <x:v>High-Value Frequent Shoppers</x:v>
      </x:c>
      <x:c r="D1198" s="60" t="n">
        <x:v>9428.4</x:v>
      </x:c>
      <x:c r="E1198" s="50" t="n">
        <x:v>205</x:v>
      </x:c>
      <x:c r="F1198" s="46" t="n">
        <x:v>9.318181818181818</x:v>
      </x:c>
      <x:c r="G1198" s="46" t="n">
        <x:v>0</x:v>
      </x:c>
      <x:c r="H1198" s="61" t="n">
        <x:v>45.99219512195122</x:v>
      </x:c>
      <x:c r="I1198" s="52" t="n">
        <x:v>0.9560975609756096</x:v>
      </x:c>
      <x:c r="J1198" s="52" t="n">
        <x:v>0.6252577319587628</x:v>
      </x:c>
      <x:c r="K1198" s="60" t="n">
        <x:v>9271.86</x:v>
      </x:c>
      <x:c r="L1198" s="60" t="n">
        <x:v>156.54</x:v>
      </x:c>
      <x:c r="M1198" s="50" t="n">
        <x:v>196</x:v>
      </x:c>
      <x:c r="N1198" s="50" t="n">
        <x:v>9</x:v>
      </x:c>
      <x:c r="O1198" s="50" t="n">
        <x:v>189</x:v>
      </x:c>
      <x:c r="P1198" s="50" t="n">
        <x:v>22</x:v>
      </x:c>
    </x:row>
    <x:row r="1199" ht="36" customHeight="1">
      <x:c r="A1199" s="53" t="n">
        <x:v>1180</x:v>
      </x:c>
      <x:c r="B1199" s="53" t="n">
        <x:v>1</x:v>
      </x:c>
      <x:c r="C1199" s="40" t="str">
        <x:v>High-Value Frequent Shoppers</x:v>
      </x:c>
      <x:c r="D1199" s="60" t="n">
        <x:v>5430.04</x:v>
      </x:c>
      <x:c r="E1199" s="50" t="n">
        <x:v>166</x:v>
      </x:c>
      <x:c r="F1199" s="46" t="n">
        <x:v>7.904761904761904</x:v>
      </x:c>
      <x:c r="G1199" s="46" t="n">
        <x:v>10</x:v>
      </x:c>
      <x:c r="H1199" s="61" t="n">
        <x:v>32.7110843373494</x:v>
      </x:c>
      <x:c r="I1199" s="52" t="n">
        <x:v>0.7951807228915662</x:v>
      </x:c>
      <x:c r="J1199" s="52" t="n">
        <x:v>0.5856549859669542</x:v>
      </x:c>
      <x:c r="K1199" s="60" t="n">
        <x:v>4819.49</x:v>
      </x:c>
      <x:c r="L1199" s="60" t="n">
        <x:v>610.55</x:v>
      </x:c>
      <x:c r="M1199" s="50" t="n">
        <x:v>132</x:v>
      </x:c>
      <x:c r="N1199" s="50" t="n">
        <x:v>34</x:v>
      </x:c>
      <x:c r="O1199" s="50" t="n">
        <x:v>137</x:v>
      </x:c>
      <x:c r="P1199" s="50" t="n">
        <x:v>21</x:v>
      </x:c>
    </x:row>
    <x:row r="1200" ht="36" customHeight="1">
      <x:c r="A1200" s="53" t="n">
        <x:v>1181</x:v>
      </x:c>
      <x:c r="B1200" s="53" t="n">
        <x:v>2</x:v>
      </x:c>
      <x:c r="C1200" s="40" t="str">
        <x:v>Large-Basket Occasional Shoppers</x:v>
      </x:c>
      <x:c r="D1200" s="60" t="n">
        <x:v>2196.58</x:v>
      </x:c>
      <x:c r="E1200" s="50" t="n">
        <x:v>89</x:v>
      </x:c>
      <x:c r="F1200" s="46" t="n">
        <x:v>4.045454545454546</x:v>
      </x:c>
      <x:c r="G1200" s="46" t="n">
        <x:v>5</x:v>
      </x:c>
      <x:c r="H1200" s="61" t="n">
        <x:v>24.68067415730337</x:v>
      </x:c>
      <x:c r="I1200" s="52" t="n">
        <x:v>0.8651685393258426</x:v>
      </x:c>
      <x:c r="J1200" s="52" t="n">
        <x:v>0.5138488013184132</x:v>
      </x:c>
      <x:c r="K1200" s="60" t="n">
        <x:v>2100.23</x:v>
      </x:c>
      <x:c r="L1200" s="60" t="n">
        <x:v>96.35</x:v>
      </x:c>
      <x:c r="M1200" s="50" t="n">
        <x:v>77</x:v>
      </x:c>
      <x:c r="N1200" s="50" t="n">
        <x:v>12</x:v>
      </x:c>
      <x:c r="O1200" s="50" t="n">
        <x:v>131</x:v>
      </x:c>
      <x:c r="P1200" s="50" t="n">
        <x:v>22</x:v>
      </x:c>
    </x:row>
    <x:row r="1201" ht="36" customHeight="1">
      <x:c r="A1201" s="53" t="n">
        <x:v>1182</x:v>
      </x:c>
      <x:c r="B1201" s="53" t="n">
        <x:v>3</x:v>
      </x:c>
      <x:c r="C1201" s="40" t="str">
        <x:v>Low-Value Low-Engagement Shoppers</x:v>
      </x:c>
      <x:c r="D1201" s="60" t="n">
        <x:v>1966.38</x:v>
      </x:c>
      <x:c r="E1201" s="50" t="n">
        <x:v>124</x:v>
      </x:c>
      <x:c r="F1201" s="46" t="n">
        <x:v>6.888888888888888</x:v>
      </x:c>
      <x:c r="G1201" s="46" t="n">
        <x:v>27</x:v>
      </x:c>
      <x:c r="H1201" s="61" t="n">
        <x:v>15.857903225806451</x:v>
      </x:c>
      <x:c r="I1201" s="52" t="n">
        <x:v>0.7177419354838709</x:v>
      </x:c>
      <x:c r="J1201" s="52" t="n">
        <x:v>0.4302779727214475</x:v>
      </x:c>
      <x:c r="K1201" s="60" t="n">
        <x:v>1650.97</x:v>
      </x:c>
      <x:c r="L1201" s="60" t="n">
        <x:v>315.41</x:v>
      </x:c>
      <x:c r="M1201" s="50" t="n">
        <x:v>89</x:v>
      </x:c>
      <x:c r="N1201" s="50" t="n">
        <x:v>35</x:v>
      </x:c>
      <x:c r="O1201" s="50" t="n">
        <x:v>113</x:v>
      </x:c>
      <x:c r="P1201" s="50" t="n">
        <x:v>18</x:v>
      </x:c>
    </x:row>
    <x:row r="1202" ht="36" customHeight="1">
      <x:c r="A1202" s="53" t="n">
        <x:v>1183</x:v>
      </x:c>
      <x:c r="B1202" s="53" t="n">
        <x:v>2</x:v>
      </x:c>
      <x:c r="C1202" s="40" t="str">
        <x:v>Large-Basket Occasional Shoppers</x:v>
      </x:c>
      <x:c r="D1202" s="60" t="n">
        <x:v>260.04</x:v>
      </x:c>
      <x:c r="E1202" s="50" t="n">
        <x:v>9</x:v>
      </x:c>
      <x:c r="F1202" s="46" t="n">
        <x:v>1.8</x:v>
      </x:c>
      <x:c r="G1202" s="46" t="n">
        <x:v>34</x:v>
      </x:c>
      <x:c r="H1202" s="61" t="n">
        <x:v>28.89333333333333</x:v>
      </x:c>
      <x:c r="I1202" s="52" t="n">
        <x:v>1</x:v>
      </x:c>
      <x:c r="J1202" s="52" t="n">
        <x:v>0.7508075680664513</x:v>
      </x:c>
      <x:c r="K1202" s="60" t="n">
        <x:v>260.04</x:v>
      </x:c>
      <x:c r="L1202" s="60" t="n">
        <x:v>0</x:v>
      </x:c>
      <x:c r="M1202" s="50" t="n">
        <x:v>9</x:v>
      </x:c>
      <x:c r="N1202" s="50" t="n">
        <x:v>0</x:v>
      </x:c>
      <x:c r="O1202" s="50" t="n">
        <x:v>58</x:v>
      </x:c>
      <x:c r="P1202" s="50" t="n">
        <x:v>5</x:v>
      </x:c>
    </x:row>
    <x:row r="1203" ht="36" customHeight="1">
      <x:c r="A1203" s="53" t="n">
        <x:v>1184</x:v>
      </x:c>
      <x:c r="B1203" s="53" t="n">
        <x:v>2</x:v>
      </x:c>
      <x:c r="C1203" s="40" t="str">
        <x:v>Large-Basket Occasional Shoppers</x:v>
      </x:c>
      <x:c r="D1203" s="60" t="n">
        <x:v>713.9</x:v>
      </x:c>
      <x:c r="E1203" s="50" t="n">
        <x:v>13</x:v>
      </x:c>
      <x:c r="F1203" s="46" t="n">
        <x:v>1.8571428571428568</x:v>
      </x:c>
      <x:c r="G1203" s="46" t="n">
        <x:v>18</x:v>
      </x:c>
      <x:c r="H1203" s="61" t="n">
        <x:v>54.91538461538462</x:v>
      </x:c>
      <x:c r="I1203" s="52" t="n">
        <x:v>1</x:v>
      </x:c>
      <x:c r="J1203" s="52" t="n">
        <x:v>0.5887099033478078</x:v>
      </x:c>
      <x:c r="K1203" s="60" t="n">
        <x:v>713.9</x:v>
      </x:c>
      <x:c r="L1203" s="60" t="n">
        <x:v>0</x:v>
      </x:c>
      <x:c r="M1203" s="50" t="n">
        <x:v>13</x:v>
      </x:c>
      <x:c r="N1203" s="50" t="n">
        <x:v>0</x:v>
      </x:c>
      <x:c r="O1203" s="50" t="n">
        <x:v>81</x:v>
      </x:c>
      <x:c r="P1203" s="50" t="n">
        <x:v>7</x:v>
      </x:c>
    </x:row>
    <x:row r="1204" ht="36" customHeight="1">
      <x:c r="A1204" s="53" t="n">
        <x:v>1185</x:v>
      </x:c>
      <x:c r="B1204" s="53" t="n">
        <x:v>2</x:v>
      </x:c>
      <x:c r="C1204" s="40" t="str">
        <x:v>Large-Basket Occasional Shoppers</x:v>
      </x:c>
      <x:c r="D1204" s="60" t="n">
        <x:v>1334.18</x:v>
      </x:c>
      <x:c r="E1204" s="50" t="n">
        <x:v>61</x:v>
      </x:c>
      <x:c r="F1204" s="46" t="n">
        <x:v>3.388888888888889</x:v>
      </x:c>
      <x:c r="G1204" s="46" t="n">
        <x:v>4</x:v>
      </x:c>
      <x:c r="H1204" s="61" t="n">
        <x:v>21.871803278688525</x:v>
      </x:c>
      <x:c r="I1204" s="52" t="n">
        <x:v>0.9508196721311476</x:v>
      </x:c>
      <x:c r="J1204" s="52" t="n">
        <x:v>0.5507577688168013</x:v>
      </x:c>
      <x:c r="K1204" s="60" t="n">
        <x:v>1317.32</x:v>
      </x:c>
      <x:c r="L1204" s="60" t="n">
        <x:v>16.86</x:v>
      </x:c>
      <x:c r="M1204" s="50" t="n">
        <x:v>58</x:v>
      </x:c>
      <x:c r="N1204" s="50" t="n">
        <x:v>3</x:v>
      </x:c>
      <x:c r="O1204" s="50" t="n">
        <x:v>104</x:v>
      </x:c>
      <x:c r="P1204" s="50" t="n">
        <x:v>18</x:v>
      </x:c>
    </x:row>
    <x:row r="1205" ht="36" customHeight="1">
      <x:c r="A1205" s="53" t="n">
        <x:v>1186</x:v>
      </x:c>
      <x:c r="B1205" s="53" t="n">
        <x:v>1</x:v>
      </x:c>
      <x:c r="C1205" s="40" t="str">
        <x:v>High-Value Frequent Shoppers</x:v>
      </x:c>
      <x:c r="D1205" s="60" t="n">
        <x:v>6060.38</x:v>
      </x:c>
      <x:c r="E1205" s="50" t="n">
        <x:v>79</x:v>
      </x:c>
      <x:c r="F1205" s="46" t="n">
        <x:v>3.590909090909091</x:v>
      </x:c>
      <x:c r="G1205" s="46" t="n">
        <x:v>3</x:v>
      </x:c>
      <x:c r="H1205" s="61" t="n">
        <x:v>76.71367088607595</x:v>
      </x:c>
      <x:c r="I1205" s="52" t="n">
        <x:v>0.8481012658227848</x:v>
      </x:c>
      <x:c r="J1205" s="52" t="n">
        <x:v>0.32928793243988</x:v>
      </x:c>
      <x:c r="K1205" s="60" t="n">
        <x:v>5320.35</x:v>
      </x:c>
      <x:c r="L1205" s="60" t="n">
        <x:v>740.03</x:v>
      </x:c>
      <x:c r="M1205" s="50" t="n">
        <x:v>67</x:v>
      </x:c>
      <x:c r="N1205" s="50" t="n">
        <x:v>12</x:v>
      </x:c>
      <x:c r="O1205" s="50" t="n">
        <x:v>181</x:v>
      </x:c>
      <x:c r="P1205" s="50" t="n">
        <x:v>22</x:v>
      </x:c>
    </x:row>
    <x:row r="1206" ht="36" customHeight="1">
      <x:c r="A1206" s="53" t="n">
        <x:v>1187</x:v>
      </x:c>
      <x:c r="B1206" s="53" t="n">
        <x:v>1</x:v>
      </x:c>
      <x:c r="C1206" s="40" t="str">
        <x:v>High-Value Frequent Shoppers</x:v>
      </x:c>
      <x:c r="D1206" s="60" t="n">
        <x:v>2996.18</x:v>
      </x:c>
      <x:c r="E1206" s="50" t="n">
        <x:v>133</x:v>
      </x:c>
      <x:c r="F1206" s="46" t="n">
        <x:v>7.823529411764707</x:v>
      </x:c>
      <x:c r="G1206" s="46" t="n">
        <x:v>1</x:v>
      </x:c>
      <x:c r="H1206" s="61" t="n">
        <x:v>22.527669172932328</x:v>
      </x:c>
      <x:c r="I1206" s="52" t="n">
        <x:v>0.744360902255639</x:v>
      </x:c>
      <x:c r="J1206" s="52" t="n">
        <x:v>0.4508340620389963</x:v>
      </x:c>
      <x:c r="K1206" s="60" t="n">
        <x:v>2618.06</x:v>
      </x:c>
      <x:c r="L1206" s="60" t="n">
        <x:v>378.12</x:v>
      </x:c>
      <x:c r="M1206" s="50" t="n">
        <x:v>99</x:v>
      </x:c>
      <x:c r="N1206" s="50" t="n">
        <x:v>34</x:v>
      </x:c>
      <x:c r="O1206" s="50" t="n">
        <x:v>125</x:v>
      </x:c>
      <x:c r="P1206" s="50" t="n">
        <x:v>17</x:v>
      </x:c>
    </x:row>
    <x:row r="1207" ht="36" customHeight="1">
      <x:c r="A1207" s="53" t="n">
        <x:v>1188</x:v>
      </x:c>
      <x:c r="B1207" s="53" t="n">
        <x:v>1</x:v>
      </x:c>
      <x:c r="C1207" s="40" t="str">
        <x:v>High-Value Frequent Shoppers</x:v>
      </x:c>
      <x:c r="D1207" s="60" t="n">
        <x:v>3722.22</x:v>
      </x:c>
      <x:c r="E1207" s="50" t="n">
        <x:v>147</x:v>
      </x:c>
      <x:c r="F1207" s="46" t="n">
        <x:v>7</x:v>
      </x:c>
      <x:c r="G1207" s="46" t="n">
        <x:v>5</x:v>
      </x:c>
      <x:c r="H1207" s="61" t="n">
        <x:v>25.32122448979592</x:v>
      </x:c>
      <x:c r="I1207" s="52" t="n">
        <x:v>0.9387755102040816</x:v>
      </x:c>
      <x:c r="J1207" s="52" t="n">
        <x:v>0.5899221432371003</x:v>
      </x:c>
      <x:c r="K1207" s="60" t="n">
        <x:v>3656.78</x:v>
      </x:c>
      <x:c r="L1207" s="60" t="n">
        <x:v>65.44</x:v>
      </x:c>
      <x:c r="M1207" s="50" t="n">
        <x:v>138</x:v>
      </x:c>
      <x:c r="N1207" s="50" t="n">
        <x:v>9</x:v>
      </x:c>
      <x:c r="O1207" s="50" t="n">
        <x:v>158</x:v>
      </x:c>
      <x:c r="P1207" s="50" t="n">
        <x:v>21</x:v>
      </x:c>
    </x:row>
    <x:row r="1208" ht="36" customHeight="1">
      <x:c r="A1208" s="53" t="n">
        <x:v>1189</x:v>
      </x:c>
      <x:c r="B1208" s="53" t="n">
        <x:v>3</x:v>
      </x:c>
      <x:c r="C1208" s="40" t="str">
        <x:v>Low-Value Low-Engagement Shoppers</x:v>
      </x:c>
      <x:c r="D1208" s="60" t="n">
        <x:v>954.21</x:v>
      </x:c>
      <x:c r="E1208" s="50" t="n">
        <x:v>51</x:v>
      </x:c>
      <x:c r="F1208" s="46" t="n">
        <x:v>2.6842105263157894</x:v>
      </x:c>
      <x:c r="G1208" s="46" t="n">
        <x:v>12</x:v>
      </x:c>
      <x:c r="H1208" s="61" t="n">
        <x:v>18.71</x:v>
      </x:c>
      <x:c r="I1208" s="52" t="n">
        <x:v>0.7058823529411764</x:v>
      </x:c>
      <x:c r="J1208" s="52" t="n">
        <x:v>0.292943901237673</x:v>
      </x:c>
      <x:c r="K1208" s="60" t="n">
        <x:v>702.22</x:v>
      </x:c>
      <x:c r="L1208" s="60" t="n">
        <x:v>251.99</x:v>
      </x:c>
      <x:c r="M1208" s="50" t="n">
        <x:v>36</x:v>
      </x:c>
      <x:c r="N1208" s="50" t="n">
        <x:v>15</x:v>
      </x:c>
      <x:c r="O1208" s="50" t="n">
        <x:v>84</x:v>
      </x:c>
      <x:c r="P1208" s="50" t="n">
        <x:v>19</x:v>
      </x:c>
    </x:row>
    <x:row r="1209" ht="36" customHeight="1">
      <x:c r="A1209" s="53" t="n">
        <x:v>1190</x:v>
      </x:c>
      <x:c r="B1209" s="53" t="n">
        <x:v>1</x:v>
      </x:c>
      <x:c r="C1209" s="40" t="str">
        <x:v>High-Value Frequent Shoppers</x:v>
      </x:c>
      <x:c r="D1209" s="60" t="n">
        <x:v>3327.02</x:v>
      </x:c>
      <x:c r="E1209" s="50" t="n">
        <x:v>253</x:v>
      </x:c>
      <x:c r="F1209" s="46" t="n">
        <x:v>11.5</x:v>
      </x:c>
      <x:c r="G1209" s="46" t="n">
        <x:v>0</x:v>
      </x:c>
      <x:c r="H1209" s="61" t="n">
        <x:v>13.150276679841896</x:v>
      </x:c>
      <x:c r="I1209" s="52" t="n">
        <x:v>0.7509881422924901</x:v>
      </x:c>
      <x:c r="J1209" s="52" t="n">
        <x:v>0.5375561313127062</x:v>
      </x:c>
      <x:c r="K1209" s="60" t="n">
        <x:v>2846.12</x:v>
      </x:c>
      <x:c r="L1209" s="60" t="n">
        <x:v>480.9</x:v>
      </x:c>
      <x:c r="M1209" s="50" t="n">
        <x:v>190</x:v>
      </x:c>
      <x:c r="N1209" s="50" t="n">
        <x:v>63</x:v>
      </x:c>
      <x:c r="O1209" s="50" t="n">
        <x:v>162</x:v>
      </x:c>
      <x:c r="P1209" s="50" t="n">
        <x:v>22</x:v>
      </x:c>
    </x:row>
    <x:row r="1210" ht="36" customHeight="1">
      <x:c r="A1210" s="53" t="n">
        <x:v>1191</x:v>
      </x:c>
      <x:c r="B1210" s="53" t="n">
        <x:v>1</x:v>
      </x:c>
      <x:c r="C1210" s="40" t="str">
        <x:v>High-Value Frequent Shoppers</x:v>
      </x:c>
      <x:c r="D1210" s="60" t="n">
        <x:v>2485.87</x:v>
      </x:c>
      <x:c r="E1210" s="50" t="n">
        <x:v>98</x:v>
      </x:c>
      <x:c r="F1210" s="46" t="n">
        <x:v>4.666666666666666</x:v>
      </x:c>
      <x:c r="G1210" s="46" t="n">
        <x:v>2</x:v>
      </x:c>
      <x:c r="H1210" s="61" t="n">
        <x:v>25.366020408163266</x:v>
      </x:c>
      <x:c r="I1210" s="52" t="n">
        <x:v>0.9081632653061223</x:v>
      </x:c>
      <x:c r="J1210" s="52" t="n">
        <x:v>0.3993491212332101</x:v>
      </x:c>
      <x:c r="K1210" s="60" t="n">
        <x:v>2352.91</x:v>
      </x:c>
      <x:c r="L1210" s="60" t="n">
        <x:v>132.96</x:v>
      </x:c>
      <x:c r="M1210" s="50" t="n">
        <x:v>89</x:v>
      </x:c>
      <x:c r="N1210" s="50" t="n">
        <x:v>9</x:v>
      </x:c>
      <x:c r="O1210" s="50" t="n">
        <x:v>121</x:v>
      </x:c>
      <x:c r="P1210" s="50" t="n">
        <x:v>21</x:v>
      </x:c>
    </x:row>
    <x:row r="1211" ht="36" customHeight="1">
      <x:c r="A1211" s="53" t="n">
        <x:v>1192</x:v>
      </x:c>
      <x:c r="B1211" s="53" t="n">
        <x:v>2</x:v>
      </x:c>
      <x:c r="C1211" s="40" t="str">
        <x:v>Large-Basket Occasional Shoppers</x:v>
      </x:c>
      <x:c r="D1211" s="60" t="n">
        <x:v>1482.54</x:v>
      </x:c>
      <x:c r="E1211" s="50" t="n">
        <x:v>99</x:v>
      </x:c>
      <x:c r="F1211" s="46" t="n">
        <x:v>4.5</x:v>
      </x:c>
      <x:c r="G1211" s="46" t="n">
        <x:v>2</x:v>
      </x:c>
      <x:c r="H1211" s="61" t="n">
        <x:v>14.975151515151516</x:v>
      </x:c>
      <x:c r="I1211" s="52" t="n">
        <x:v>0.8787878787878787</x:v>
      </x:c>
      <x:c r="J1211" s="52" t="n">
        <x:v>0.662950072173432</x:v>
      </x:c>
      <x:c r="K1211" s="60" t="n">
        <x:v>1401.91</x:v>
      </x:c>
      <x:c r="L1211" s="60" t="n">
        <x:v>80.63</x:v>
      </x:c>
      <x:c r="M1211" s="50" t="n">
        <x:v>87</x:v>
      </x:c>
      <x:c r="N1211" s="50" t="n">
        <x:v>12</x:v>
      </x:c>
      <x:c r="O1211" s="50" t="n">
        <x:v>86</x:v>
      </x:c>
      <x:c r="P1211" s="50" t="n">
        <x:v>22</x:v>
      </x:c>
    </x:row>
    <x:row r="1212" ht="36" customHeight="1">
      <x:c r="A1212" s="53" t="n">
        <x:v>1193</x:v>
      </x:c>
      <x:c r="B1212" s="53" t="n">
        <x:v>1</x:v>
      </x:c>
      <x:c r="C1212" s="40" t="str">
        <x:v>High-Value Frequent Shoppers</x:v>
      </x:c>
      <x:c r="D1212" s="60" t="n">
        <x:v>4723.65</x:v>
      </x:c>
      <x:c r="E1212" s="50" t="n">
        <x:v>219</x:v>
      </x:c>
      <x:c r="F1212" s="46" t="n">
        <x:v>9.954545454545457</x:v>
      </x:c>
      <x:c r="G1212" s="46" t="n">
        <x:v>13</x:v>
      </x:c>
      <x:c r="H1212" s="61" t="n">
        <x:v>21.56917808219178</x:v>
      </x:c>
      <x:c r="I1212" s="52" t="n">
        <x:v>0.9041095890410958</x:v>
      </x:c>
      <x:c r="J1212" s="52" t="n">
        <x:v>0.5285954717220793</x:v>
      </x:c>
      <x:c r="K1212" s="60" t="n">
        <x:v>4553.23</x:v>
      </x:c>
      <x:c r="L1212" s="60" t="n">
        <x:v>170.42</x:v>
      </x:c>
      <x:c r="M1212" s="50" t="n">
        <x:v>198</x:v>
      </x:c>
      <x:c r="N1212" s="50" t="n">
        <x:v>21</x:v>
      </x:c>
      <x:c r="O1212" s="50" t="n">
        <x:v>156</x:v>
      </x:c>
      <x:c r="P1212" s="50" t="n">
        <x:v>22</x:v>
      </x:c>
    </x:row>
    <x:row r="1213" ht="36" customHeight="1">
      <x:c r="A1213" s="53" t="n">
        <x:v>1194</x:v>
      </x:c>
      <x:c r="B1213" s="53" t="n">
        <x:v>2</x:v>
      </x:c>
      <x:c r="C1213" s="40" t="str">
        <x:v>Large-Basket Occasional Shoppers</x:v>
      </x:c>
      <x:c r="D1213" s="60" t="n">
        <x:v>1276.74</x:v>
      </x:c>
      <x:c r="E1213" s="50" t="n">
        <x:v>62</x:v>
      </x:c>
      <x:c r="F1213" s="46" t="n">
        <x:v>3.263157894736842</x:v>
      </x:c>
      <x:c r="G1213" s="46" t="n">
        <x:v>9</x:v>
      </x:c>
      <x:c r="H1213" s="61" t="n">
        <x:v>20.592580645161288</x:v>
      </x:c>
      <x:c r="I1213" s="52" t="n">
        <x:v>0.9032258064516128</x:v>
      </x:c>
      <x:c r="J1213" s="52" t="n">
        <x:v>0.4351708256966962</x:v>
      </x:c>
      <x:c r="K1213" s="60" t="n">
        <x:v>1238.4</x:v>
      </x:c>
      <x:c r="L1213" s="60" t="n">
        <x:v>38.34</x:v>
      </x:c>
      <x:c r="M1213" s="50" t="n">
        <x:v>56</x:v>
      </x:c>
      <x:c r="N1213" s="50" t="n">
        <x:v>6</x:v>
      </x:c>
      <x:c r="O1213" s="50" t="n">
        <x:v>117</x:v>
      </x:c>
      <x:c r="P1213" s="50" t="n">
        <x:v>19</x:v>
      </x:c>
    </x:row>
    <x:row r="1214" ht="36" customHeight="1">
      <x:c r="A1214" s="53" t="n">
        <x:v>1195</x:v>
      </x:c>
      <x:c r="B1214" s="53" t="n">
        <x:v>2</x:v>
      </x:c>
      <x:c r="C1214" s="40" t="str">
        <x:v>Large-Basket Occasional Shoppers</x:v>
      </x:c>
      <x:c r="D1214" s="60" t="n">
        <x:v>1271.09</x:v>
      </x:c>
      <x:c r="E1214" s="50" t="n">
        <x:v>41</x:v>
      </x:c>
      <x:c r="F1214" s="46" t="n">
        <x:v>2.5625</x:v>
      </x:c>
      <x:c r="G1214" s="46" t="n">
        <x:v>6</x:v>
      </x:c>
      <x:c r="H1214" s="61" t="n">
        <x:v>31.002195121951218</x:v>
      </x:c>
      <x:c r="I1214" s="52" t="n">
        <x:v>0.902439024390244</x:v>
      </x:c>
      <x:c r="J1214" s="52" t="n">
        <x:v>0.463271680211472</x:v>
      </x:c>
      <x:c r="K1214" s="60" t="n">
        <x:v>1227.17</x:v>
      </x:c>
      <x:c r="L1214" s="60" t="n">
        <x:v>43.92</x:v>
      </x:c>
      <x:c r="M1214" s="50" t="n">
        <x:v>37</x:v>
      </x:c>
      <x:c r="N1214" s="50" t="n">
        <x:v>4</x:v>
      </x:c>
      <x:c r="O1214" s="50" t="n">
        <x:v>93</x:v>
      </x:c>
      <x:c r="P1214" s="50" t="n">
        <x:v>16</x:v>
      </x:c>
    </x:row>
    <x:row r="1215" ht="36" customHeight="1">
      <x:c r="A1215" s="53" t="n">
        <x:v>1196</x:v>
      </x:c>
      <x:c r="B1215" s="53" t="n">
        <x:v>2</x:v>
      </x:c>
      <x:c r="C1215" s="40" t="str">
        <x:v>Large-Basket Occasional Shoppers</x:v>
      </x:c>
      <x:c r="D1215" s="60" t="n">
        <x:v>1915.95</x:v>
      </x:c>
      <x:c r="E1215" s="50" t="n">
        <x:v>27</x:v>
      </x:c>
      <x:c r="F1215" s="46" t="n">
        <x:v>1.6875</x:v>
      </x:c>
      <x:c r="G1215" s="46" t="n">
        <x:v>29</x:v>
      </x:c>
      <x:c r="H1215" s="61" t="n">
        <x:v>70.96111111111111</x:v>
      </x:c>
      <x:c r="I1215" s="52" t="n">
        <x:v>0.9629629629629628</x:v>
      </x:c>
      <x:c r="J1215" s="52" t="n">
        <x:v>0.3425506928677679</x:v>
      </x:c>
      <x:c r="K1215" s="60" t="n">
        <x:v>1902.66</x:v>
      </x:c>
      <x:c r="L1215" s="60" t="n">
        <x:v>13.29</x:v>
      </x:c>
      <x:c r="M1215" s="50" t="n">
        <x:v>26</x:v>
      </x:c>
      <x:c r="N1215" s="50" t="n">
        <x:v>1</x:v>
      </x:c>
      <x:c r="O1215" s="50" t="n">
        <x:v>104</x:v>
      </x:c>
      <x:c r="P1215" s="50" t="n">
        <x:v>16</x:v>
      </x:c>
    </x:row>
    <x:row r="1216" ht="36" customHeight="1">
      <x:c r="A1216" s="53" t="n">
        <x:v>1197</x:v>
      </x:c>
      <x:c r="B1216" s="53" t="n">
        <x:v>1</x:v>
      </x:c>
      <x:c r="C1216" s="40" t="str">
        <x:v>High-Value Frequent Shoppers</x:v>
      </x:c>
      <x:c r="D1216" s="60" t="n">
        <x:v>7988.73</x:v>
      </x:c>
      <x:c r="E1216" s="50" t="n">
        <x:v>160</x:v>
      </x:c>
      <x:c r="F1216" s="46" t="n">
        <x:v>6.956521739130435</x:v>
      </x:c>
      <x:c r="G1216" s="46" t="n">
        <x:v>6</x:v>
      </x:c>
      <x:c r="H1216" s="61" t="n">
        <x:v>49.9295625</x:v>
      </x:c>
      <x:c r="I1216" s="52" t="n">
        <x:v>0.85</x:v>
      </x:c>
      <x:c r="J1216" s="52" t="n">
        <x:v>0.5576555973227283</x:v>
      </x:c>
      <x:c r="K1216" s="60" t="n">
        <x:v>7732.51</x:v>
      </x:c>
      <x:c r="L1216" s="60" t="n">
        <x:v>256.22</x:v>
      </x:c>
      <x:c r="M1216" s="50" t="n">
        <x:v>136</x:v>
      </x:c>
      <x:c r="N1216" s="50" t="n">
        <x:v>24</x:v>
      </x:c>
      <x:c r="O1216" s="50" t="n">
        <x:v>169</x:v>
      </x:c>
      <x:c r="P1216" s="50" t="n">
        <x:v>23</x:v>
      </x:c>
    </x:row>
    <x:row r="1217" ht="36" customHeight="1">
      <x:c r="A1217" s="53" t="n">
        <x:v>1198</x:v>
      </x:c>
      <x:c r="B1217" s="53" t="n">
        <x:v>2</x:v>
      </x:c>
      <x:c r="C1217" s="40" t="str">
        <x:v>Large-Basket Occasional Shoppers</x:v>
      </x:c>
      <x:c r="D1217" s="60" t="n">
        <x:v>1004.6</x:v>
      </x:c>
      <x:c r="E1217" s="50" t="n">
        <x:v>44</x:v>
      </x:c>
      <x:c r="F1217" s="46" t="n">
        <x:v>2.444444444444444</x:v>
      </x:c>
      <x:c r="G1217" s="46" t="n">
        <x:v>15</x:v>
      </x:c>
      <x:c r="H1217" s="61" t="n">
        <x:v>22.83181818181818</x:v>
      </x:c>
      <x:c r="I1217" s="52" t="n">
        <x:v>0.9772727272727272</x:v>
      </x:c>
      <x:c r="J1217" s="52" t="n">
        <x:v>0.6107505474815847</x:v>
      </x:c>
      <x:c r="K1217" s="60" t="n">
        <x:v>1000.22</x:v>
      </x:c>
      <x:c r="L1217" s="60" t="n">
        <x:v>4.38</x:v>
      </x:c>
      <x:c r="M1217" s="50" t="n">
        <x:v>43</x:v>
      </x:c>
      <x:c r="N1217" s="50" t="n">
        <x:v>1</x:v>
      </x:c>
      <x:c r="O1217" s="50" t="n">
        <x:v>73</x:v>
      </x:c>
      <x:c r="P1217" s="50" t="n">
        <x:v>18</x:v>
      </x:c>
    </x:row>
    <x:row r="1218" ht="36" customHeight="1">
      <x:c r="A1218" s="53" t="n">
        <x:v>1199</x:v>
      </x:c>
      <x:c r="B1218" s="53" t="n">
        <x:v>3</x:v>
      </x:c>
      <x:c r="C1218" s="40" t="str">
        <x:v>Low-Value Low-Engagement Shoppers</x:v>
      </x:c>
      <x:c r="D1218" s="60" t="n">
        <x:v>163.57</x:v>
      </x:c>
      <x:c r="E1218" s="50" t="n">
        <x:v>7</x:v>
      </x:c>
      <x:c r="F1218" s="46" t="n">
        <x:v>1.4</x:v>
      </x:c>
      <x:c r="G1218" s="46" t="n">
        <x:v>430</x:v>
      </x:c>
      <x:c r="H1218" s="61" t="n">
        <x:v>23.367142857142856</x:v>
      </x:c>
      <x:c r="I1218" s="52" t="n">
        <x:v>1</x:v>
      </x:c>
      <x:c r="J1218" s="52" t="n">
        <x:v>0.3772696704774714</x:v>
      </x:c>
      <x:c r="K1218" s="60" t="n">
        <x:v>163.57</x:v>
      </x:c>
      <x:c r="L1218" s="60" t="n">
        <x:v>0</x:v>
      </x:c>
      <x:c r="M1218" s="50" t="n">
        <x:v>7</x:v>
      </x:c>
      <x:c r="N1218" s="50" t="n">
        <x:v>0</x:v>
      </x:c>
      <x:c r="O1218" s="50" t="n">
        <x:v>23</x:v>
      </x:c>
      <x:c r="P1218" s="50" t="n">
        <x:v>5</x:v>
      </x:c>
    </x:row>
    <x:row r="1219" ht="36" customHeight="1">
      <x:c r="A1219" s="53" t="n">
        <x:v>1200</x:v>
      </x:c>
      <x:c r="B1219" s="53" t="n">
        <x:v>2</x:v>
      </x:c>
      <x:c r="C1219" s="40" t="str">
        <x:v>Large-Basket Occasional Shoppers</x:v>
      </x:c>
      <x:c r="D1219" s="60" t="n">
        <x:v>1619.45</x:v>
      </x:c>
      <x:c r="E1219" s="50" t="n">
        <x:v>29</x:v>
      </x:c>
      <x:c r="F1219" s="46" t="n">
        <x:v>1.8125</x:v>
      </x:c>
      <x:c r="G1219" s="46" t="n">
        <x:v>26</x:v>
      </x:c>
      <x:c r="H1219" s="61" t="n">
        <x:v>55.843103448275855</x:v>
      </x:c>
      <x:c r="I1219" s="52" t="n">
        <x:v>0.793103448275862</x:v>
      </x:c>
      <x:c r="J1219" s="52" t="n">
        <x:v>0.4406125536447559</x:v>
      </x:c>
      <x:c r="K1219" s="60" t="n">
        <x:v>1484.1</x:v>
      </x:c>
      <x:c r="L1219" s="60" t="n">
        <x:v>135.35</x:v>
      </x:c>
      <x:c r="M1219" s="50" t="n">
        <x:v>23</x:v>
      </x:c>
      <x:c r="N1219" s="50" t="n">
        <x:v>6</x:v>
      </x:c>
      <x:c r="O1219" s="50" t="n">
        <x:v>114</x:v>
      </x:c>
      <x:c r="P1219" s="50" t="n">
        <x:v>16</x:v>
      </x:c>
    </x:row>
    <x:row r="1220" ht="36" customHeight="1">
      <x:c r="A1220" s="53" t="n">
        <x:v>1201</x:v>
      </x:c>
      <x:c r="B1220" s="53" t="n">
        <x:v>3</x:v>
      </x:c>
      <x:c r="C1220" s="40" t="str">
        <x:v>Low-Value Low-Engagement Shoppers</x:v>
      </x:c>
      <x:c r="D1220" s="60" t="n">
        <x:v>537.6</x:v>
      </x:c>
      <x:c r="E1220" s="50" t="n">
        <x:v>38</x:v>
      </x:c>
      <x:c r="F1220" s="46" t="n">
        <x:v>2</x:v>
      </x:c>
      <x:c r="G1220" s="46" t="n">
        <x:v>15</x:v>
      </x:c>
      <x:c r="H1220" s="61" t="n">
        <x:v>14.147368421052631</x:v>
      </x:c>
      <x:c r="I1220" s="52" t="n">
        <x:v>0.7631578947368421</x:v>
      </x:c>
      <x:c r="J1220" s="52" t="n">
        <x:v>0.4724516369047619</x:v>
      </x:c>
      <x:c r="K1220" s="60" t="n">
        <x:v>416.58</x:v>
      </x:c>
      <x:c r="L1220" s="60" t="n">
        <x:v>121.02</x:v>
      </x:c>
      <x:c r="M1220" s="50" t="n">
        <x:v>29</x:v>
      </x:c>
      <x:c r="N1220" s="50" t="n">
        <x:v>9</x:v>
      </x:c>
      <x:c r="O1220" s="50" t="n">
        <x:v>71</x:v>
      </x:c>
      <x:c r="P1220" s="50" t="n">
        <x:v>19</x:v>
      </x:c>
    </x:row>
    <x:row r="1221" ht="36" customHeight="1">
      <x:c r="A1221" s="53" t="n">
        <x:v>1202</x:v>
      </x:c>
      <x:c r="B1221" s="53" t="n">
        <x:v>2</x:v>
      </x:c>
      <x:c r="C1221" s="40" t="str">
        <x:v>Large-Basket Occasional Shoppers</x:v>
      </x:c>
      <x:c r="D1221" s="60" t="n">
        <x:v>587.47</x:v>
      </x:c>
      <x:c r="E1221" s="50" t="n">
        <x:v>25</x:v>
      </x:c>
      <x:c r="F1221" s="46" t="n">
        <x:v>1.5625</x:v>
      </x:c>
      <x:c r="G1221" s="46" t="n">
        <x:v>16</x:v>
      </x:c>
      <x:c r="H1221" s="61" t="n">
        <x:v>23.4988</x:v>
      </x:c>
      <x:c r="I1221" s="52" t="n">
        <x:v>1</x:v>
      </x:c>
      <x:c r="J1221" s="52" t="n">
        <x:v>0.572590940813999</x:v>
      </x:c>
      <x:c r="K1221" s="60" t="n">
        <x:v>587.47</x:v>
      </x:c>
      <x:c r="L1221" s="60" t="n">
        <x:v>0</x:v>
      </x:c>
      <x:c r="M1221" s="50" t="n">
        <x:v>25</x:v>
      </x:c>
      <x:c r="N1221" s="50" t="n">
        <x:v>0</x:v>
      </x:c>
      <x:c r="O1221" s="50" t="n">
        <x:v>45</x:v>
      </x:c>
      <x:c r="P1221" s="50" t="n">
        <x:v>16</x:v>
      </x:c>
    </x:row>
    <x:row r="1222" ht="36" customHeight="1">
      <x:c r="A1222" s="53" t="n">
        <x:v>1203</x:v>
      </x:c>
      <x:c r="B1222" s="53" t="n">
        <x:v>1</x:v>
      </x:c>
      <x:c r="C1222" s="40" t="str">
        <x:v>High-Value Frequent Shoppers</x:v>
      </x:c>
      <x:c r="D1222" s="60" t="n">
        <x:v>6385.44</x:v>
      </x:c>
      <x:c r="E1222" s="50" t="n">
        <x:v>173</x:v>
      </x:c>
      <x:c r="F1222" s="46" t="n">
        <x:v>7.863636363636363</x:v>
      </x:c>
      <x:c r="G1222" s="46" t="n">
        <x:v>1</x:v>
      </x:c>
      <x:c r="H1222" s="61" t="n">
        <x:v>36.910057803468206</x:v>
      </x:c>
      <x:c r="I1222" s="52" t="n">
        <x:v>0.9132947976878611</x:v>
      </x:c>
      <x:c r="J1222" s="52" t="n">
        <x:v>0.5354854168232729</x:v>
      </x:c>
      <x:c r="K1222" s="60" t="n">
        <x:v>6245.08</x:v>
      </x:c>
      <x:c r="L1222" s="60" t="n">
        <x:v>140.36</x:v>
      </x:c>
      <x:c r="M1222" s="50" t="n">
        <x:v>158</x:v>
      </x:c>
      <x:c r="N1222" s="50" t="n">
        <x:v>15</x:v>
      </x:c>
      <x:c r="O1222" s="50" t="n">
        <x:v>153</x:v>
      </x:c>
      <x:c r="P1222" s="50" t="n">
        <x:v>22</x:v>
      </x:c>
    </x:row>
    <x:row r="1223" ht="36" customHeight="1">
      <x:c r="A1223" s="53" t="n">
        <x:v>1204</x:v>
      </x:c>
      <x:c r="B1223" s="53" t="n">
        <x:v>2</x:v>
      </x:c>
      <x:c r="C1223" s="40" t="str">
        <x:v>Large-Basket Occasional Shoppers</x:v>
      </x:c>
      <x:c r="D1223" s="60" t="n">
        <x:v>2043.13</x:v>
      </x:c>
      <x:c r="E1223" s="50" t="n">
        <x:v>81</x:v>
      </x:c>
      <x:c r="F1223" s="46" t="n">
        <x:v>3.8571428571428568</x:v>
      </x:c>
      <x:c r="G1223" s="46" t="n">
        <x:v>3</x:v>
      </x:c>
      <x:c r="H1223" s="61" t="n">
        <x:v>25.223827160493823</x:v>
      </x:c>
      <x:c r="I1223" s="52" t="n">
        <x:v>0.8518518518518517</x:v>
      </x:c>
      <x:c r="J1223" s="52" t="n">
        <x:v>0.6190012382961436</x:v>
      </x:c>
      <x:c r="K1223" s="60" t="n">
        <x:v>1894.47</x:v>
      </x:c>
      <x:c r="L1223" s="60" t="n">
        <x:v>148.66</x:v>
      </x:c>
      <x:c r="M1223" s="50" t="n">
        <x:v>69</x:v>
      </x:c>
      <x:c r="N1223" s="50" t="n">
        <x:v>12</x:v>
      </x:c>
      <x:c r="O1223" s="50" t="n">
        <x:v>122</x:v>
      </x:c>
      <x:c r="P1223" s="50" t="n">
        <x:v>21</x:v>
      </x:c>
    </x:row>
    <x:row r="1224" ht="36" customHeight="1">
      <x:c r="A1224" s="53" t="n">
        <x:v>1205</x:v>
      </x:c>
      <x:c r="B1224" s="53" t="n">
        <x:v>1</x:v>
      </x:c>
      <x:c r="C1224" s="40" t="str">
        <x:v>High-Value Frequent Shoppers</x:v>
      </x:c>
      <x:c r="D1224" s="60" t="n">
        <x:v>4383.72</x:v>
      </x:c>
      <x:c r="E1224" s="50" t="n">
        <x:v>186</x:v>
      </x:c>
      <x:c r="F1224" s="46" t="n">
        <x:v>8.454545454545455</x:v>
      </x:c>
      <x:c r="G1224" s="46" t="n">
        <x:v>32</x:v>
      </x:c>
      <x:c r="H1224" s="61" t="n">
        <x:v>23.568387096774195</x:v>
      </x:c>
      <x:c r="I1224" s="52" t="n">
        <x:v>0.8655913978494623</x:v>
      </x:c>
      <x:c r="J1224" s="52" t="n">
        <x:v>0.6062567864735886</x:v>
      </x:c>
      <x:c r="K1224" s="60" t="n">
        <x:v>4196.63</x:v>
      </x:c>
      <x:c r="L1224" s="60" t="n">
        <x:v>187.09</x:v>
      </x:c>
      <x:c r="M1224" s="50" t="n">
        <x:v>161</x:v>
      </x:c>
      <x:c r="N1224" s="50" t="n">
        <x:v>25</x:v>
      </x:c>
      <x:c r="O1224" s="50" t="n">
        <x:v>150</x:v>
      </x:c>
      <x:c r="P1224" s="50" t="n">
        <x:v>22</x:v>
      </x:c>
    </x:row>
    <x:row r="1225" ht="36" customHeight="1">
      <x:c r="A1225" s="53" t="n">
        <x:v>1206</x:v>
      </x:c>
      <x:c r="B1225" s="53" t="n">
        <x:v>1</x:v>
      </x:c>
      <x:c r="C1225" s="40" t="str">
        <x:v>High-Value Frequent Shoppers</x:v>
      </x:c>
      <x:c r="D1225" s="60" t="n">
        <x:v>6172.13</x:v>
      </x:c>
      <x:c r="E1225" s="50" t="n">
        <x:v>381</x:v>
      </x:c>
      <x:c r="F1225" s="46" t="n">
        <x:v>17.318181818181817</x:v>
      </x:c>
      <x:c r="G1225" s="46" t="n">
        <x:v>11</x:v>
      </x:c>
      <x:c r="H1225" s="61" t="n">
        <x:v>16.19981627296588</x:v>
      </x:c>
      <x:c r="I1225" s="52" t="n">
        <x:v>0.7060367454068242</x:v>
      </x:c>
      <x:c r="J1225" s="52" t="n">
        <x:v>0.5765546091867799</x:v>
      </x:c>
      <x:c r="K1225" s="60" t="n">
        <x:v>5800.79</x:v>
      </x:c>
      <x:c r="L1225" s="60" t="n">
        <x:v>371.34</x:v>
      </x:c>
      <x:c r="M1225" s="50" t="n">
        <x:v>269</x:v>
      </x:c>
      <x:c r="N1225" s="50" t="n">
        <x:v>112</x:v>
      </x:c>
      <x:c r="O1225" s="50" t="n">
        <x:v>183</x:v>
      </x:c>
      <x:c r="P1225" s="50" t="n">
        <x:v>22</x:v>
      </x:c>
    </x:row>
    <x:row r="1226" ht="36" customHeight="1">
      <x:c r="A1226" s="53" t="n">
        <x:v>1207</x:v>
      </x:c>
      <x:c r="B1226" s="53" t="n">
        <x:v>3</x:v>
      </x:c>
      <x:c r="C1226" s="40" t="str">
        <x:v>Low-Value Low-Engagement Shoppers</x:v>
      </x:c>
      <x:c r="D1226" s="60" t="n">
        <x:v>765.37</x:v>
      </x:c>
      <x:c r="E1226" s="50" t="n">
        <x:v>108</x:v>
      </x:c>
      <x:c r="F1226" s="46" t="n">
        <x:v>4.909090909090909</x:v>
      </x:c>
      <x:c r="G1226" s="46" t="n">
        <x:v>6</x:v>
      </x:c>
      <x:c r="H1226" s="61" t="n">
        <x:v>7.086759259259259</x:v>
      </x:c>
      <x:c r="I1226" s="52" t="n">
        <x:v>0.7777777777777777</x:v>
      </x:c>
      <x:c r="J1226" s="52" t="n">
        <x:v>0.5656218560957444</x:v>
      </x:c>
      <x:c r="K1226" s="60" t="n">
        <x:v>649.86</x:v>
      </x:c>
      <x:c r="L1226" s="60" t="n">
        <x:v>115.51</x:v>
      </x:c>
      <x:c r="M1226" s="50" t="n">
        <x:v>84</x:v>
      </x:c>
      <x:c r="N1226" s="50" t="n">
        <x:v>24</x:v>
      </x:c>
      <x:c r="O1226" s="50" t="n">
        <x:v>81</x:v>
      </x:c>
      <x:c r="P1226" s="50" t="n">
        <x:v>22</x:v>
      </x:c>
    </x:row>
    <x:row r="1227" ht="36" customHeight="1">
      <x:c r="A1227" s="53" t="n">
        <x:v>1208</x:v>
      </x:c>
      <x:c r="B1227" s="53" t="n">
        <x:v>2</x:v>
      </x:c>
      <x:c r="C1227" s="40" t="str">
        <x:v>Large-Basket Occasional Shoppers</x:v>
      </x:c>
      <x:c r="D1227" s="60" t="n">
        <x:v>1078.06</x:v>
      </x:c>
      <x:c r="E1227" s="50" t="n">
        <x:v>54</x:v>
      </x:c>
      <x:c r="F1227" s="46" t="n">
        <x:v>3.375</x:v>
      </x:c>
      <x:c r="G1227" s="46" t="n">
        <x:v>17</x:v>
      </x:c>
      <x:c r="H1227" s="61" t="n">
        <x:v>19.96407407407408</x:v>
      </x:c>
      <x:c r="I1227" s="52" t="n">
        <x:v>0.8333333333333333</x:v>
      </x:c>
      <x:c r="J1227" s="52" t="n">
        <x:v>0.398929558651652</x:v>
      </x:c>
      <x:c r="K1227" s="60" t="n">
        <x:v>990.73</x:v>
      </x:c>
      <x:c r="L1227" s="60" t="n">
        <x:v>87.33</x:v>
      </x:c>
      <x:c r="M1227" s="50" t="n">
        <x:v>45</x:v>
      </x:c>
      <x:c r="N1227" s="50" t="n">
        <x:v>9</x:v>
      </x:c>
      <x:c r="O1227" s="50" t="n">
        <x:v>114</x:v>
      </x:c>
      <x:c r="P1227" s="50" t="n">
        <x:v>16</x:v>
      </x:c>
    </x:row>
    <x:row r="1228" ht="36" customHeight="1">
      <x:c r="A1228" s="53" t="n">
        <x:v>1209</x:v>
      </x:c>
      <x:c r="B1228" s="53" t="n">
        <x:v>3</x:v>
      </x:c>
      <x:c r="C1228" s="40" t="str">
        <x:v>Low-Value Low-Engagement Shoppers</x:v>
      </x:c>
      <x:c r="D1228" s="60" t="n">
        <x:v>361.42</x:v>
      </x:c>
      <x:c r="E1228" s="50" t="n">
        <x:v>23</x:v>
      </x:c>
      <x:c r="F1228" s="46" t="n">
        <x:v>1.9166666666666667</x:v>
      </x:c>
      <x:c r="G1228" s="46" t="n">
        <x:v>1</x:v>
      </x:c>
      <x:c r="H1228" s="61" t="n">
        <x:v>15.71391304347826</x:v>
      </x:c>
      <x:c r="I1228" s="52" t="n">
        <x:v>0.6521739130434782</x:v>
      </x:c>
      <x:c r="J1228" s="52" t="n">
        <x:v>0.3235017431243428</x:v>
      </x:c>
      <x:c r="K1228" s="60" t="n">
        <x:v>238.62</x:v>
      </x:c>
      <x:c r="L1228" s="60" t="n">
        <x:v>122.8</x:v>
      </x:c>
      <x:c r="M1228" s="50" t="n">
        <x:v>15</x:v>
      </x:c>
      <x:c r="N1228" s="50" t="n">
        <x:v>8</x:v>
      </x:c>
      <x:c r="O1228" s="50" t="n">
        <x:v>53</x:v>
      </x:c>
      <x:c r="P1228" s="50" t="n">
        <x:v>12</x:v>
      </x:c>
    </x:row>
    <x:row r="1229" ht="36" customHeight="1">
      <x:c r="A1229" s="53" t="n">
        <x:v>1210</x:v>
      </x:c>
      <x:c r="B1229" s="53" t="n">
        <x:v>2</x:v>
      </x:c>
      <x:c r="C1229" s="40" t="str">
        <x:v>Large-Basket Occasional Shoppers</x:v>
      </x:c>
      <x:c r="D1229" s="60" t="n">
        <x:v>921.33</x:v>
      </x:c>
      <x:c r="E1229" s="50" t="n">
        <x:v>37</x:v>
      </x:c>
      <x:c r="F1229" s="46" t="n">
        <x:v>2.642857142857143</x:v>
      </x:c>
      <x:c r="G1229" s="46" t="n">
        <x:v>15</x:v>
      </x:c>
      <x:c r="H1229" s="61" t="n">
        <x:v>24.900810810810807</x:v>
      </x:c>
      <x:c r="I1229" s="52" t="n">
        <x:v>0.8648648648648648</x:v>
      </x:c>
      <x:c r="J1229" s="52" t="n">
        <x:v>0.4722846319993921</x:v>
      </x:c>
      <x:c r="K1229" s="60" t="n">
        <x:v>889.92</x:v>
      </x:c>
      <x:c r="L1229" s="60" t="n">
        <x:v>31.41</x:v>
      </x:c>
      <x:c r="M1229" s="50" t="n">
        <x:v>32</x:v>
      </x:c>
      <x:c r="N1229" s="50" t="n">
        <x:v>5</x:v>
      </x:c>
      <x:c r="O1229" s="50" t="n">
        <x:v>97</x:v>
      </x:c>
      <x:c r="P1229" s="50" t="n">
        <x:v>14</x:v>
      </x:c>
    </x:row>
    <x:row r="1230" ht="36" customHeight="1">
      <x:c r="A1230" s="53" t="n">
        <x:v>1211</x:v>
      </x:c>
      <x:c r="B1230" s="53" t="n">
        <x:v>1</x:v>
      </x:c>
      <x:c r="C1230" s="40" t="str">
        <x:v>High-Value Frequent Shoppers</x:v>
      </x:c>
      <x:c r="D1230" s="60" t="n">
        <x:v>9045.04</x:v>
      </x:c>
      <x:c r="E1230" s="50" t="n">
        <x:v>168</x:v>
      </x:c>
      <x:c r="F1230" s="46" t="n">
        <x:v>7.304347826086957</x:v>
      </x:c>
      <x:c r="G1230" s="46" t="n">
        <x:v>0</x:v>
      </x:c>
      <x:c r="H1230" s="61" t="n">
        <x:v>53.83952380952381</x:v>
      </x:c>
      <x:c r="I1230" s="52" t="n">
        <x:v>0.851190476190476</x:v>
      </x:c>
      <x:c r="J1230" s="52" t="n">
        <x:v>0.4650394028108222</x:v>
      </x:c>
      <x:c r="K1230" s="60" t="n">
        <x:v>8797.32</x:v>
      </x:c>
      <x:c r="L1230" s="60" t="n">
        <x:v>247.72</x:v>
      </x:c>
      <x:c r="M1230" s="50" t="n">
        <x:v>143</x:v>
      </x:c>
      <x:c r="N1230" s="50" t="n">
        <x:v>25</x:v>
      </x:c>
      <x:c r="O1230" s="50" t="n">
        <x:v>123</x:v>
      </x:c>
      <x:c r="P1230" s="50" t="n">
        <x:v>23</x:v>
      </x:c>
    </x:row>
    <x:row r="1231" ht="36" customHeight="1">
      <x:c r="A1231" s="53" t="n">
        <x:v>1212</x:v>
      </x:c>
      <x:c r="B1231" s="53" t="n">
        <x:v>2</x:v>
      </x:c>
      <x:c r="C1231" s="40" t="str">
        <x:v>Large-Basket Occasional Shoppers</x:v>
      </x:c>
      <x:c r="D1231" s="60" t="n">
        <x:v>195.27</x:v>
      </x:c>
      <x:c r="E1231" s="50" t="n">
        <x:v>6</x:v>
      </x:c>
      <x:c r="F1231" s="46" t="n">
        <x:v>1.2</x:v>
      </x:c>
      <x:c r="G1231" s="46" t="n">
        <x:v>26</x:v>
      </x:c>
      <x:c r="H1231" s="61" t="n">
        <x:v>32.545</x:v>
      </x:c>
      <x:c r="I1231" s="52" t="n">
        <x:v>1</x:v>
      </x:c>
      <x:c r="J1231" s="52" t="n">
        <x:v>0.5706969836636452</x:v>
      </x:c>
      <x:c r="K1231" s="60" t="n">
        <x:v>195.27</x:v>
      </x:c>
      <x:c r="L1231" s="60" t="n">
        <x:v>0</x:v>
      </x:c>
      <x:c r="M1231" s="50" t="n">
        <x:v>6</x:v>
      </x:c>
      <x:c r="N1231" s="50" t="n">
        <x:v>0</x:v>
      </x:c>
      <x:c r="O1231" s="50" t="n">
        <x:v>45</x:v>
      </x:c>
      <x:c r="P1231" s="50" t="n">
        <x:v>5</x:v>
      </x:c>
    </x:row>
    <x:row r="1232" ht="36" customHeight="1">
      <x:c r="A1232" s="53" t="n">
        <x:v>1213</x:v>
      </x:c>
      <x:c r="B1232" s="53" t="n">
        <x:v>3</x:v>
      </x:c>
      <x:c r="C1232" s="40" t="str">
        <x:v>Low-Value Low-Engagement Shoppers</x:v>
      </x:c>
      <x:c r="D1232" s="60" t="n">
        <x:v>622.22</x:v>
      </x:c>
      <x:c r="E1232" s="50" t="n">
        <x:v>46</x:v>
      </x:c>
      <x:c r="F1232" s="46" t="n">
        <x:v>2.875</x:v>
      </x:c>
      <x:c r="G1232" s="46" t="n">
        <x:v>6</x:v>
      </x:c>
      <x:c r="H1232" s="61" t="n">
        <x:v>13.526521739130434</x:v>
      </x:c>
      <x:c r="I1232" s="52" t="n">
        <x:v>0.717391304347826</x:v>
      </x:c>
      <x:c r="J1232" s="52" t="n">
        <x:v>0.541785863520941</x:v>
      </x:c>
      <x:c r="K1232" s="60" t="n">
        <x:v>541.16</x:v>
      </x:c>
      <x:c r="L1232" s="60" t="n">
        <x:v>81.06</x:v>
      </x:c>
      <x:c r="M1232" s="50" t="n">
        <x:v>33</x:v>
      </x:c>
      <x:c r="N1232" s="50" t="n">
        <x:v>13</x:v>
      </x:c>
      <x:c r="O1232" s="50" t="n">
        <x:v>71</x:v>
      </x:c>
      <x:c r="P1232" s="50" t="n">
        <x:v>16</x:v>
      </x:c>
    </x:row>
    <x:row r="1233" ht="36" customHeight="1">
      <x:c r="A1233" s="53" t="n">
        <x:v>1214</x:v>
      </x:c>
      <x:c r="B1233" s="53" t="n">
        <x:v>3</x:v>
      </x:c>
      <x:c r="C1233" s="40" t="str">
        <x:v>Low-Value Low-Engagement Shoppers</x:v>
      </x:c>
      <x:c r="D1233" s="60" t="n">
        <x:v>122.95</x:v>
      </x:c>
      <x:c r="E1233" s="50" t="n">
        <x:v>7</x:v>
      </x:c>
      <x:c r="F1233" s="46" t="n">
        <x:v>1</x:v>
      </x:c>
      <x:c r="G1233" s="46" t="n">
        <x:v>36</x:v>
      </x:c>
      <x:c r="H1233" s="61" t="n">
        <x:v>17.564285714285713</x:v>
      </x:c>
      <x:c r="I1233" s="52" t="n">
        <x:v>1</x:v>
      </x:c>
      <x:c r="J1233" s="52" t="n">
        <x:v>0.6061813745424969</x:v>
      </x:c>
      <x:c r="K1233" s="60" t="n">
        <x:v>122.95</x:v>
      </x:c>
      <x:c r="L1233" s="60" t="n">
        <x:v>0</x:v>
      </x:c>
      <x:c r="M1233" s="50" t="n">
        <x:v>7</x:v>
      </x:c>
      <x:c r="N1233" s="50" t="n">
        <x:v>0</x:v>
      </x:c>
      <x:c r="O1233" s="50" t="n">
        <x:v>17</x:v>
      </x:c>
      <x:c r="P1233" s="50" t="n">
        <x:v>7</x:v>
      </x:c>
    </x:row>
    <x:row r="1234" ht="36" customHeight="1">
      <x:c r="A1234" s="53" t="n">
        <x:v>1215</x:v>
      </x:c>
      <x:c r="B1234" s="53" t="n">
        <x:v>2</x:v>
      </x:c>
      <x:c r="C1234" s="40" t="str">
        <x:v>Large-Basket Occasional Shoppers</x:v>
      </x:c>
      <x:c r="D1234" s="60" t="n">
        <x:v>786.45</x:v>
      </x:c>
      <x:c r="E1234" s="50" t="n">
        <x:v>15</x:v>
      </x:c>
      <x:c r="F1234" s="46" t="n">
        <x:v>1.5</x:v>
      </x:c>
      <x:c r="G1234" s="46" t="n">
        <x:v>16</x:v>
      </x:c>
      <x:c r="H1234" s="61" t="n">
        <x:v>52.43</x:v>
      </x:c>
      <x:c r="I1234" s="52" t="n">
        <x:v>0.9333333333333332</x:v>
      </x:c>
      <x:c r="J1234" s="52" t="n">
        <x:v>0.3974950727954733</x:v>
      </x:c>
      <x:c r="K1234" s="60" t="n">
        <x:v>780.11</x:v>
      </x:c>
      <x:c r="L1234" s="60" t="n">
        <x:v>6.34</x:v>
      </x:c>
      <x:c r="M1234" s="50" t="n">
        <x:v>14</x:v>
      </x:c>
      <x:c r="N1234" s="50" t="n">
        <x:v>1</x:v>
      </x:c>
      <x:c r="O1234" s="50" t="n">
        <x:v>76</x:v>
      </x:c>
      <x:c r="P1234" s="50" t="n">
        <x:v>10</x:v>
      </x:c>
    </x:row>
    <x:row r="1235" ht="36" customHeight="1">
      <x:c r="A1235" s="53" t="n">
        <x:v>1216</x:v>
      </x:c>
      <x:c r="B1235" s="53" t="n">
        <x:v>1</x:v>
      </x:c>
      <x:c r="C1235" s="40" t="str">
        <x:v>High-Value Frequent Shoppers</x:v>
      </x:c>
      <x:c r="D1235" s="60" t="n">
        <x:v>5303.53</x:v>
      </x:c>
      <x:c r="E1235" s="50" t="n">
        <x:v>134</x:v>
      </x:c>
      <x:c r="F1235" s="46" t="n">
        <x:v>6.3809523809523805</x:v>
      </x:c>
      <x:c r="G1235" s="46" t="n">
        <x:v>0</x:v>
      </x:c>
      <x:c r="H1235" s="61" t="n">
        <x:v>39.57858208955224</x:v>
      </x:c>
      <x:c r="I1235" s="52" t="n">
        <x:v>0.8059701492537313</x:v>
      </x:c>
      <x:c r="J1235" s="52" t="n">
        <x:v>0.4658576457566941</x:v>
      </x:c>
      <x:c r="K1235" s="60" t="n">
        <x:v>5079.28</x:v>
      </x:c>
      <x:c r="L1235" s="60" t="n">
        <x:v>224.25</x:v>
      </x:c>
      <x:c r="M1235" s="50" t="n">
        <x:v>108</x:v>
      </x:c>
      <x:c r="N1235" s="50" t="n">
        <x:v>26</x:v>
      </x:c>
      <x:c r="O1235" s="50" t="n">
        <x:v>174</x:v>
      </x:c>
      <x:c r="P1235" s="50" t="n">
        <x:v>21</x:v>
      </x:c>
    </x:row>
    <x:row r="1236" ht="36" customHeight="1">
      <x:c r="A1236" s="53" t="n">
        <x:v>1217</x:v>
      </x:c>
      <x:c r="B1236" s="53" t="n">
        <x:v>2</x:v>
      </x:c>
      <x:c r="C1236" s="40" t="str">
        <x:v>Large-Basket Occasional Shoppers</x:v>
      </x:c>
      <x:c r="D1236" s="60" t="n">
        <x:v>2656.9</x:v>
      </x:c>
      <x:c r="E1236" s="50" t="n">
        <x:v>54</x:v>
      </x:c>
      <x:c r="F1236" s="46" t="n">
        <x:v>2.8421052631578947</x:v>
      </x:c>
      <x:c r="G1236" s="46" t="n">
        <x:v>5</x:v>
      </x:c>
      <x:c r="H1236" s="61" t="n">
        <x:v>49.20185185185185</x:v>
      </x:c>
      <x:c r="I1236" s="52" t="n">
        <x:v>0.9629629629629628</x:v>
      </x:c>
      <x:c r="J1236" s="52" t="n">
        <x:v>0.5644472881930068</x:v>
      </x:c>
      <x:c r="K1236" s="60" t="n">
        <x:v>2635.25</x:v>
      </x:c>
      <x:c r="L1236" s="60" t="n">
        <x:v>21.65</x:v>
      </x:c>
      <x:c r="M1236" s="50" t="n">
        <x:v>52</x:v>
      </x:c>
      <x:c r="N1236" s="50" t="n">
        <x:v>2</x:v>
      </x:c>
      <x:c r="O1236" s="50" t="n">
        <x:v>140</x:v>
      </x:c>
      <x:c r="P1236" s="50" t="n">
        <x:v>19</x:v>
      </x:c>
    </x:row>
    <x:row r="1237" ht="36" customHeight="1">
      <x:c r="A1237" s="53" t="n">
        <x:v>1218</x:v>
      </x:c>
      <x:c r="B1237" s="53" t="n">
        <x:v>1</x:v>
      </x:c>
      <x:c r="C1237" s="40" t="str">
        <x:v>High-Value Frequent Shoppers</x:v>
      </x:c>
      <x:c r="D1237" s="60" t="n">
        <x:v>3093.53</x:v>
      </x:c>
      <x:c r="E1237" s="50" t="n">
        <x:v>95</x:v>
      </x:c>
      <x:c r="F1237" s="46" t="n">
        <x:v>4.523809523809524</x:v>
      </x:c>
      <x:c r="G1237" s="46" t="n">
        <x:v>9</x:v>
      </x:c>
      <x:c r="H1237" s="61" t="n">
        <x:v>32.56347368421053</x:v>
      </x:c>
      <x:c r="I1237" s="52" t="n">
        <x:v>0.8210526315789473</x:v>
      </x:c>
      <x:c r="J1237" s="52" t="n">
        <x:v>0.5974824876435657</x:v>
      </x:c>
      <x:c r="K1237" s="60" t="n">
        <x:v>2980.77</x:v>
      </x:c>
      <x:c r="L1237" s="60" t="n">
        <x:v>112.76</x:v>
      </x:c>
      <x:c r="M1237" s="50" t="n">
        <x:v>78</x:v>
      </x:c>
      <x:c r="N1237" s="50" t="n">
        <x:v>17</x:v>
      </x:c>
      <x:c r="O1237" s="50" t="n">
        <x:v>146</x:v>
      </x:c>
      <x:c r="P1237" s="50" t="n">
        <x:v>21</x:v>
      </x:c>
    </x:row>
    <x:row r="1238" ht="36" customHeight="1">
      <x:c r="A1238" s="53" t="n">
        <x:v>1219</x:v>
      </x:c>
      <x:c r="B1238" s="53" t="n">
        <x:v>3</x:v>
      </x:c>
      <x:c r="C1238" s="40" t="str">
        <x:v>Low-Value Low-Engagement Shoppers</x:v>
      </x:c>
      <x:c r="D1238" s="60" t="n">
        <x:v>823.08</x:v>
      </x:c>
      <x:c r="E1238" s="50" t="n">
        <x:v>121</x:v>
      </x:c>
      <x:c r="F1238" s="46" t="n">
        <x:v>5.5</x:v>
      </x:c>
      <x:c r="G1238" s="46" t="n">
        <x:v>2</x:v>
      </x:c>
      <x:c r="H1238" s="61" t="n">
        <x:v>6.802314049586776</x:v>
      </x:c>
      <x:c r="I1238" s="52" t="n">
        <x:v>0.628099173553719</x:v>
      </x:c>
      <x:c r="J1238" s="52" t="n">
        <x:v>0.4004471011323322</x:v>
      </x:c>
      <x:c r="K1238" s="60" t="n">
        <x:v>617.22</x:v>
      </x:c>
      <x:c r="L1238" s="60" t="n">
        <x:v>205.86</x:v>
      </x:c>
      <x:c r="M1238" s="50" t="n">
        <x:v>76</x:v>
      </x:c>
      <x:c r="N1238" s="50" t="n">
        <x:v>45</x:v>
      </x:c>
      <x:c r="O1238" s="50" t="n">
        <x:v>87</x:v>
      </x:c>
      <x:c r="P1238" s="50" t="n">
        <x:v>22</x:v>
      </x:c>
    </x:row>
    <x:row r="1239" ht="36" customHeight="1">
      <x:c r="A1239" s="53" t="n">
        <x:v>1220</x:v>
      </x:c>
      <x:c r="B1239" s="53" t="n">
        <x:v>2</x:v>
      </x:c>
      <x:c r="C1239" s="40" t="str">
        <x:v>Large-Basket Occasional Shoppers</x:v>
      </x:c>
      <x:c r="D1239" s="60" t="n">
        <x:v>787.04</x:v>
      </x:c>
      <x:c r="E1239" s="50" t="n">
        <x:v>31</x:v>
      </x:c>
      <x:c r="F1239" s="46" t="n">
        <x:v>2.583333333333333</x:v>
      </x:c>
      <x:c r="G1239" s="46" t="n">
        <x:v>79</x:v>
      </x:c>
      <x:c r="H1239" s="61" t="n">
        <x:v>25.3883870967742</x:v>
      </x:c>
      <x:c r="I1239" s="52" t="n">
        <x:v>0.8064516129032258</x:v>
      </x:c>
      <x:c r="J1239" s="52" t="n">
        <x:v>0.484003354340313</x:v>
      </x:c>
      <x:c r="K1239" s="60" t="n">
        <x:v>753.24</x:v>
      </x:c>
      <x:c r="L1239" s="60" t="n">
        <x:v>33.8</x:v>
      </x:c>
      <x:c r="M1239" s="50" t="n">
        <x:v>25</x:v>
      </x:c>
      <x:c r="N1239" s="50" t="n">
        <x:v>6</x:v>
      </x:c>
      <x:c r="O1239" s="50" t="n">
        <x:v>108</x:v>
      </x:c>
      <x:c r="P1239" s="50" t="n">
        <x:v>12</x:v>
      </x:c>
    </x:row>
    <x:row r="1240" ht="36" customHeight="1">
      <x:c r="A1240" s="53" t="n">
        <x:v>1221</x:v>
      </x:c>
      <x:c r="B1240" s="53" t="n">
        <x:v>2</x:v>
      </x:c>
      <x:c r="C1240" s="40" t="str">
        <x:v>Large-Basket Occasional Shoppers</x:v>
      </x:c>
      <x:c r="D1240" s="60" t="n">
        <x:v>652.34</x:v>
      </x:c>
      <x:c r="E1240" s="50" t="n">
        <x:v>15</x:v>
      </x:c>
      <x:c r="F1240" s="46" t="n">
        <x:v>2.142857142857143</x:v>
      </x:c>
      <x:c r="G1240" s="46" t="n">
        <x:v>30</x:v>
      </x:c>
      <x:c r="H1240" s="61" t="n">
        <x:v>43.48933333333333</x:v>
      </x:c>
      <x:c r="I1240" s="52" t="n">
        <x:v>0.9333333333333332</x:v>
      </x:c>
      <x:c r="J1240" s="52" t="n">
        <x:v>0.3390869791826348</x:v>
      </x:c>
      <x:c r="K1240" s="60" t="n">
        <x:v>645.77</x:v>
      </x:c>
      <x:c r="L1240" s="60" t="n">
        <x:v>6.57</x:v>
      </x:c>
      <x:c r="M1240" s="50" t="n">
        <x:v>14</x:v>
      </x:c>
      <x:c r="N1240" s="50" t="n">
        <x:v>1</x:v>
      </x:c>
      <x:c r="O1240" s="50" t="n">
        <x:v>85</x:v>
      </x:c>
      <x:c r="P1240" s="50" t="n">
        <x:v>7</x:v>
      </x:c>
    </x:row>
    <x:row r="1241" ht="36" customHeight="1">
      <x:c r="A1241" s="53" t="n">
        <x:v>1222</x:v>
      </x:c>
      <x:c r="B1241" s="53" t="n">
        <x:v>1</x:v>
      </x:c>
      <x:c r="C1241" s="40" t="str">
        <x:v>High-Value Frequent Shoppers</x:v>
      </x:c>
      <x:c r="D1241" s="60" t="n">
        <x:v>5833.39</x:v>
      </x:c>
      <x:c r="E1241" s="50" t="n">
        <x:v>174</x:v>
      </x:c>
      <x:c r="F1241" s="46" t="n">
        <x:v>7.25</x:v>
      </x:c>
      <x:c r="G1241" s="46" t="n">
        <x:v>2</x:v>
      </x:c>
      <x:c r="H1241" s="61" t="n">
        <x:v>33.52522988505747</x:v>
      </x:c>
      <x:c r="I1241" s="52" t="n">
        <x:v>0.8333333333333333</x:v>
      </x:c>
      <x:c r="J1241" s="52" t="n">
        <x:v>0.4868644133171277</x:v>
      </x:c>
      <x:c r="K1241" s="60" t="n">
        <x:v>5586.32</x:v>
      </x:c>
      <x:c r="L1241" s="60" t="n">
        <x:v>247.07</x:v>
      </x:c>
      <x:c r="M1241" s="50" t="n">
        <x:v>145</x:v>
      </x:c>
      <x:c r="N1241" s="50" t="n">
        <x:v>29</x:v>
      </x:c>
      <x:c r="O1241" s="50" t="n">
        <x:v>175</x:v>
      </x:c>
      <x:c r="P1241" s="50" t="n">
        <x:v>24</x:v>
      </x:c>
    </x:row>
    <x:row r="1242" ht="36" customHeight="1">
      <x:c r="A1242" s="53" t="n">
        <x:v>1223</x:v>
      </x:c>
      <x:c r="B1242" s="53" t="n">
        <x:v>2</x:v>
      </x:c>
      <x:c r="C1242" s="40" t="str">
        <x:v>Large-Basket Occasional Shoppers</x:v>
      </x:c>
      <x:c r="D1242" s="60" t="n">
        <x:v>1743.69</x:v>
      </x:c>
      <x:c r="E1242" s="50" t="n">
        <x:v>57</x:v>
      </x:c>
      <x:c r="F1242" s="46" t="n">
        <x:v>3.5625</x:v>
      </x:c>
      <x:c r="G1242" s="46" t="n">
        <x:v>20</x:v>
      </x:c>
      <x:c r="H1242" s="61" t="n">
        <x:v>30.591052631578947</x:v>
      </x:c>
      <x:c r="I1242" s="52" t="n">
        <x:v>0.894736842105263</x:v>
      </x:c>
      <x:c r="J1242" s="52" t="n">
        <x:v>0.5309257952961822</x:v>
      </x:c>
      <x:c r="K1242" s="60" t="n">
        <x:v>1689.81</x:v>
      </x:c>
      <x:c r="L1242" s="60" t="n">
        <x:v>53.88</x:v>
      </x:c>
      <x:c r="M1242" s="50" t="n">
        <x:v>51</x:v>
      </x:c>
      <x:c r="N1242" s="50" t="n">
        <x:v>6</x:v>
      </x:c>
      <x:c r="O1242" s="50" t="n">
        <x:v>99</x:v>
      </x:c>
      <x:c r="P1242" s="50" t="n">
        <x:v>16</x:v>
      </x:c>
    </x:row>
    <x:row r="1243" ht="36" customHeight="1">
      <x:c r="A1243" s="53" t="n">
        <x:v>1224</x:v>
      </x:c>
      <x:c r="B1243" s="53" t="n">
        <x:v>2</x:v>
      </x:c>
      <x:c r="C1243" s="40" t="str">
        <x:v>Large-Basket Occasional Shoppers</x:v>
      </x:c>
      <x:c r="D1243" s="60" t="n">
        <x:v>2363.78</x:v>
      </x:c>
      <x:c r="E1243" s="50" t="n">
        <x:v>91</x:v>
      </x:c>
      <x:c r="F1243" s="46" t="n">
        <x:v>4.333333333333333</x:v>
      </x:c>
      <x:c r="G1243" s="46" t="n">
        <x:v>4</x:v>
      </x:c>
      <x:c r="H1243" s="61" t="n">
        <x:v>25.9756043956044</x:v>
      </x:c>
      <x:c r="I1243" s="52" t="n">
        <x:v>0.912087912087912</x:v>
      </x:c>
      <x:c r="J1243" s="52" t="n">
        <x:v>0.4565864843597965</x:v>
      </x:c>
      <x:c r="K1243" s="60" t="n">
        <x:v>2337.12</x:v>
      </x:c>
      <x:c r="L1243" s="60" t="n">
        <x:v>26.66</x:v>
      </x:c>
      <x:c r="M1243" s="50" t="n">
        <x:v>83</x:v>
      </x:c>
      <x:c r="N1243" s="50" t="n">
        <x:v>8</x:v>
      </x:c>
      <x:c r="O1243" s="50" t="n">
        <x:v>128</x:v>
      </x:c>
      <x:c r="P1243" s="50" t="n">
        <x:v>21</x:v>
      </x:c>
    </x:row>
    <x:row r="1244" ht="36" customHeight="1">
      <x:c r="A1244" s="53" t="n">
        <x:v>1225</x:v>
      </x:c>
      <x:c r="B1244" s="53" t="n">
        <x:v>3</x:v>
      </x:c>
      <x:c r="C1244" s="40" t="str">
        <x:v>Low-Value Low-Engagement Shoppers</x:v>
      </x:c>
      <x:c r="D1244" s="60" t="n">
        <x:v>1415.38</x:v>
      </x:c>
      <x:c r="E1244" s="50" t="n">
        <x:v>75</x:v>
      </x:c>
      <x:c r="F1244" s="46" t="n">
        <x:v>3.571428571428572</x:v>
      </x:c>
      <x:c r="G1244" s="46" t="n">
        <x:v>15</x:v>
      </x:c>
      <x:c r="H1244" s="61" t="n">
        <x:v>18.87173333333333</x:v>
      </x:c>
      <x:c r="I1244" s="52" t="n">
        <x:v>0.76</x:v>
      </x:c>
      <x:c r="J1244" s="52" t="n">
        <x:v>0.4102007941330243</x:v>
      </x:c>
      <x:c r="K1244" s="60" t="n">
        <x:v>1290.91</x:v>
      </x:c>
      <x:c r="L1244" s="60" t="n">
        <x:v>124.47</x:v>
      </x:c>
      <x:c r="M1244" s="50" t="n">
        <x:v>57</x:v>
      </x:c>
      <x:c r="N1244" s="50" t="n">
        <x:v>18</x:v>
      </x:c>
      <x:c r="O1244" s="50" t="n">
        <x:v>114</x:v>
      </x:c>
      <x:c r="P1244" s="50" t="n">
        <x:v>21</x:v>
      </x:c>
    </x:row>
    <x:row r="1245" ht="36" customHeight="1">
      <x:c r="A1245" s="53" t="n">
        <x:v>1226</x:v>
      </x:c>
      <x:c r="B1245" s="53" t="n">
        <x:v>2</x:v>
      </x:c>
      <x:c r="C1245" s="40" t="str">
        <x:v>Large-Basket Occasional Shoppers</x:v>
      </x:c>
      <x:c r="D1245" s="60" t="n">
        <x:v>6237.46</x:v>
      </x:c>
      <x:c r="E1245" s="50" t="n">
        <x:v>76</x:v>
      </x:c>
      <x:c r="F1245" s="46" t="n">
        <x:v>3.619047619047619</x:v>
      </x:c>
      <x:c r="G1245" s="46" t="n">
        <x:v>10</x:v>
      </x:c>
      <x:c r="H1245" s="61" t="n">
        <x:v>82.07184210526316</x:v>
      </x:c>
      <x:c r="I1245" s="52" t="n">
        <x:v>0.9605263157894736</x:v>
      </x:c>
      <x:c r="J1245" s="52" t="n">
        <x:v>0.58076204095898</x:v>
      </x:c>
      <x:c r="K1245" s="60" t="n">
        <x:v>6199.46</x:v>
      </x:c>
      <x:c r="L1245" s="60" t="n">
        <x:v>38</x:v>
      </x:c>
      <x:c r="M1245" s="50" t="n">
        <x:v>73</x:v>
      </x:c>
      <x:c r="N1245" s="50" t="n">
        <x:v>3</x:v>
      </x:c>
      <x:c r="O1245" s="50" t="n">
        <x:v>166</x:v>
      </x:c>
      <x:c r="P1245" s="50" t="n">
        <x:v>21</x:v>
      </x:c>
    </x:row>
    <x:row r="1246" ht="36" customHeight="1">
      <x:c r="A1246" s="53" t="n">
        <x:v>1227</x:v>
      </x:c>
      <x:c r="B1246" s="53" t="n">
        <x:v>1</x:v>
      </x:c>
      <x:c r="C1246" s="40" t="str">
        <x:v>High-Value Frequent Shoppers</x:v>
      </x:c>
      <x:c r="D1246" s="60" t="n">
        <x:v>3810.36</x:v>
      </x:c>
      <x:c r="E1246" s="50" t="n">
        <x:v>86</x:v>
      </x:c>
      <x:c r="F1246" s="46" t="n">
        <x:v>4.095238095238095</x:v>
      </x:c>
      <x:c r="G1246" s="46" t="n">
        <x:v>0</x:v>
      </x:c>
      <x:c r="H1246" s="61" t="n">
        <x:v>44.30651162790698</x:v>
      </x:c>
      <x:c r="I1246" s="52" t="n">
        <x:v>0.8488372093023255</x:v>
      </x:c>
      <x:c r="J1246" s="52" t="n">
        <x:v>0.445488090364165</x:v>
      </x:c>
      <x:c r="K1246" s="60" t="n">
        <x:v>3664.16</x:v>
      </x:c>
      <x:c r="L1246" s="60" t="n">
        <x:v>146.2</x:v>
      </x:c>
      <x:c r="M1246" s="50" t="n">
        <x:v>73</x:v>
      </x:c>
      <x:c r="N1246" s="50" t="n">
        <x:v>13</x:v>
      </x:c>
      <x:c r="O1246" s="50" t="n">
        <x:v>162</x:v>
      </x:c>
      <x:c r="P1246" s="50" t="n">
        <x:v>21</x:v>
      </x:c>
    </x:row>
    <x:row r="1247" ht="36" customHeight="1">
      <x:c r="A1247" s="53" t="n">
        <x:v>1228</x:v>
      </x:c>
      <x:c r="B1247" s="53" t="n">
        <x:v>1</x:v>
      </x:c>
      <x:c r="C1247" s="40" t="str">
        <x:v>High-Value Frequent Shoppers</x:v>
      </x:c>
      <x:c r="D1247" s="60" t="n">
        <x:v>14503.89</x:v>
      </x:c>
      <x:c r="E1247" s="50" t="n">
        <x:v>797</x:v>
      </x:c>
      <x:c r="F1247" s="46" t="n">
        <x:v>33.20833333333333</x:v>
      </x:c>
      <x:c r="G1247" s="46" t="n">
        <x:v>0</x:v>
      </x:c>
      <x:c r="H1247" s="61" t="n">
        <x:v>18.19810539523212</x:v>
      </x:c>
      <x:c r="I1247" s="52" t="n">
        <x:v>0.8732747804265997</x:v>
      </x:c>
      <x:c r="J1247" s="52" t="n">
        <x:v>0.6669107391189536</x:v>
      </x:c>
      <x:c r="K1247" s="60" t="n">
        <x:v>13910.13</x:v>
      </x:c>
      <x:c r="L1247" s="60" t="n">
        <x:v>593.76</x:v>
      </x:c>
      <x:c r="M1247" s="50" t="n">
        <x:v>696</x:v>
      </x:c>
      <x:c r="N1247" s="50" t="n">
        <x:v>101</x:v>
      </x:c>
      <x:c r="O1247" s="50" t="n">
        <x:v>217</x:v>
      </x:c>
      <x:c r="P1247" s="50" t="n">
        <x:v>24</x:v>
      </x:c>
    </x:row>
    <x:row r="1248" ht="36" customHeight="1">
      <x:c r="A1248" s="53" t="n">
        <x:v>1229</x:v>
      </x:c>
      <x:c r="B1248" s="53" t="n">
        <x:v>1</x:v>
      </x:c>
      <x:c r="C1248" s="40" t="str">
        <x:v>High-Value Frequent Shoppers</x:v>
      </x:c>
      <x:c r="D1248" s="60" t="n">
        <x:v>18304.31</x:v>
      </x:c>
      <x:c r="E1248" s="50" t="n">
        <x:v>385</x:v>
      </x:c>
      <x:c r="F1248" s="46" t="n">
        <x:v>16.041666666666664</x:v>
      </x:c>
      <x:c r="G1248" s="46" t="n">
        <x:v>0</x:v>
      </x:c>
      <x:c r="H1248" s="61" t="n">
        <x:v>47.54366233766233</x:v>
      </x:c>
      <x:c r="I1248" s="52" t="n">
        <x:v>0.8935064935064935</x:v>
      </x:c>
      <x:c r="J1248" s="52" t="n">
        <x:v>0.3988874751356374</x:v>
      </x:c>
      <x:c r="K1248" s="60" t="n">
        <x:v>17516.83</x:v>
      </x:c>
      <x:c r="L1248" s="60" t="n">
        <x:v>787.48</x:v>
      </x:c>
      <x:c r="M1248" s="50" t="n">
        <x:v>344</x:v>
      </x:c>
      <x:c r="N1248" s="50" t="n">
        <x:v>41</x:v>
      </x:c>
      <x:c r="O1248" s="50" t="n">
        <x:v>207</x:v>
      </x:c>
      <x:c r="P1248" s="50" t="n">
        <x:v>24</x:v>
      </x:c>
    </x:row>
    <x:row r="1249" ht="36" customHeight="1">
      <x:c r="A1249" s="53" t="n">
        <x:v>1230</x:v>
      </x:c>
      <x:c r="B1249" s="53" t="n">
        <x:v>3</x:v>
      </x:c>
      <x:c r="C1249" s="40" t="str">
        <x:v>Low-Value Low-Engagement Shoppers</x:v>
      </x:c>
      <x:c r="D1249" s="60" t="n">
        <x:v>258.53</x:v>
      </x:c>
      <x:c r="E1249" s="50" t="n">
        <x:v>20</x:v>
      </x:c>
      <x:c r="F1249" s="46" t="n">
        <x:v>1.25</x:v>
      </x:c>
      <x:c r="G1249" s="46" t="n">
        <x:v>18</x:v>
      </x:c>
      <x:c r="H1249" s="61" t="n">
        <x:v>12.9265</x:v>
      </x:c>
      <x:c r="I1249" s="52" t="n">
        <x:v>0.5</x:v>
      </x:c>
      <x:c r="J1249" s="52" t="n">
        <x:v>0.2726569450353924</x:v>
      </x:c>
      <x:c r="K1249" s="60" t="n">
        <x:v>173.36</x:v>
      </x:c>
      <x:c r="L1249" s="60" t="n">
        <x:v>85.17</x:v>
      </x:c>
      <x:c r="M1249" s="50" t="n">
        <x:v>10</x:v>
      </x:c>
      <x:c r="N1249" s="50" t="n">
        <x:v>10</x:v>
      </x:c>
      <x:c r="O1249" s="50" t="n">
        <x:v>35</x:v>
      </x:c>
      <x:c r="P1249" s="50" t="n">
        <x:v>16</x:v>
      </x:c>
    </x:row>
    <x:row r="1250" ht="36" customHeight="1">
      <x:c r="A1250" s="53" t="n">
        <x:v>1231</x:v>
      </x:c>
      <x:c r="B1250" s="53" t="n">
        <x:v>2</x:v>
      </x:c>
      <x:c r="C1250" s="40" t="str">
        <x:v>Large-Basket Occasional Shoppers</x:v>
      </x:c>
      <x:c r="D1250" s="60" t="n">
        <x:v>1919.79</x:v>
      </x:c>
      <x:c r="E1250" s="50" t="n">
        <x:v>53</x:v>
      </x:c>
      <x:c r="F1250" s="46" t="n">
        <x:v>2.523809523809524</x:v>
      </x:c>
      <x:c r="G1250" s="46" t="n">
        <x:v>8</x:v>
      </x:c>
      <x:c r="H1250" s="61" t="n">
        <x:v>36.22245283018868</x:v>
      </x:c>
      <x:c r="I1250" s="52" t="n">
        <x:v>0.9622641509433962</x:v>
      </x:c>
      <x:c r="J1250" s="52" t="n">
        <x:v>0.5439240750290396</x:v>
      </x:c>
      <x:c r="K1250" s="60" t="n">
        <x:v>1914.81</x:v>
      </x:c>
      <x:c r="L1250" s="60" t="n">
        <x:v>4.98</x:v>
      </x:c>
      <x:c r="M1250" s="50" t="n">
        <x:v>51</x:v>
      </x:c>
      <x:c r="N1250" s="50" t="n">
        <x:v>2</x:v>
      </x:c>
      <x:c r="O1250" s="50" t="n">
        <x:v>95</x:v>
      </x:c>
      <x:c r="P1250" s="50" t="n">
        <x:v>21</x:v>
      </x:c>
    </x:row>
    <x:row r="1251" ht="36" customHeight="1">
      <x:c r="A1251" s="53" t="n">
        <x:v>1232</x:v>
      </x:c>
      <x:c r="B1251" s="53" t="n">
        <x:v>2</x:v>
      </x:c>
      <x:c r="C1251" s="40" t="str">
        <x:v>Large-Basket Occasional Shoppers</x:v>
      </x:c>
      <x:c r="D1251" s="60" t="n">
        <x:v>488.49</x:v>
      </x:c>
      <x:c r="E1251" s="50" t="n">
        <x:v>22</x:v>
      </x:c>
      <x:c r="F1251" s="46" t="n">
        <x:v>1.6923076923076923</x:v>
      </x:c>
      <x:c r="G1251" s="46" t="n">
        <x:v>166</x:v>
      </x:c>
      <x:c r="H1251" s="61" t="n">
        <x:v>22.204090909090908</x:v>
      </x:c>
      <x:c r="I1251" s="52" t="n">
        <x:v>1</x:v>
      </x:c>
      <x:c r="J1251" s="52" t="n">
        <x:v>0.5648426784581055</x:v>
      </x:c>
      <x:c r="K1251" s="60" t="n">
        <x:v>488.49</x:v>
      </x:c>
      <x:c r="L1251" s="60" t="n">
        <x:v>0</x:v>
      </x:c>
      <x:c r="M1251" s="50" t="n">
        <x:v>22</x:v>
      </x:c>
      <x:c r="N1251" s="50" t="n">
        <x:v>0</x:v>
      </x:c>
      <x:c r="O1251" s="50" t="n">
        <x:v>62</x:v>
      </x:c>
      <x:c r="P1251" s="50" t="n">
        <x:v>13</x:v>
      </x:c>
    </x:row>
    <x:row r="1252" ht="36" customHeight="1">
      <x:c r="A1252" s="53" t="n">
        <x:v>1233</x:v>
      </x:c>
      <x:c r="B1252" s="53" t="n">
        <x:v>2</x:v>
      </x:c>
      <x:c r="C1252" s="40" t="str">
        <x:v>Large-Basket Occasional Shoppers</x:v>
      </x:c>
      <x:c r="D1252" s="60" t="n">
        <x:v>1778.52</x:v>
      </x:c>
      <x:c r="E1252" s="50" t="n">
        <x:v>38</x:v>
      </x:c>
      <x:c r="F1252" s="46" t="n">
        <x:v>2.533333333333333</x:v>
      </x:c>
      <x:c r="G1252" s="46" t="n">
        <x:v>18</x:v>
      </x:c>
      <x:c r="H1252" s="61" t="n">
        <x:v>46.80315789473684</x:v>
      </x:c>
      <x:c r="I1252" s="52" t="n">
        <x:v>0.8421052631578947</x:v>
      </x:c>
      <x:c r="J1252" s="52" t="n">
        <x:v>0.5956975462744304</x:v>
      </x:c>
      <x:c r="K1252" s="60" t="n">
        <x:v>1741.86</x:v>
      </x:c>
      <x:c r="L1252" s="60" t="n">
        <x:v>36.66</x:v>
      </x:c>
      <x:c r="M1252" s="50" t="n">
        <x:v>32</x:v>
      </x:c>
      <x:c r="N1252" s="50" t="n">
        <x:v>6</x:v>
      </x:c>
      <x:c r="O1252" s="50" t="n">
        <x:v>104</x:v>
      </x:c>
      <x:c r="P1252" s="50" t="n">
        <x:v>15</x:v>
      </x:c>
    </x:row>
    <x:row r="1253" ht="36" customHeight="1">
      <x:c r="A1253" s="53" t="n">
        <x:v>1234</x:v>
      </x:c>
      <x:c r="B1253" s="53" t="n">
        <x:v>1</x:v>
      </x:c>
      <x:c r="C1253" s="40" t="str">
        <x:v>High-Value Frequent Shoppers</x:v>
      </x:c>
      <x:c r="D1253" s="60" t="n">
        <x:v>5547.83</x:v>
      </x:c>
      <x:c r="E1253" s="50" t="n">
        <x:v>94</x:v>
      </x:c>
      <x:c r="F1253" s="46" t="n">
        <x:v>4.476190476190476</x:v>
      </x:c>
      <x:c r="G1253" s="46" t="n">
        <x:v>1</x:v>
      </x:c>
      <x:c r="H1253" s="61" t="n">
        <x:v>59.01946808510638</x:v>
      </x:c>
      <x:c r="I1253" s="52" t="n">
        <x:v>0.9680851063829788</x:v>
      </x:c>
      <x:c r="J1253" s="52" t="n">
        <x:v>0.4622780438477747</x:v>
      </x:c>
      <x:c r="K1253" s="60" t="n">
        <x:v>5505.31</x:v>
      </x:c>
      <x:c r="L1253" s="60" t="n">
        <x:v>42.52</x:v>
      </x:c>
      <x:c r="M1253" s="50" t="n">
        <x:v>91</x:v>
      </x:c>
      <x:c r="N1253" s="50" t="n">
        <x:v>3</x:v>
      </x:c>
      <x:c r="O1253" s="50" t="n">
        <x:v>173</x:v>
      </x:c>
      <x:c r="P1253" s="50" t="n">
        <x:v>21</x:v>
      </x:c>
    </x:row>
    <x:row r="1254" ht="36" customHeight="1">
      <x:c r="A1254" s="53" t="n">
        <x:v>1235</x:v>
      </x:c>
      <x:c r="B1254" s="53" t="n">
        <x:v>2</x:v>
      </x:c>
      <x:c r="C1254" s="40" t="str">
        <x:v>Large-Basket Occasional Shoppers</x:v>
      </x:c>
      <x:c r="D1254" s="60" t="n">
        <x:v>894</x:v>
      </x:c>
      <x:c r="E1254" s="50" t="n">
        <x:v>20</x:v>
      </x:c>
      <x:c r="F1254" s="46" t="n">
        <x:v>2</x:v>
      </x:c>
      <x:c r="G1254" s="46" t="n">
        <x:v>4</x:v>
      </x:c>
      <x:c r="H1254" s="61" t="n">
        <x:v>44.7</x:v>
      </x:c>
      <x:c r="I1254" s="52" t="n">
        <x:v>0.9</x:v>
      </x:c>
      <x:c r="J1254" s="52" t="n">
        <x:v>0.3819015659955257</x:v>
      </x:c>
      <x:c r="K1254" s="60" t="n">
        <x:v>855.29</x:v>
      </x:c>
      <x:c r="L1254" s="60" t="n">
        <x:v>38.71</x:v>
      </x:c>
      <x:c r="M1254" s="50" t="n">
        <x:v>18</x:v>
      </x:c>
      <x:c r="N1254" s="50" t="n">
        <x:v>2</x:v>
      </x:c>
      <x:c r="O1254" s="50" t="n">
        <x:v>69</x:v>
      </x:c>
      <x:c r="P1254" s="50" t="n">
        <x:v>10</x:v>
      </x:c>
    </x:row>
    <x:row r="1255" ht="36" customHeight="1">
      <x:c r="A1255" s="53" t="n">
        <x:v>1236</x:v>
      </x:c>
      <x:c r="B1255" s="53" t="n">
        <x:v>1</x:v>
      </x:c>
      <x:c r="C1255" s="40" t="str">
        <x:v>High-Value Frequent Shoppers</x:v>
      </x:c>
      <x:c r="D1255" s="60" t="n">
        <x:v>3993.01</x:v>
      </x:c>
      <x:c r="E1255" s="50" t="n">
        <x:v>194</x:v>
      </x:c>
      <x:c r="F1255" s="46" t="n">
        <x:v>9.7</x:v>
      </x:c>
      <x:c r="G1255" s="46" t="n">
        <x:v>2</x:v>
      </x:c>
      <x:c r="H1255" s="61" t="n">
        <x:v>20.58252577319588</x:v>
      </x:c>
      <x:c r="I1255" s="52" t="n">
        <x:v>0.8762886597938144</x:v>
      </x:c>
      <x:c r="J1255" s="52" t="n">
        <x:v>0.4532971367464644</x:v>
      </x:c>
      <x:c r="K1255" s="60" t="n">
        <x:v>3757.27</x:v>
      </x:c>
      <x:c r="L1255" s="60" t="n">
        <x:v>235.74</x:v>
      </x:c>
      <x:c r="M1255" s="50" t="n">
        <x:v>170</x:v>
      </x:c>
      <x:c r="N1255" s="50" t="n">
        <x:v>24</x:v>
      </x:c>
      <x:c r="O1255" s="50" t="n">
        <x:v>126</x:v>
      </x:c>
      <x:c r="P1255" s="50" t="n">
        <x:v>20</x:v>
      </x:c>
    </x:row>
    <x:row r="1256" ht="36" customHeight="1">
      <x:c r="A1256" s="53" t="n">
        <x:v>1237</x:v>
      </x:c>
      <x:c r="B1256" s="53" t="n">
        <x:v>2</x:v>
      </x:c>
      <x:c r="C1256" s="40" t="str">
        <x:v>Large-Basket Occasional Shoppers</x:v>
      </x:c>
      <x:c r="D1256" s="60" t="n">
        <x:v>1051.16</x:v>
      </x:c>
      <x:c r="E1256" s="50" t="n">
        <x:v>20</x:v>
      </x:c>
      <x:c r="F1256" s="46" t="n">
        <x:v>1.5384615384615383</x:v>
      </x:c>
      <x:c r="G1256" s="46" t="n">
        <x:v>90</x:v>
      </x:c>
      <x:c r="H1256" s="61" t="n">
        <x:v>52.558</x:v>
      </x:c>
      <x:c r="I1256" s="52" t="n">
        <x:v>0.95</x:v>
      </x:c>
      <x:c r="J1256" s="52" t="n">
        <x:v>0.4303626469804787</x:v>
      </x:c>
      <x:c r="K1256" s="60" t="n">
        <x:v>1030.27</x:v>
      </x:c>
      <x:c r="L1256" s="60" t="n">
        <x:v>20.89</x:v>
      </x:c>
      <x:c r="M1256" s="50" t="n">
        <x:v>19</x:v>
      </x:c>
      <x:c r="N1256" s="50" t="n">
        <x:v>1</x:v>
      </x:c>
      <x:c r="O1256" s="50" t="n">
        <x:v>86</x:v>
      </x:c>
      <x:c r="P1256" s="50" t="n">
        <x:v>13</x:v>
      </x:c>
    </x:row>
    <x:row r="1257" ht="36" customHeight="1">
      <x:c r="A1257" s="53" t="n">
        <x:v>1238</x:v>
      </x:c>
      <x:c r="B1257" s="53" t="n">
        <x:v>2</x:v>
      </x:c>
      <x:c r="C1257" s="40" t="str">
        <x:v>Large-Basket Occasional Shoppers</x:v>
      </x:c>
      <x:c r="D1257" s="60" t="n">
        <x:v>4678.61</x:v>
      </x:c>
      <x:c r="E1257" s="50" t="n">
        <x:v>51</x:v>
      </x:c>
      <x:c r="F1257" s="46" t="n">
        <x:v>2.428571428571429</x:v>
      </x:c>
      <x:c r="G1257" s="46" t="n">
        <x:v>7</x:v>
      </x:c>
      <x:c r="H1257" s="61" t="n">
        <x:v>91.73745098039215</x:v>
      </x:c>
      <x:c r="I1257" s="52" t="n">
        <x:v>0.980392156862745</x:v>
      </x:c>
      <x:c r="J1257" s="52" t="n">
        <x:v>0.6527943128407796</x:v>
      </x:c>
      <x:c r="K1257" s="60" t="n">
        <x:v>4678.61</x:v>
      </x:c>
      <x:c r="L1257" s="60" t="n">
        <x:v>0</x:v>
      </x:c>
      <x:c r="M1257" s="50" t="n">
        <x:v>50</x:v>
      </x:c>
      <x:c r="N1257" s="50" t="n">
        <x:v>1</x:v>
      </x:c>
      <x:c r="O1257" s="50" t="n">
        <x:v>146</x:v>
      </x:c>
      <x:c r="P1257" s="50" t="n">
        <x:v>21</x:v>
      </x:c>
    </x:row>
    <x:row r="1258" ht="36" customHeight="1">
      <x:c r="A1258" s="53" t="n">
        <x:v>1239</x:v>
      </x:c>
      <x:c r="B1258" s="53" t="n">
        <x:v>2</x:v>
      </x:c>
      <x:c r="C1258" s="40" t="str">
        <x:v>Large-Basket Occasional Shoppers</x:v>
      </x:c>
      <x:c r="D1258" s="60" t="n">
        <x:v>2068.5</x:v>
      </x:c>
      <x:c r="E1258" s="50" t="n">
        <x:v>26</x:v>
      </x:c>
      <x:c r="F1258" s="46" t="n">
        <x:v>1.7333333333333332</x:v>
      </x:c>
      <x:c r="G1258" s="46" t="n">
        <x:v>3</x:v>
      </x:c>
      <x:c r="H1258" s="61" t="n">
        <x:v>79.5576923076923</x:v>
      </x:c>
      <x:c r="I1258" s="52" t="n">
        <x:v>0.923076923076923</x:v>
      </x:c>
      <x:c r="J1258" s="52" t="n">
        <x:v>0.5779502054628958</x:v>
      </x:c>
      <x:c r="K1258" s="60" t="n">
        <x:v>2064.63</x:v>
      </x:c>
      <x:c r="L1258" s="60" t="n">
        <x:v>3.87</x:v>
      </x:c>
      <x:c r="M1258" s="50" t="n">
        <x:v>24</x:v>
      </x:c>
      <x:c r="N1258" s="50" t="n">
        <x:v>2</x:v>
      </x:c>
      <x:c r="O1258" s="50" t="n">
        <x:v>91</x:v>
      </x:c>
      <x:c r="P1258" s="50" t="n">
        <x:v>15</x:v>
      </x:c>
    </x:row>
    <x:row r="1259" ht="36" customHeight="1">
      <x:c r="A1259" s="53" t="n">
        <x:v>1240</x:v>
      </x:c>
      <x:c r="B1259" s="53" t="n">
        <x:v>1</x:v>
      </x:c>
      <x:c r="C1259" s="40" t="str">
        <x:v>High-Value Frequent Shoppers</x:v>
      </x:c>
      <x:c r="D1259" s="60" t="n">
        <x:v>11250.07</x:v>
      </x:c>
      <x:c r="E1259" s="50" t="n">
        <x:v>217</x:v>
      </x:c>
      <x:c r="F1259" s="46" t="n">
        <x:v>10.333333333333332</x:v>
      </x:c>
      <x:c r="G1259" s="46" t="n">
        <x:v>0</x:v>
      </x:c>
      <x:c r="H1259" s="61" t="n">
        <x:v>51.84364055299539</x:v>
      </x:c>
      <x:c r="I1259" s="52" t="n">
        <x:v>0.8387096774193548</x:v>
      </x:c>
      <x:c r="J1259" s="52" t="n">
        <x:v>0.3693105909563229</x:v>
      </x:c>
      <x:c r="K1259" s="60" t="n">
        <x:v>10699.16</x:v>
      </x:c>
      <x:c r="L1259" s="60" t="n">
        <x:v>550.91</x:v>
      </x:c>
      <x:c r="M1259" s="50" t="n">
        <x:v>182</x:v>
      </x:c>
      <x:c r="N1259" s="50" t="n">
        <x:v>35</x:v>
      </x:c>
      <x:c r="O1259" s="50" t="n">
        <x:v>185</x:v>
      </x:c>
      <x:c r="P1259" s="50" t="n">
        <x:v>21</x:v>
      </x:c>
    </x:row>
    <x:row r="1260" ht="36" customHeight="1">
      <x:c r="A1260" s="53" t="n">
        <x:v>1241</x:v>
      </x:c>
      <x:c r="B1260" s="53" t="n">
        <x:v>1</x:v>
      </x:c>
      <x:c r="C1260" s="40" t="str">
        <x:v>High-Value Frequent Shoppers</x:v>
      </x:c>
      <x:c r="D1260" s="60" t="n">
        <x:v>2041.45</x:v>
      </x:c>
      <x:c r="E1260" s="50" t="n">
        <x:v>91</x:v>
      </x:c>
      <x:c r="F1260" s="46" t="n">
        <x:v>4.333333333333333</x:v>
      </x:c>
      <x:c r="G1260" s="46" t="n">
        <x:v>1</x:v>
      </x:c>
      <x:c r="H1260" s="61" t="n">
        <x:v>22.433516483516485</x:v>
      </x:c>
      <x:c r="I1260" s="52" t="n">
        <x:v>0.8351648351648351</x:v>
      </x:c>
      <x:c r="J1260" s="52" t="n">
        <x:v>0.4997183374562198</x:v>
      </x:c>
      <x:c r="K1260" s="60" t="n">
        <x:v>1885.59</x:v>
      </x:c>
      <x:c r="L1260" s="60" t="n">
        <x:v>155.86</x:v>
      </x:c>
      <x:c r="M1260" s="50" t="n">
        <x:v>76</x:v>
      </x:c>
      <x:c r="N1260" s="50" t="n">
        <x:v>15</x:v>
      </x:c>
      <x:c r="O1260" s="50" t="n">
        <x:v>107</x:v>
      </x:c>
      <x:c r="P1260" s="50" t="n">
        <x:v>21</x:v>
      </x:c>
    </x:row>
    <x:row r="1261" ht="36" customHeight="1">
      <x:c r="A1261" s="53" t="n">
        <x:v>1242</x:v>
      </x:c>
      <x:c r="B1261" s="53" t="n">
        <x:v>3</x:v>
      </x:c>
      <x:c r="C1261" s="40" t="str">
        <x:v>Low-Value Low-Engagement Shoppers</x:v>
      </x:c>
      <x:c r="D1261" s="60" t="n">
        <x:v>830.11</x:v>
      </x:c>
      <x:c r="E1261" s="50" t="n">
        <x:v>35</x:v>
      </x:c>
      <x:c r="F1261" s="46" t="n">
        <x:v>2.1875</x:v>
      </x:c>
      <x:c r="G1261" s="46" t="n">
        <x:v>6</x:v>
      </x:c>
      <x:c r="H1261" s="61" t="n">
        <x:v>23.717428571428567</x:v>
      </x:c>
      <x:c r="I1261" s="52" t="n">
        <x:v>0.8</x:v>
      </x:c>
      <x:c r="J1261" s="52" t="n">
        <x:v>0.5849345267494669</x:v>
      </x:c>
      <x:c r="K1261" s="60" t="n">
        <x:v>803.74</x:v>
      </x:c>
      <x:c r="L1261" s="60" t="n">
        <x:v>26.37</x:v>
      </x:c>
      <x:c r="M1261" s="50" t="n">
        <x:v>28</x:v>
      </x:c>
      <x:c r="N1261" s="50" t="n">
        <x:v>7</x:v>
      </x:c>
      <x:c r="O1261" s="50" t="n">
        <x:v>78</x:v>
      </x:c>
      <x:c r="P1261" s="50" t="n">
        <x:v>16</x:v>
      </x:c>
    </x:row>
    <x:row r="1262" ht="36" customHeight="1">
      <x:c r="A1262" s="53" t="n">
        <x:v>1243</x:v>
      </x:c>
      <x:c r="B1262" s="53" t="n">
        <x:v>3</x:v>
      </x:c>
      <x:c r="C1262" s="40" t="str">
        <x:v>Low-Value Low-Engagement Shoppers</x:v>
      </x:c>
      <x:c r="D1262" s="60" t="n">
        <x:v>249.7</x:v>
      </x:c>
      <x:c r="E1262" s="50" t="n">
        <x:v>14</x:v>
      </x:c>
      <x:c r="F1262" s="46" t="n">
        <x:v>1.2727272727272727</x:v>
      </x:c>
      <x:c r="G1262" s="46" t="n">
        <x:v>117</x:v>
      </x:c>
      <x:c r="H1262" s="61" t="n">
        <x:v>17.835714285714285</x:v>
      </x:c>
      <x:c r="I1262" s="52" t="n">
        <x:v>0.5714285714285714</x:v>
      </x:c>
      <x:c r="J1262" s="52" t="n">
        <x:v>0.2680016019223067</x:v>
      </x:c>
      <x:c r="K1262" s="60" t="n">
        <x:v>173.14</x:v>
      </x:c>
      <x:c r="L1262" s="60" t="n">
        <x:v>76.56</x:v>
      </x:c>
      <x:c r="M1262" s="50" t="n">
        <x:v>8</x:v>
      </x:c>
      <x:c r="N1262" s="50" t="n">
        <x:v>6</x:v>
      </x:c>
      <x:c r="O1262" s="50" t="n">
        <x:v>36</x:v>
      </x:c>
      <x:c r="P1262" s="50" t="n">
        <x:v>11</x:v>
      </x:c>
    </x:row>
    <x:row r="1263" ht="36" customHeight="1">
      <x:c r="A1263" s="53" t="n">
        <x:v>1244</x:v>
      </x:c>
      <x:c r="B1263" s="53" t="n">
        <x:v>2</x:v>
      </x:c>
      <x:c r="C1263" s="40" t="str">
        <x:v>Large-Basket Occasional Shoppers</x:v>
      </x:c>
      <x:c r="D1263" s="60" t="n">
        <x:v>603.45</x:v>
      </x:c>
      <x:c r="E1263" s="50" t="n">
        <x:v>34</x:v>
      </x:c>
      <x:c r="F1263" s="46" t="n">
        <x:v>1.8888888888888888</x:v>
      </x:c>
      <x:c r="G1263" s="46" t="n">
        <x:v>4</x:v>
      </x:c>
      <x:c r="H1263" s="61" t="n">
        <x:v>17.748529411764704</x:v>
      </x:c>
      <x:c r="I1263" s="52" t="n">
        <x:v>0.9705882352941176</x:v>
      </x:c>
      <x:c r="J1263" s="52" t="n">
        <x:v>0.4879443201590852</x:v>
      </x:c>
      <x:c r="K1263" s="60" t="n">
        <x:v>596.06</x:v>
      </x:c>
      <x:c r="L1263" s="60" t="n">
        <x:v>7.39</x:v>
      </x:c>
      <x:c r="M1263" s="50" t="n">
        <x:v>33</x:v>
      </x:c>
      <x:c r="N1263" s="50" t="n">
        <x:v>1</x:v>
      </x:c>
      <x:c r="O1263" s="50" t="n">
        <x:v>75</x:v>
      </x:c>
      <x:c r="P1263" s="50" t="n">
        <x:v>18</x:v>
      </x:c>
    </x:row>
    <x:row r="1264" ht="36" customHeight="1">
      <x:c r="A1264" s="53" t="n">
        <x:v>1245</x:v>
      </x:c>
      <x:c r="B1264" s="53" t="n">
        <x:v>1</x:v>
      </x:c>
      <x:c r="C1264" s="40" t="str">
        <x:v>High-Value Frequent Shoppers</x:v>
      </x:c>
      <x:c r="D1264" s="60" t="n">
        <x:v>4469.27</x:v>
      </x:c>
      <x:c r="E1264" s="50" t="n">
        <x:v>253</x:v>
      </x:c>
      <x:c r="F1264" s="46" t="n">
        <x:v>11.5</x:v>
      </x:c>
      <x:c r="G1264" s="46" t="n">
        <x:v>0</x:v>
      </x:c>
      <x:c r="H1264" s="61" t="n">
        <x:v>17.66509881422925</x:v>
      </x:c>
      <x:c r="I1264" s="52" t="n">
        <x:v>0.8181818181818181</x:v>
      </x:c>
      <x:c r="J1264" s="52" t="n">
        <x:v>0.4703721189366496</x:v>
      </x:c>
      <x:c r="K1264" s="60" t="n">
        <x:v>4149.93</x:v>
      </x:c>
      <x:c r="L1264" s="60" t="n">
        <x:v>319.34</x:v>
      </x:c>
      <x:c r="M1264" s="50" t="n">
        <x:v>207</x:v>
      </x:c>
      <x:c r="N1264" s="50" t="n">
        <x:v>46</x:v>
      </x:c>
      <x:c r="O1264" s="50" t="n">
        <x:v>160</x:v>
      </x:c>
      <x:c r="P1264" s="50" t="n">
        <x:v>22</x:v>
      </x:c>
    </x:row>
    <x:row r="1265" ht="36" customHeight="1">
      <x:c r="A1265" s="53" t="n">
        <x:v>1246</x:v>
      </x:c>
      <x:c r="B1265" s="53" t="n">
        <x:v>1</x:v>
      </x:c>
      <x:c r="C1265" s="40" t="str">
        <x:v>High-Value Frequent Shoppers</x:v>
      </x:c>
      <x:c r="D1265" s="60" t="n">
        <x:v>5428.25</x:v>
      </x:c>
      <x:c r="E1265" s="50" t="n">
        <x:v>97</x:v>
      </x:c>
      <x:c r="F1265" s="46" t="n">
        <x:v>4.409090909090909</x:v>
      </x:c>
      <x:c r="G1265" s="46" t="n">
        <x:v>9</x:v>
      </x:c>
      <x:c r="H1265" s="61" t="n">
        <x:v>55.96134020618557</x:v>
      </x:c>
      <x:c r="I1265" s="52" t="n">
        <x:v>0.8762886597938144</x:v>
      </x:c>
      <x:c r="J1265" s="52" t="n">
        <x:v>0.4142218947174503</x:v>
      </x:c>
      <x:c r="K1265" s="60" t="n">
        <x:v>5132.61</x:v>
      </x:c>
      <x:c r="L1265" s="60" t="n">
        <x:v>295.64</x:v>
      </x:c>
      <x:c r="M1265" s="50" t="n">
        <x:v>85</x:v>
      </x:c>
      <x:c r="N1265" s="50" t="n">
        <x:v>12</x:v>
      </x:c>
      <x:c r="O1265" s="50" t="n">
        <x:v>142</x:v>
      </x:c>
      <x:c r="P1265" s="50" t="n">
        <x:v>22</x:v>
      </x:c>
    </x:row>
    <x:row r="1266" ht="36" customHeight="1">
      <x:c r="A1266" s="53" t="n">
        <x:v>1247</x:v>
      </x:c>
      <x:c r="B1266" s="53" t="n">
        <x:v>1</x:v>
      </x:c>
      <x:c r="C1266" s="40" t="str">
        <x:v>High-Value Frequent Shoppers</x:v>
      </x:c>
      <x:c r="D1266" s="60" t="n">
        <x:v>6639.95</x:v>
      </x:c>
      <x:c r="E1266" s="50" t="n">
        <x:v>120</x:v>
      </x:c>
      <x:c r="F1266" s="46" t="n">
        <x:v>5.7142857142857135</x:v>
      </x:c>
      <x:c r="G1266" s="46" t="n">
        <x:v>2</x:v>
      </x:c>
      <x:c r="H1266" s="61" t="n">
        <x:v>55.33291666666666</x:v>
      </x:c>
      <x:c r="I1266" s="52" t="n">
        <x:v>0.925</x:v>
      </x:c>
      <x:c r="J1266" s="52" t="n">
        <x:v>0.4219082975022402</x:v>
      </x:c>
      <x:c r="K1266" s="60" t="n">
        <x:v>6546.21</x:v>
      </x:c>
      <x:c r="L1266" s="60" t="n">
        <x:v>93.74</x:v>
      </x:c>
      <x:c r="M1266" s="50" t="n">
        <x:v>111</x:v>
      </x:c>
      <x:c r="N1266" s="50" t="n">
        <x:v>9</x:v>
      </x:c>
      <x:c r="O1266" s="50" t="n">
        <x:v>147</x:v>
      </x:c>
      <x:c r="P1266" s="50" t="n">
        <x:v>21</x:v>
      </x:c>
    </x:row>
    <x:row r="1267" ht="36" customHeight="1">
      <x:c r="A1267" s="53" t="n">
        <x:v>1248</x:v>
      </x:c>
      <x:c r="B1267" s="53" t="n">
        <x:v>1</x:v>
      </x:c>
      <x:c r="C1267" s="40" t="str">
        <x:v>High-Value Frequent Shoppers</x:v>
      </x:c>
      <x:c r="D1267" s="60" t="n">
        <x:v>9091.29</x:v>
      </x:c>
      <x:c r="E1267" s="50" t="n">
        <x:v>158</x:v>
      </x:c>
      <x:c r="F1267" s="46" t="n">
        <x:v>6.869565217391304</x:v>
      </x:c>
      <x:c r="G1267" s="46" t="n">
        <x:v>9</x:v>
      </x:c>
      <x:c r="H1267" s="61" t="n">
        <x:v>57.53981012658228</x:v>
      </x:c>
      <x:c r="I1267" s="52" t="n">
        <x:v>0.8797468354430379</x:v>
      </x:c>
      <x:c r="J1267" s="52" t="n">
        <x:v>0.4970405739999494</x:v>
      </x:c>
      <x:c r="K1267" s="60" t="n">
        <x:v>8704.31</x:v>
      </x:c>
      <x:c r="L1267" s="60" t="n">
        <x:v>386.98</x:v>
      </x:c>
      <x:c r="M1267" s="50" t="n">
        <x:v>139</x:v>
      </x:c>
      <x:c r="N1267" s="50" t="n">
        <x:v>19</x:v>
      </x:c>
      <x:c r="O1267" s="50" t="n">
        <x:v>147</x:v>
      </x:c>
      <x:c r="P1267" s="50" t="n">
        <x:v>23</x:v>
      </x:c>
    </x:row>
    <x:row r="1268" ht="36" customHeight="1">
      <x:c r="A1268" s="53" t="n">
        <x:v>1249</x:v>
      </x:c>
      <x:c r="B1268" s="53" t="n">
        <x:v>3</x:v>
      </x:c>
      <x:c r="C1268" s="40" t="str">
        <x:v>Low-Value Low-Engagement Shoppers</x:v>
      </x:c>
      <x:c r="D1268" s="60" t="n">
        <x:v>491.62</x:v>
      </x:c>
      <x:c r="E1268" s="50" t="n">
        <x:v>23</x:v>
      </x:c>
      <x:c r="F1268" s="46" t="n">
        <x:v>1.7692307692307692</x:v>
      </x:c>
      <x:c r="G1268" s="46" t="n">
        <x:v>7</x:v>
      </x:c>
      <x:c r="H1268" s="61" t="n">
        <x:v>21.374782608695647</x:v>
      </x:c>
      <x:c r="I1268" s="52" t="n">
        <x:v>0.8695652173913043</x:v>
      </x:c>
      <x:c r="J1268" s="52" t="n">
        <x:v>0.3338147349578943</x:v>
      </x:c>
      <x:c r="K1268" s="60" t="n">
        <x:v>471.4</x:v>
      </x:c>
      <x:c r="L1268" s="60" t="n">
        <x:v>20.22</x:v>
      </x:c>
      <x:c r="M1268" s="50" t="n">
        <x:v>20</x:v>
      </x:c>
      <x:c r="N1268" s="50" t="n">
        <x:v>3</x:v>
      </x:c>
      <x:c r="O1268" s="50" t="n">
        <x:v>74</x:v>
      </x:c>
      <x:c r="P1268" s="50" t="n">
        <x:v>13</x:v>
      </x:c>
    </x:row>
    <x:row r="1269" ht="36" customHeight="1">
      <x:c r="A1269" s="53" t="n">
        <x:v>1250</x:v>
      </x:c>
      <x:c r="B1269" s="53" t="n">
        <x:v>2</x:v>
      </x:c>
      <x:c r="C1269" s="40" t="str">
        <x:v>Large-Basket Occasional Shoppers</x:v>
      </x:c>
      <x:c r="D1269" s="60" t="n">
        <x:v>203.17</x:v>
      </x:c>
      <x:c r="E1269" s="50" t="n">
        <x:v>6</x:v>
      </x:c>
      <x:c r="F1269" s="46" t="n">
        <x:v>1.2</x:v>
      </x:c>
      <x:c r="G1269" s="46" t="n">
        <x:v>12</x:v>
      </x:c>
      <x:c r="H1269" s="61" t="n">
        <x:v>33.861666666666665</x:v>
      </x:c>
      <x:c r="I1269" s="52" t="n">
        <x:v>1</x:v>
      </x:c>
      <x:c r="J1269" s="52" t="n">
        <x:v>0.5631244770389329</x:v>
      </x:c>
      <x:c r="K1269" s="60" t="n">
        <x:v>203.17</x:v>
      </x:c>
      <x:c r="L1269" s="60" t="n">
        <x:v>0</x:v>
      </x:c>
      <x:c r="M1269" s="50" t="n">
        <x:v>6</x:v>
      </x:c>
      <x:c r="N1269" s="50" t="n">
        <x:v>0</x:v>
      </x:c>
      <x:c r="O1269" s="50" t="n">
        <x:v>52</x:v>
      </x:c>
      <x:c r="P1269" s="50" t="n">
        <x:v>5</x:v>
      </x:c>
    </x:row>
    <x:row r="1270" ht="36" customHeight="1">
      <x:c r="A1270" s="53" t="n">
        <x:v>1251</x:v>
      </x:c>
      <x:c r="B1270" s="53" t="n">
        <x:v>3</x:v>
      </x:c>
      <x:c r="C1270" s="40" t="str">
        <x:v>Low-Value Low-Engagement Shoppers</x:v>
      </x:c>
      <x:c r="D1270" s="60" t="n">
        <x:v>325.77</x:v>
      </x:c>
      <x:c r="E1270" s="50" t="n">
        <x:v>52</x:v>
      </x:c>
      <x:c r="F1270" s="46" t="n">
        <x:v>3.058823529411765</x:v>
      </x:c>
      <x:c r="G1270" s="46" t="n">
        <x:v>57</x:v>
      </x:c>
      <x:c r="H1270" s="61" t="n">
        <x:v>6.264807692307692</x:v>
      </x:c>
      <x:c r="I1270" s="52" t="n">
        <x:v>0.6923076923076923</x:v>
      </x:c>
      <x:c r="J1270" s="52" t="n">
        <x:v>0.7506829972066181</x:v>
      </x:c>
      <x:c r="K1270" s="60" t="n">
        <x:v>290.3</x:v>
      </x:c>
      <x:c r="L1270" s="60" t="n">
        <x:v>35.47</x:v>
      </x:c>
      <x:c r="M1270" s="50" t="n">
        <x:v>36</x:v>
      </x:c>
      <x:c r="N1270" s="50" t="n">
        <x:v>16</x:v>
      </x:c>
      <x:c r="O1270" s="50" t="n">
        <x:v>39</x:v>
      </x:c>
      <x:c r="P1270" s="50" t="n">
        <x:v>17</x:v>
      </x:c>
    </x:row>
    <x:row r="1271" ht="36" customHeight="1">
      <x:c r="A1271" s="53" t="n">
        <x:v>1252</x:v>
      </x:c>
      <x:c r="B1271" s="53" t="n">
        <x:v>2</x:v>
      </x:c>
      <x:c r="C1271" s="40" t="str">
        <x:v>Large-Basket Occasional Shoppers</x:v>
      </x:c>
      <x:c r="D1271" s="60" t="n">
        <x:v>1152.78</x:v>
      </x:c>
      <x:c r="E1271" s="50" t="n">
        <x:v>46</x:v>
      </x:c>
      <x:c r="F1271" s="46" t="n">
        <x:v>2.705882352941176</x:v>
      </x:c>
      <x:c r="G1271" s="46" t="n">
        <x:v>17</x:v>
      </x:c>
      <x:c r="H1271" s="61" t="n">
        <x:v>25.06043478260869</x:v>
      </x:c>
      <x:c r="I1271" s="52" t="n">
        <x:v>0.8695652173913043</x:v>
      </x:c>
      <x:c r="J1271" s="52" t="n">
        <x:v>0.6587900553444715</x:v>
      </x:c>
      <x:c r="K1271" s="60" t="n">
        <x:v>1118.69</x:v>
      </x:c>
      <x:c r="L1271" s="60" t="n">
        <x:v>34.09</x:v>
      </x:c>
      <x:c r="M1271" s="50" t="n">
        <x:v>40</x:v>
      </x:c>
      <x:c r="N1271" s="50" t="n">
        <x:v>6</x:v>
      </x:c>
      <x:c r="O1271" s="50" t="n">
        <x:v>100</x:v>
      </x:c>
      <x:c r="P1271" s="50" t="n">
        <x:v>17</x:v>
      </x:c>
    </x:row>
    <x:row r="1272" ht="36" customHeight="1">
      <x:c r="A1272" s="53" t="n">
        <x:v>1253</x:v>
      </x:c>
      <x:c r="B1272" s="53" t="n">
        <x:v>3</x:v>
      </x:c>
      <x:c r="C1272" s="40" t="str">
        <x:v>Low-Value Low-Engagement Shoppers</x:v>
      </x:c>
      <x:c r="D1272" s="60" t="n">
        <x:v>570.15</x:v>
      </x:c>
      <x:c r="E1272" s="50" t="n">
        <x:v>24</x:v>
      </x:c>
      <x:c r="F1272" s="46" t="n">
        <x:v>4.8</x:v>
      </x:c>
      <x:c r="G1272" s="46" t="n">
        <x:v>89</x:v>
      </x:c>
      <x:c r="H1272" s="61" t="n">
        <x:v>23.75625</x:v>
      </x:c>
      <x:c r="I1272" s="52" t="n">
        <x:v>0.875</x:v>
      </x:c>
      <x:c r="J1272" s="52" t="n">
        <x:v>0.6024730334122599</x:v>
      </x:c>
      <x:c r="K1272" s="60" t="n">
        <x:v>555.77</x:v>
      </x:c>
      <x:c r="L1272" s="60" t="n">
        <x:v>14.38</x:v>
      </x:c>
      <x:c r="M1272" s="50" t="n">
        <x:v>21</x:v>
      </x:c>
      <x:c r="N1272" s="50" t="n">
        <x:v>3</x:v>
      </x:c>
      <x:c r="O1272" s="50" t="n">
        <x:v>73</x:v>
      </x:c>
      <x:c r="P1272" s="50" t="n">
        <x:v>5</x:v>
      </x:c>
    </x:row>
    <x:row r="1273" ht="36" customHeight="1">
      <x:c r="A1273" s="53" t="n">
        <x:v>1254</x:v>
      </x:c>
      <x:c r="B1273" s="53" t="n">
        <x:v>2</x:v>
      </x:c>
      <x:c r="C1273" s="40" t="str">
        <x:v>Large-Basket Occasional Shoppers</x:v>
      </x:c>
      <x:c r="D1273" s="60" t="n">
        <x:v>252.31</x:v>
      </x:c>
      <x:c r="E1273" s="50" t="n">
        <x:v>6</x:v>
      </x:c>
      <x:c r="F1273" s="46" t="n">
        <x:v>1</x:v>
      </x:c>
      <x:c r="G1273" s="46" t="n">
        <x:v>73</x:v>
      </x:c>
      <x:c r="H1273" s="61" t="n">
        <x:v>42.05166666666666</x:v>
      </x:c>
      <x:c r="I1273" s="52" t="n">
        <x:v>1</x:v>
      </x:c>
      <x:c r="J1273" s="52" t="n">
        <x:v>0.447822123578138</x:v>
      </x:c>
      <x:c r="K1273" s="60" t="n">
        <x:v>252.31</x:v>
      </x:c>
      <x:c r="L1273" s="60" t="n">
        <x:v>0</x:v>
      </x:c>
      <x:c r="M1273" s="50" t="n">
        <x:v>6</x:v>
      </x:c>
      <x:c r="N1273" s="50" t="n">
        <x:v>0</x:v>
      </x:c>
      <x:c r="O1273" s="50" t="n">
        <x:v>54</x:v>
      </x:c>
      <x:c r="P1273" s="50" t="n">
        <x:v>6</x:v>
      </x:c>
    </x:row>
    <x:row r="1274" ht="36" customHeight="1">
      <x:c r="A1274" s="53" t="n">
        <x:v>1255</x:v>
      </x:c>
      <x:c r="B1274" s="53" t="n">
        <x:v>3</x:v>
      </x:c>
      <x:c r="C1274" s="40" t="str">
        <x:v>Low-Value Low-Engagement Shoppers</x:v>
      </x:c>
      <x:c r="D1274" s="60" t="n">
        <x:v>522.3</x:v>
      </x:c>
      <x:c r="E1274" s="50" t="n">
        <x:v>28</x:v>
      </x:c>
      <x:c r="F1274" s="46" t="n">
        <x:v>2</x:v>
      </x:c>
      <x:c r="G1274" s="46" t="n">
        <x:v>17</x:v>
      </x:c>
      <x:c r="H1274" s="61" t="n">
        <x:v>18.65357142857143</x:v>
      </x:c>
      <x:c r="I1274" s="52" t="n">
        <x:v>0.8214285714285714</x:v>
      </x:c>
      <x:c r="J1274" s="52" t="n">
        <x:v>0.580719892781926</x:v>
      </x:c>
      <x:c r="K1274" s="60" t="n">
        <x:v>465.83</x:v>
      </x:c>
      <x:c r="L1274" s="60" t="n">
        <x:v>56.47</x:v>
      </x:c>
      <x:c r="M1274" s="50" t="n">
        <x:v>23</x:v>
      </x:c>
      <x:c r="N1274" s="50" t="n">
        <x:v>5</x:v>
      </x:c>
      <x:c r="O1274" s="50" t="n">
        <x:v>59</x:v>
      </x:c>
      <x:c r="P1274" s="50" t="n">
        <x:v>14</x:v>
      </x:c>
    </x:row>
    <x:row r="1275" ht="36" customHeight="1">
      <x:c r="A1275" s="53" t="n">
        <x:v>1256</x:v>
      </x:c>
      <x:c r="B1275" s="53" t="n">
        <x:v>1</x:v>
      </x:c>
      <x:c r="C1275" s="40" t="str">
        <x:v>High-Value Frequent Shoppers</x:v>
      </x:c>
      <x:c r="D1275" s="60" t="n">
        <x:v>5274.32</x:v>
      </x:c>
      <x:c r="E1275" s="50" t="n">
        <x:v>170</x:v>
      </x:c>
      <x:c r="F1275" s="46" t="n">
        <x:v>7.083333333333333</x:v>
      </x:c>
      <x:c r="G1275" s="46" t="n">
        <x:v>5</x:v>
      </x:c>
      <x:c r="H1275" s="61" t="n">
        <x:v>31.02541176470588</x:v>
      </x:c>
      <x:c r="I1275" s="52" t="n">
        <x:v>0.8705882352941176</x:v>
      </x:c>
      <x:c r="J1275" s="52" t="n">
        <x:v>0.3507731802393483</x:v>
      </x:c>
      <x:c r="K1275" s="60" t="n">
        <x:v>4996.4</x:v>
      </x:c>
      <x:c r="L1275" s="60" t="n">
        <x:v>277.92</x:v>
      </x:c>
      <x:c r="M1275" s="50" t="n">
        <x:v>148</x:v>
      </x:c>
      <x:c r="N1275" s="50" t="n">
        <x:v>22</x:v>
      </x:c>
      <x:c r="O1275" s="50" t="n">
        <x:v>148</x:v>
      </x:c>
      <x:c r="P1275" s="50" t="n">
        <x:v>24</x:v>
      </x:c>
    </x:row>
    <x:row r="1276" ht="36" customHeight="1">
      <x:c r="A1276" s="53" t="n">
        <x:v>1257</x:v>
      </x:c>
      <x:c r="B1276" s="53" t="n">
        <x:v>2</x:v>
      </x:c>
      <x:c r="C1276" s="40" t="str">
        <x:v>Large-Basket Occasional Shoppers</x:v>
      </x:c>
      <x:c r="D1276" s="60" t="n">
        <x:v>1389.12</x:v>
      </x:c>
      <x:c r="E1276" s="50" t="n">
        <x:v>31</x:v>
      </x:c>
      <x:c r="F1276" s="46" t="n">
        <x:v>2.583333333333333</x:v>
      </x:c>
      <x:c r="G1276" s="46" t="n">
        <x:v>4</x:v>
      </x:c>
      <x:c r="H1276" s="61" t="n">
        <x:v>44.81032258064516</x:v>
      </x:c>
      <x:c r="I1276" s="52" t="n">
        <x:v>0.935483870967742</x:v>
      </x:c>
      <x:c r="J1276" s="52" t="n">
        <x:v>0.5550060469937802</x:v>
      </x:c>
      <x:c r="K1276" s="60" t="n">
        <x:v>1354.03</x:v>
      </x:c>
      <x:c r="L1276" s="60" t="n">
        <x:v>35.09</x:v>
      </x:c>
      <x:c r="M1276" s="50" t="n">
        <x:v>29</x:v>
      </x:c>
      <x:c r="N1276" s="50" t="n">
        <x:v>2</x:v>
      </x:c>
      <x:c r="O1276" s="50" t="n">
        <x:v>111</x:v>
      </x:c>
      <x:c r="P1276" s="50" t="n">
        <x:v>12</x:v>
      </x:c>
    </x:row>
    <x:row r="1277" ht="36" customHeight="1">
      <x:c r="A1277" s="53" t="n">
        <x:v>1258</x:v>
      </x:c>
      <x:c r="B1277" s="53" t="n">
        <x:v>1</x:v>
      </x:c>
      <x:c r="C1277" s="40" t="str">
        <x:v>High-Value Frequent Shoppers</x:v>
      </x:c>
      <x:c r="D1277" s="60" t="n">
        <x:v>3502.45</x:v>
      </x:c>
      <x:c r="E1277" s="50" t="n">
        <x:v>232</x:v>
      </x:c>
      <x:c r="F1277" s="46" t="n">
        <x:v>9.666666666666666</x:v>
      </x:c>
      <x:c r="G1277" s="46" t="n">
        <x:v>0</x:v>
      </x:c>
      <x:c r="H1277" s="61" t="n">
        <x:v>15.09676724137931</x:v>
      </x:c>
      <x:c r="I1277" s="52" t="n">
        <x:v>0.8275862068965517</x:v>
      </x:c>
      <x:c r="J1277" s="52" t="n">
        <x:v>0.4948393267569843</x:v>
      </x:c>
      <x:c r="K1277" s="60" t="n">
        <x:v>3187.74</x:v>
      </x:c>
      <x:c r="L1277" s="60" t="n">
        <x:v>314.71</x:v>
      </x:c>
      <x:c r="M1277" s="50" t="n">
        <x:v>192</x:v>
      </x:c>
      <x:c r="N1277" s="50" t="n">
        <x:v>40</x:v>
      </x:c>
      <x:c r="O1277" s="50" t="n">
        <x:v>128</x:v>
      </x:c>
      <x:c r="P1277" s="50" t="n">
        <x:v>24</x:v>
      </x:c>
    </x:row>
    <x:row r="1278" ht="36" customHeight="1">
      <x:c r="A1278" s="53" t="n">
        <x:v>1259</x:v>
      </x:c>
      <x:c r="B1278" s="53" t="n">
        <x:v>2</x:v>
      </x:c>
      <x:c r="C1278" s="40" t="str">
        <x:v>Large-Basket Occasional Shoppers</x:v>
      </x:c>
      <x:c r="D1278" s="60" t="n">
        <x:v>1163.62</x:v>
      </x:c>
      <x:c r="E1278" s="50" t="n">
        <x:v>32</x:v>
      </x:c>
      <x:c r="F1278" s="46" t="n">
        <x:v>1.777777777777778</x:v>
      </x:c>
      <x:c r="G1278" s="46" t="n">
        <x:v>29</x:v>
      </x:c>
      <x:c r="H1278" s="61" t="n">
        <x:v>36.363125</x:v>
      </x:c>
      <x:c r="I1278" s="52" t="n">
        <x:v>1</x:v>
      </x:c>
      <x:c r="J1278" s="52" t="n">
        <x:v>0.5133204998195287</x:v>
      </x:c>
      <x:c r="K1278" s="60" t="n">
        <x:v>1163.62</x:v>
      </x:c>
      <x:c r="L1278" s="60" t="n">
        <x:v>0</x:v>
      </x:c>
      <x:c r="M1278" s="50" t="n">
        <x:v>32</x:v>
      </x:c>
      <x:c r="N1278" s="50" t="n">
        <x:v>0</x:v>
      </x:c>
      <x:c r="O1278" s="50" t="n">
        <x:v>68</x:v>
      </x:c>
      <x:c r="P1278" s="50" t="n">
        <x:v>18</x:v>
      </x:c>
    </x:row>
    <x:row r="1279" ht="36" customHeight="1">
      <x:c r="A1279" s="53" t="n">
        <x:v>1260</x:v>
      </x:c>
      <x:c r="B1279" s="53" t="n">
        <x:v>1</x:v>
      </x:c>
      <x:c r="C1279" s="40" t="str">
        <x:v>High-Value Frequent Shoppers</x:v>
      </x:c>
      <x:c r="D1279" s="60" t="n">
        <x:v>11200.8</x:v>
      </x:c>
      <x:c r="E1279" s="50" t="n">
        <x:v>167</x:v>
      </x:c>
      <x:c r="F1279" s="46" t="n">
        <x:v>6.958333333333333</x:v>
      </x:c>
      <x:c r="G1279" s="46" t="n">
        <x:v>0</x:v>
      </x:c>
      <x:c r="H1279" s="61" t="n">
        <x:v>67.07065868263473</x:v>
      </x:c>
      <x:c r="I1279" s="52" t="n">
        <x:v>0.9281437125748502</x:v>
      </x:c>
      <x:c r="J1279" s="52" t="n">
        <x:v>0.2770605671023498</x:v>
      </x:c>
      <x:c r="K1279" s="60" t="n">
        <x:v>11091.83</x:v>
      </x:c>
      <x:c r="L1279" s="60" t="n">
        <x:v>108.97</x:v>
      </x:c>
      <x:c r="M1279" s="50" t="n">
        <x:v>155</x:v>
      </x:c>
      <x:c r="N1279" s="50" t="n">
        <x:v>12</x:v>
      </x:c>
      <x:c r="O1279" s="50" t="n">
        <x:v>192</x:v>
      </x:c>
      <x:c r="P1279" s="50" t="n">
        <x:v>24</x:v>
      </x:c>
    </x:row>
    <x:row r="1280" ht="36" customHeight="1">
      <x:c r="A1280" s="53" t="n">
        <x:v>1261</x:v>
      </x:c>
      <x:c r="B1280" s="53" t="n">
        <x:v>1</x:v>
      </x:c>
      <x:c r="C1280" s="40" t="str">
        <x:v>High-Value Frequent Shoppers</x:v>
      </x:c>
      <x:c r="D1280" s="60" t="n">
        <x:v>3777.98</x:v>
      </x:c>
      <x:c r="E1280" s="50" t="n">
        <x:v>228</x:v>
      </x:c>
      <x:c r="F1280" s="46" t="n">
        <x:v>9.913043478260867</x:v>
      </x:c>
      <x:c r="G1280" s="46" t="n">
        <x:v>6</x:v>
      </x:c>
      <x:c r="H1280" s="61" t="n">
        <x:v>16.570087719298243</x:v>
      </x:c>
      <x:c r="I1280" s="52" t="n">
        <x:v>0.7675438596491228</x:v>
      </x:c>
      <x:c r="J1280" s="52" t="n">
        <x:v>0.4782820449023022</x:v>
      </x:c>
      <x:c r="K1280" s="60" t="n">
        <x:v>3492.49</x:v>
      </x:c>
      <x:c r="L1280" s="60" t="n">
        <x:v>285.49</x:v>
      </x:c>
      <x:c r="M1280" s="50" t="n">
        <x:v>175</x:v>
      </x:c>
      <x:c r="N1280" s="50" t="n">
        <x:v>53</x:v>
      </x:c>
      <x:c r="O1280" s="50" t="n">
        <x:v>151</x:v>
      </x:c>
      <x:c r="P1280" s="50" t="n">
        <x:v>23</x:v>
      </x:c>
    </x:row>
    <x:row r="1281" ht="36" customHeight="1">
      <x:c r="A1281" s="53" t="n">
        <x:v>1262</x:v>
      </x:c>
      <x:c r="B1281" s="53" t="n">
        <x:v>2</x:v>
      </x:c>
      <x:c r="C1281" s="40" t="str">
        <x:v>Large-Basket Occasional Shoppers</x:v>
      </x:c>
      <x:c r="D1281" s="60" t="n">
        <x:v>769.72</x:v>
      </x:c>
      <x:c r="E1281" s="50" t="n">
        <x:v>29</x:v>
      </x:c>
      <x:c r="F1281" s="46" t="n">
        <x:v>2.9</x:v>
      </x:c>
      <x:c r="G1281" s="46" t="n">
        <x:v>47</x:v>
      </x:c>
      <x:c r="H1281" s="61" t="n">
        <x:v>26.54206896551724</x:v>
      </x:c>
      <x:c r="I1281" s="52" t="n">
        <x:v>0.8620689655172413</x:v>
      </x:c>
      <x:c r="J1281" s="52" t="n">
        <x:v>0.574078885828613</x:v>
      </x:c>
      <x:c r="K1281" s="60" t="n">
        <x:v>759.36</x:v>
      </x:c>
      <x:c r="L1281" s="60" t="n">
        <x:v>10.36</x:v>
      </x:c>
      <x:c r="M1281" s="50" t="n">
        <x:v>25</x:v>
      </x:c>
      <x:c r="N1281" s="50" t="n">
        <x:v>4</x:v>
      </x:c>
      <x:c r="O1281" s="50" t="n">
        <x:v>98</x:v>
      </x:c>
      <x:c r="P1281" s="50" t="n">
        <x:v>10</x:v>
      </x:c>
    </x:row>
    <x:row r="1282" ht="36" customHeight="1">
      <x:c r="A1282" s="53" t="n">
        <x:v>1263</x:v>
      </x:c>
      <x:c r="B1282" s="53" t="n">
        <x:v>1</x:v>
      </x:c>
      <x:c r="C1282" s="40" t="str">
        <x:v>High-Value Frequent Shoppers</x:v>
      </x:c>
      <x:c r="D1282" s="60" t="n">
        <x:v>5257.44</x:v>
      </x:c>
      <x:c r="E1282" s="50" t="n">
        <x:v>126</x:v>
      </x:c>
      <x:c r="F1282" s="46" t="n">
        <x:v>5.478260869565218</x:v>
      </x:c>
      <x:c r="G1282" s="46" t="n">
        <x:v>29</x:v>
      </x:c>
      <x:c r="H1282" s="61" t="n">
        <x:v>41.72571428571429</x:v>
      </x:c>
      <x:c r="I1282" s="52" t="n">
        <x:v>0.9126984126984126</x:v>
      </x:c>
      <x:c r="J1282" s="52" t="n">
        <x:v>0.3896344989196262</x:v>
      </x:c>
      <x:c r="K1282" s="60" t="n">
        <x:v>5094.3</x:v>
      </x:c>
      <x:c r="L1282" s="60" t="n">
        <x:v>163.14</x:v>
      </x:c>
      <x:c r="M1282" s="50" t="n">
        <x:v>115</x:v>
      </x:c>
      <x:c r="N1282" s="50" t="n">
        <x:v>11</x:v>
      </x:c>
      <x:c r="O1282" s="50" t="n">
        <x:v>154</x:v>
      </x:c>
      <x:c r="P1282" s="50" t="n">
        <x:v>23</x:v>
      </x:c>
    </x:row>
    <x:row r="1283" ht="36" customHeight="1">
      <x:c r="A1283" s="53" t="n">
        <x:v>1264</x:v>
      </x:c>
      <x:c r="B1283" s="53" t="n">
        <x:v>1</x:v>
      </x:c>
      <x:c r="C1283" s="40" t="str">
        <x:v>High-Value Frequent Shoppers</x:v>
      </x:c>
      <x:c r="D1283" s="60" t="n">
        <x:v>6458.78</x:v>
      </x:c>
      <x:c r="E1283" s="50" t="n">
        <x:v>132</x:v>
      </x:c>
      <x:c r="F1283" s="46" t="n">
        <x:v>5.739130434782608</x:v>
      </x:c>
      <x:c r="G1283" s="46" t="n">
        <x:v>10</x:v>
      </x:c>
      <x:c r="H1283" s="61" t="n">
        <x:v>48.93015151515152</x:v>
      </x:c>
      <x:c r="I1283" s="52" t="n">
        <x:v>0.8636363636363636</x:v>
      </x:c>
      <x:c r="J1283" s="52" t="n">
        <x:v>0.4938548766175655</x:v>
      </x:c>
      <x:c r="K1283" s="60" t="n">
        <x:v>6167.35</x:v>
      </x:c>
      <x:c r="L1283" s="60" t="n">
        <x:v>291.43</x:v>
      </x:c>
      <x:c r="M1283" s="50" t="n">
        <x:v>114</x:v>
      </x:c>
      <x:c r="N1283" s="50" t="n">
        <x:v>18</x:v>
      </x:c>
      <x:c r="O1283" s="50" t="n">
        <x:v>176</x:v>
      </x:c>
      <x:c r="P1283" s="50" t="n">
        <x:v>23</x:v>
      </x:c>
    </x:row>
    <x:row r="1284" ht="36" customHeight="1">
      <x:c r="A1284" s="53" t="n">
        <x:v>1265</x:v>
      </x:c>
      <x:c r="B1284" s="53" t="n">
        <x:v>2</x:v>
      </x:c>
      <x:c r="C1284" s="40" t="str">
        <x:v>Large-Basket Occasional Shoppers</x:v>
      </x:c>
      <x:c r="D1284" s="60" t="n">
        <x:v>1409.87</x:v>
      </x:c>
      <x:c r="E1284" s="50" t="n">
        <x:v>49</x:v>
      </x:c>
      <x:c r="F1284" s="46" t="n">
        <x:v>2.45</x:v>
      </x:c>
      <x:c r="G1284" s="46" t="n">
        <x:v>0</x:v>
      </x:c>
      <x:c r="H1284" s="61" t="n">
        <x:v>28.772857142857145</x:v>
      </x:c>
      <x:c r="I1284" s="52" t="n">
        <x:v>0.9387755102040816</x:v>
      </x:c>
      <x:c r="J1284" s="52" t="n">
        <x:v>0.5312050047167469</x:v>
      </x:c>
      <x:c r="K1284" s="60" t="n">
        <x:v>1391.74</x:v>
      </x:c>
      <x:c r="L1284" s="60" t="n">
        <x:v>18.13</x:v>
      </x:c>
      <x:c r="M1284" s="50" t="n">
        <x:v>46</x:v>
      </x:c>
      <x:c r="N1284" s="50" t="n">
        <x:v>3</x:v>
      </x:c>
      <x:c r="O1284" s="50" t="n">
        <x:v>103</x:v>
      </x:c>
      <x:c r="P1284" s="50" t="n">
        <x:v>20</x:v>
      </x:c>
    </x:row>
    <x:row r="1285" ht="36" customHeight="1">
      <x:c r="A1285" s="53" t="n">
        <x:v>1266</x:v>
      </x:c>
      <x:c r="B1285" s="53" t="n">
        <x:v>3</x:v>
      </x:c>
      <x:c r="C1285" s="40" t="str">
        <x:v>Low-Value Low-Engagement Shoppers</x:v>
      </x:c>
      <x:c r="D1285" s="60" t="n">
        <x:v>1657.11</x:v>
      </x:c>
      <x:c r="E1285" s="50" t="n">
        <x:v>115</x:v>
      </x:c>
      <x:c r="F1285" s="46" t="n">
        <x:v>5</x:v>
      </x:c>
      <x:c r="G1285" s="46" t="n">
        <x:v>11</x:v>
      </x:c>
      <x:c r="H1285" s="61" t="n">
        <x:v>14.409652173913043</x:v>
      </x:c>
      <x:c r="I1285" s="52" t="n">
        <x:v>0.7739130434782608</x:v>
      </x:c>
      <x:c r="J1285" s="52" t="n">
        <x:v>0.5197965132067273</x:v>
      </x:c>
      <x:c r="K1285" s="60" t="n">
        <x:v>1500.45</x:v>
      </x:c>
      <x:c r="L1285" s="60" t="n">
        <x:v>156.66</x:v>
      </x:c>
      <x:c r="M1285" s="50" t="n">
        <x:v>89</x:v>
      </x:c>
      <x:c r="N1285" s="50" t="n">
        <x:v>26</x:v>
      </x:c>
      <x:c r="O1285" s="50" t="n">
        <x:v>96</x:v>
      </x:c>
      <x:c r="P1285" s="50" t="n">
        <x:v>23</x:v>
      </x:c>
    </x:row>
    <x:row r="1286" ht="36" customHeight="1">
      <x:c r="A1286" s="53" t="n">
        <x:v>1267</x:v>
      </x:c>
      <x:c r="B1286" s="53" t="n">
        <x:v>2</x:v>
      </x:c>
      <x:c r="C1286" s="40" t="str">
        <x:v>Large-Basket Occasional Shoppers</x:v>
      </x:c>
      <x:c r="D1286" s="60" t="n">
        <x:v>1689.84</x:v>
      </x:c>
      <x:c r="E1286" s="50" t="n">
        <x:v>66</x:v>
      </x:c>
      <x:c r="F1286" s="46" t="n">
        <x:v>3</x:v>
      </x:c>
      <x:c r="G1286" s="46" t="n">
        <x:v>2</x:v>
      </x:c>
      <x:c r="H1286" s="61" t="n">
        <x:v>25.603636363636365</x:v>
      </x:c>
      <x:c r="I1286" s="52" t="n">
        <x:v>0.9545454545454544</x:v>
      </x:c>
      <x:c r="J1286" s="52" t="n">
        <x:v>0.3114910287364484</x:v>
      </x:c>
      <x:c r="K1286" s="60" t="n">
        <x:v>1628.11</x:v>
      </x:c>
      <x:c r="L1286" s="60" t="n">
        <x:v>61.73</x:v>
      </x:c>
      <x:c r="M1286" s="50" t="n">
        <x:v>63</x:v>
      </x:c>
      <x:c r="N1286" s="50" t="n">
        <x:v>3</x:v>
      </x:c>
      <x:c r="O1286" s="50" t="n">
        <x:v>129</x:v>
      </x:c>
      <x:c r="P1286" s="50" t="n">
        <x:v>22</x:v>
      </x:c>
    </x:row>
    <x:row r="1287" ht="36" customHeight="1">
      <x:c r="A1287" s="53" t="n">
        <x:v>1268</x:v>
      </x:c>
      <x:c r="B1287" s="53" t="n">
        <x:v>2</x:v>
      </x:c>
      <x:c r="C1287" s="40" t="str">
        <x:v>Large-Basket Occasional Shoppers</x:v>
      </x:c>
      <x:c r="D1287" s="60" t="n">
        <x:v>3013.56</x:v>
      </x:c>
      <x:c r="E1287" s="50" t="n">
        <x:v>71</x:v>
      </x:c>
      <x:c r="F1287" s="46" t="n">
        <x:v>3.2272727272727275</x:v>
      </x:c>
      <x:c r="G1287" s="46" t="n">
        <x:v>5</x:v>
      </x:c>
      <x:c r="H1287" s="61" t="n">
        <x:v>42.44450704225352</x:v>
      </x:c>
      <x:c r="I1287" s="52" t="n">
        <x:v>0.9014084507042252</x:v>
      </x:c>
      <x:c r="J1287" s="52" t="n">
        <x:v>0.4727498374016113</x:v>
      </x:c>
      <x:c r="K1287" s="60" t="n">
        <x:v>2937.01</x:v>
      </x:c>
      <x:c r="L1287" s="60" t="n">
        <x:v>76.55</x:v>
      </x:c>
      <x:c r="M1287" s="50" t="n">
        <x:v>64</x:v>
      </x:c>
      <x:c r="N1287" s="50" t="n">
        <x:v>7</x:v>
      </x:c>
      <x:c r="O1287" s="50" t="n">
        <x:v>133</x:v>
      </x:c>
      <x:c r="P1287" s="50" t="n">
        <x:v>22</x:v>
      </x:c>
    </x:row>
    <x:row r="1288" ht="36" customHeight="1">
      <x:c r="A1288" s="53" t="n">
        <x:v>1269</x:v>
      </x:c>
      <x:c r="B1288" s="53" t="n">
        <x:v>1</x:v>
      </x:c>
      <x:c r="C1288" s="40" t="str">
        <x:v>High-Value Frequent Shoppers</x:v>
      </x:c>
      <x:c r="D1288" s="60" t="n">
        <x:v>2595.17</x:v>
      </x:c>
      <x:c r="E1288" s="50" t="n">
        <x:v>109</x:v>
      </x:c>
      <x:c r="F1288" s="46" t="n">
        <x:v>4.954545454545455</x:v>
      </x:c>
      <x:c r="G1288" s="46" t="n">
        <x:v>0</x:v>
      </x:c>
      <x:c r="H1288" s="61" t="n">
        <x:v>23.808899082568807</x:v>
      </x:c>
      <x:c r="I1288" s="52" t="n">
        <x:v>0.9357798165137614</x:v>
      </x:c>
      <x:c r="J1288" s="52" t="n">
        <x:v>0.4737685777810316</x:v>
      </x:c>
      <x:c r="K1288" s="60" t="n">
        <x:v>2545.66</x:v>
      </x:c>
      <x:c r="L1288" s="60" t="n">
        <x:v>49.51</x:v>
      </x:c>
      <x:c r="M1288" s="50" t="n">
        <x:v>102</x:v>
      </x:c>
      <x:c r="N1288" s="50" t="n">
        <x:v>7</x:v>
      </x:c>
      <x:c r="O1288" s="50" t="n">
        <x:v>147</x:v>
      </x:c>
      <x:c r="P1288" s="50" t="n">
        <x:v>22</x:v>
      </x:c>
    </x:row>
    <x:row r="1289" ht="36" customHeight="1">
      <x:c r="A1289" s="53" t="n">
        <x:v>1270</x:v>
      </x:c>
      <x:c r="B1289" s="53" t="n">
        <x:v>2</x:v>
      </x:c>
      <x:c r="C1289" s="40" t="str">
        <x:v>Large-Basket Occasional Shoppers</x:v>
      </x:c>
      <x:c r="D1289" s="60" t="n">
        <x:v>3455.32</x:v>
      </x:c>
      <x:c r="E1289" s="50" t="n">
        <x:v>73</x:v>
      </x:c>
      <x:c r="F1289" s="46" t="n">
        <x:v>3.476190476190476</x:v>
      </x:c>
      <x:c r="G1289" s="46" t="n">
        <x:v>6</x:v>
      </x:c>
      <x:c r="H1289" s="61" t="n">
        <x:v>47.33315068493151</x:v>
      </x:c>
      <x:c r="I1289" s="52" t="n">
        <x:v>0.8630136986301369</x:v>
      </x:c>
      <x:c r="J1289" s="52" t="n">
        <x:v>0.2959841635506986</x:v>
      </x:c>
      <x:c r="K1289" s="60" t="n">
        <x:v>3295.6</x:v>
      </x:c>
      <x:c r="L1289" s="60" t="n">
        <x:v>159.72</x:v>
      </x:c>
      <x:c r="M1289" s="50" t="n">
        <x:v>63</x:v>
      </x:c>
      <x:c r="N1289" s="50" t="n">
        <x:v>10</x:v>
      </x:c>
      <x:c r="O1289" s="50" t="n">
        <x:v>149</x:v>
      </x:c>
      <x:c r="P1289" s="50" t="n">
        <x:v>21</x:v>
      </x:c>
    </x:row>
    <x:row r="1290" ht="36" customHeight="1">
      <x:c r="A1290" s="53" t="n">
        <x:v>1271</x:v>
      </x:c>
      <x:c r="B1290" s="53" t="n">
        <x:v>1</x:v>
      </x:c>
      <x:c r="C1290" s="40" t="str">
        <x:v>High-Value Frequent Shoppers</x:v>
      </x:c>
      <x:c r="D1290" s="60" t="n">
        <x:v>4155.52</x:v>
      </x:c>
      <x:c r="E1290" s="50" t="n">
        <x:v>131</x:v>
      </x:c>
      <x:c r="F1290" s="46" t="n">
        <x:v>6.238095238095238</x:v>
      </x:c>
      <x:c r="G1290" s="46" t="n">
        <x:v>1</x:v>
      </x:c>
      <x:c r="H1290" s="61" t="n">
        <x:v>31.721526717557246</x:v>
      </x:c>
      <x:c r="I1290" s="52" t="n">
        <x:v>0.916030534351145</x:v>
      </x:c>
      <x:c r="J1290" s="52" t="n">
        <x:v>0.4014226859695056</x:v>
      </x:c>
      <x:c r="K1290" s="60" t="n">
        <x:v>4027.08</x:v>
      </x:c>
      <x:c r="L1290" s="60" t="n">
        <x:v>128.44</x:v>
      </x:c>
      <x:c r="M1290" s="50" t="n">
        <x:v>120</x:v>
      </x:c>
      <x:c r="N1290" s="50" t="n">
        <x:v>11</x:v>
      </x:c>
      <x:c r="O1290" s="50" t="n">
        <x:v>127</x:v>
      </x:c>
      <x:c r="P1290" s="50" t="n">
        <x:v>21</x:v>
      </x:c>
    </x:row>
    <x:row r="1291" ht="36" customHeight="1">
      <x:c r="A1291" s="53" t="n">
        <x:v>1272</x:v>
      </x:c>
      <x:c r="B1291" s="53" t="n">
        <x:v>1</x:v>
      </x:c>
      <x:c r="C1291" s="40" t="str">
        <x:v>High-Value Frequent Shoppers</x:v>
      </x:c>
      <x:c r="D1291" s="60" t="n">
        <x:v>10019.45</x:v>
      </x:c>
      <x:c r="E1291" s="50" t="n">
        <x:v>256</x:v>
      </x:c>
      <x:c r="F1291" s="46" t="n">
        <x:v>11.130434782608695</x:v>
      </x:c>
      <x:c r="G1291" s="46" t="n">
        <x:v>0</x:v>
      </x:c>
      <x:c r="H1291" s="61" t="n">
        <x:v>39.1384765625</x:v>
      </x:c>
      <x:c r="I1291" s="52" t="n">
        <x:v>0.921875</x:v>
      </x:c>
      <x:c r="J1291" s="52" t="n">
        <x:v>0.3873715623113045</x:v>
      </x:c>
      <x:c r="K1291" s="60" t="n">
        <x:v>9759.1</x:v>
      </x:c>
      <x:c r="L1291" s="60" t="n">
        <x:v>260.35</x:v>
      </x:c>
      <x:c r="M1291" s="50" t="n">
        <x:v>236</x:v>
      </x:c>
      <x:c r="N1291" s="50" t="n">
        <x:v>20</x:v>
      </x:c>
      <x:c r="O1291" s="50" t="n">
        <x:v>197</x:v>
      </x:c>
      <x:c r="P1291" s="50" t="n">
        <x:v>23</x:v>
      </x:c>
    </x:row>
    <x:row r="1292" ht="36" customHeight="1">
      <x:c r="A1292" s="53" t="n">
        <x:v>1273</x:v>
      </x:c>
      <x:c r="B1292" s="53" t="n">
        <x:v>3</x:v>
      </x:c>
      <x:c r="C1292" s="40" t="str">
        <x:v>Low-Value Low-Engagement Shoppers</x:v>
      </x:c>
      <x:c r="D1292" s="60" t="n">
        <x:v>265.04</x:v>
      </x:c>
      <x:c r="E1292" s="50" t="n">
        <x:v>17</x:v>
      </x:c>
      <x:c r="F1292" s="46" t="n">
        <x:v>1.8888888888888888</x:v>
      </x:c>
      <x:c r="G1292" s="46" t="n">
        <x:v>5</x:v>
      </x:c>
      <x:c r="H1292" s="61" t="n">
        <x:v>15.590588235294115</x:v>
      </x:c>
      <x:c r="I1292" s="52" t="n">
        <x:v>0.588235294117647</x:v>
      </x:c>
      <x:c r="J1292" s="52" t="n">
        <x:v>0.2731663145185632</x:v>
      </x:c>
      <x:c r="K1292" s="60" t="n">
        <x:v>215.25</x:v>
      </x:c>
      <x:c r="L1292" s="60" t="n">
        <x:v>49.79</x:v>
      </x:c>
      <x:c r="M1292" s="50" t="n">
        <x:v>10</x:v>
      </x:c>
      <x:c r="N1292" s="50" t="n">
        <x:v>7</x:v>
      </x:c>
      <x:c r="O1292" s="50" t="n">
        <x:v>38</x:v>
      </x:c>
      <x:c r="P1292" s="50" t="n">
        <x:v>9</x:v>
      </x:c>
    </x:row>
    <x:row r="1293" ht="36" customHeight="1">
      <x:c r="A1293" s="53" t="n">
        <x:v>1274</x:v>
      </x:c>
      <x:c r="B1293" s="53" t="n">
        <x:v>1</x:v>
      </x:c>
      <x:c r="C1293" s="40" t="str">
        <x:v>High-Value Frequent Shoppers</x:v>
      </x:c>
      <x:c r="D1293" s="60" t="n">
        <x:v>12503.24</x:v>
      </x:c>
      <x:c r="E1293" s="50" t="n">
        <x:v>272</x:v>
      </x:c>
      <x:c r="F1293" s="46" t="n">
        <x:v>11.82608695652174</x:v>
      </x:c>
      <x:c r="G1293" s="46" t="n">
        <x:v>2</x:v>
      </x:c>
      <x:c r="H1293" s="61" t="n">
        <x:v>45.96779411764705</x:v>
      </x:c>
      <x:c r="I1293" s="52" t="n">
        <x:v>0.8051470588235294</x:v>
      </x:c>
      <x:c r="J1293" s="52" t="n">
        <x:v>0.2513260562862106</x:v>
      </x:c>
      <x:c r="K1293" s="60" t="n">
        <x:v>11632.2</x:v>
      </x:c>
      <x:c r="L1293" s="60" t="n">
        <x:v>871.04</x:v>
      </x:c>
      <x:c r="M1293" s="50" t="n">
        <x:v>219</x:v>
      </x:c>
      <x:c r="N1293" s="50" t="n">
        <x:v>53</x:v>
      </x:c>
      <x:c r="O1293" s="50" t="n">
        <x:v>153</x:v>
      </x:c>
      <x:c r="P1293" s="50" t="n">
        <x:v>23</x:v>
      </x:c>
    </x:row>
    <x:row r="1294" ht="36" customHeight="1">
      <x:c r="A1294" s="53" t="n">
        <x:v>1275</x:v>
      </x:c>
      <x:c r="B1294" s="53" t="n">
        <x:v>3</x:v>
      </x:c>
      <x:c r="C1294" s="40" t="str">
        <x:v>Low-Value Low-Engagement Shoppers</x:v>
      </x:c>
      <x:c r="D1294" s="60" t="n">
        <x:v>137.63</x:v>
      </x:c>
      <x:c r="E1294" s="50" t="n">
        <x:v>8</x:v>
      </x:c>
      <x:c r="F1294" s="46" t="n">
        <x:v>2</x:v>
      </x:c>
      <x:c r="G1294" s="46" t="n">
        <x:v>420</x:v>
      </x:c>
      <x:c r="H1294" s="61" t="n">
        <x:v>17.20375</x:v>
      </x:c>
      <x:c r="I1294" s="52" t="n">
        <x:v>0.875</x:v>
      </x:c>
      <x:c r="J1294" s="52" t="n">
        <x:v>0.4539707912519072</x:v>
      </x:c>
      <x:c r="K1294" s="60" t="n">
        <x:v>131.26</x:v>
      </x:c>
      <x:c r="L1294" s="60" t="n">
        <x:v>6.37</x:v>
      </x:c>
      <x:c r="M1294" s="50" t="n">
        <x:v>7</x:v>
      </x:c>
      <x:c r="N1294" s="50" t="n">
        <x:v>1</x:v>
      </x:c>
      <x:c r="O1294" s="50" t="n">
        <x:v>23</x:v>
      </x:c>
      <x:c r="P1294" s="50" t="n">
        <x:v>4</x:v>
      </x:c>
    </x:row>
    <x:row r="1295" ht="36" customHeight="1">
      <x:c r="A1295" s="53" t="n">
        <x:v>1276</x:v>
      </x:c>
      <x:c r="B1295" s="53" t="n">
        <x:v>3</x:v>
      </x:c>
      <x:c r="C1295" s="40" t="str">
        <x:v>Low-Value Low-Engagement Shoppers</x:v>
      </x:c>
      <x:c r="D1295" s="60" t="n">
        <x:v>623.45</x:v>
      </x:c>
      <x:c r="E1295" s="50" t="n">
        <x:v>20</x:v>
      </x:c>
      <x:c r="F1295" s="46" t="n">
        <x:v>2.2222222222222223</x:v>
      </x:c>
      <x:c r="G1295" s="46" t="n">
        <x:v>8</x:v>
      </x:c>
      <x:c r="H1295" s="61" t="n">
        <x:v>31.1725</x:v>
      </x:c>
      <x:c r="I1295" s="52" t="n">
        <x:v>0.75</x:v>
      </x:c>
      <x:c r="J1295" s="52" t="n">
        <x:v>0.3240676878659074</x:v>
      </x:c>
      <x:c r="K1295" s="60" t="n">
        <x:v>551.5</x:v>
      </x:c>
      <x:c r="L1295" s="60" t="n">
        <x:v>71.95</x:v>
      </x:c>
      <x:c r="M1295" s="50" t="n">
        <x:v>15</x:v>
      </x:c>
      <x:c r="N1295" s="50" t="n">
        <x:v>5</x:v>
      </x:c>
      <x:c r="O1295" s="50" t="n">
        <x:v>91</x:v>
      </x:c>
      <x:c r="P1295" s="50" t="n">
        <x:v>9</x:v>
      </x:c>
    </x:row>
    <x:row r="1296" ht="36" customHeight="1">
      <x:c r="A1296" s="53" t="n">
        <x:v>1277</x:v>
      </x:c>
      <x:c r="B1296" s="53" t="n">
        <x:v>1</x:v>
      </x:c>
      <x:c r="C1296" s="40" t="str">
        <x:v>High-Value Frequent Shoppers</x:v>
      </x:c>
      <x:c r="D1296" s="60" t="n">
        <x:v>5900.81</x:v>
      </x:c>
      <x:c r="E1296" s="50" t="n">
        <x:v>328</x:v>
      </x:c>
      <x:c r="F1296" s="46" t="n">
        <x:v>15.61904761904762</x:v>
      </x:c>
      <x:c r="G1296" s="46" t="n">
        <x:v>1</x:v>
      </x:c>
      <x:c r="H1296" s="61" t="n">
        <x:v>17.9902743902439</x:v>
      </x:c>
      <x:c r="I1296" s="52" t="n">
        <x:v>0.8079268292682926</x:v>
      </x:c>
      <x:c r="J1296" s="52" t="n">
        <x:v>0.5417205434508143</x:v>
      </x:c>
      <x:c r="K1296" s="60" t="n">
        <x:v>5468.18</x:v>
      </x:c>
      <x:c r="L1296" s="60" t="n">
        <x:v>432.63</x:v>
      </x:c>
      <x:c r="M1296" s="50" t="n">
        <x:v>265</x:v>
      </x:c>
      <x:c r="N1296" s="50" t="n">
        <x:v>63</x:v>
      </x:c>
      <x:c r="O1296" s="50" t="n">
        <x:v>180</x:v>
      </x:c>
      <x:c r="P1296" s="50" t="n">
        <x:v>21</x:v>
      </x:c>
    </x:row>
    <x:row r="1297" ht="36" customHeight="1">
      <x:c r="A1297" s="53" t="n">
        <x:v>1278</x:v>
      </x:c>
      <x:c r="B1297" s="53" t="n">
        <x:v>2</x:v>
      </x:c>
      <x:c r="C1297" s="40" t="str">
        <x:v>Large-Basket Occasional Shoppers</x:v>
      </x:c>
      <x:c r="D1297" s="60" t="n">
        <x:v>738.34</x:v>
      </x:c>
      <x:c r="E1297" s="50" t="n">
        <x:v>19</x:v>
      </x:c>
      <x:c r="F1297" s="46" t="n">
        <x:v>1.7272727272727273</x:v>
      </x:c>
      <x:c r="G1297" s="46" t="n">
        <x:v>6</x:v>
      </x:c>
      <x:c r="H1297" s="61" t="n">
        <x:v>38.86</x:v>
      </x:c>
      <x:c r="I1297" s="52" t="n">
        <x:v>0.9473684210526316</x:v>
      </x:c>
      <x:c r="J1297" s="52" t="n">
        <x:v>0.5615299184657474</x:v>
      </x:c>
      <x:c r="K1297" s="60" t="n">
        <x:v>714.86</x:v>
      </x:c>
      <x:c r="L1297" s="60" t="n">
        <x:v>23.48</x:v>
      </x:c>
      <x:c r="M1297" s="50" t="n">
        <x:v>18</x:v>
      </x:c>
      <x:c r="N1297" s="50" t="n">
        <x:v>1</x:v>
      </x:c>
      <x:c r="O1297" s="50" t="n">
        <x:v>79</x:v>
      </x:c>
      <x:c r="P1297" s="50" t="n">
        <x:v>11</x:v>
      </x:c>
    </x:row>
    <x:row r="1298" ht="36" customHeight="1">
      <x:c r="A1298" s="53" t="n">
        <x:v>1279</x:v>
      </x:c>
      <x:c r="B1298" s="53" t="n">
        <x:v>1</x:v>
      </x:c>
      <x:c r="C1298" s="40" t="str">
        <x:v>High-Value Frequent Shoppers</x:v>
      </x:c>
      <x:c r="D1298" s="60" t="n">
        <x:v>4793.38</x:v>
      </x:c>
      <x:c r="E1298" s="50" t="n">
        <x:v>199</x:v>
      </x:c>
      <x:c r="F1298" s="46" t="n">
        <x:v>9.045454545454543</x:v>
      </x:c>
      <x:c r="G1298" s="46" t="n">
        <x:v>2</x:v>
      </x:c>
      <x:c r="H1298" s="61" t="n">
        <x:v>24.087336683417085</x:v>
      </x:c>
      <x:c r="I1298" s="52" t="n">
        <x:v>0.8693467336683417</x:v>
      </x:c>
      <x:c r="J1298" s="52" t="n">
        <x:v>0.3951574880355824</x:v>
      </x:c>
      <x:c r="K1298" s="60" t="n">
        <x:v>4554.82</x:v>
      </x:c>
      <x:c r="L1298" s="60" t="n">
        <x:v>238.56</x:v>
      </x:c>
      <x:c r="M1298" s="50" t="n">
        <x:v>173</x:v>
      </x:c>
      <x:c r="N1298" s="50" t="n">
        <x:v>26</x:v>
      </x:c>
      <x:c r="O1298" s="50" t="n">
        <x:v>157</x:v>
      </x:c>
      <x:c r="P1298" s="50" t="n">
        <x:v>22</x:v>
      </x:c>
    </x:row>
    <x:row r="1299" ht="36" customHeight="1">
      <x:c r="A1299" s="53" t="n">
        <x:v>1280</x:v>
      </x:c>
      <x:c r="B1299" s="53" t="n">
        <x:v>3</x:v>
      </x:c>
      <x:c r="C1299" s="40" t="str">
        <x:v>Low-Value Low-Engagement Shoppers</x:v>
      </x:c>
      <x:c r="D1299" s="60" t="n">
        <x:v>427.63</x:v>
      </x:c>
      <x:c r="E1299" s="50" t="n">
        <x:v>24</x:v>
      </x:c>
      <x:c r="F1299" s="46" t="n">
        <x:v>2</x:v>
      </x:c>
      <x:c r="G1299" s="46" t="n">
        <x:v>22</x:v>
      </x:c>
      <x:c r="H1299" s="61" t="n">
        <x:v>17.817916666666665</x:v>
      </x:c>
      <x:c r="I1299" s="52" t="n">
        <x:v>0.8333333333333333</x:v>
      </x:c>
      <x:c r="J1299" s="52" t="n">
        <x:v>0.6843065266702523</x:v>
      </x:c>
      <x:c r="K1299" s="60" t="n">
        <x:v>373.51</x:v>
      </x:c>
      <x:c r="L1299" s="60" t="n">
        <x:v>54.12</x:v>
      </x:c>
      <x:c r="M1299" s="50" t="n">
        <x:v>20</x:v>
      </x:c>
      <x:c r="N1299" s="50" t="n">
        <x:v>4</x:v>
      </x:c>
      <x:c r="O1299" s="50" t="n">
        <x:v>42</x:v>
      </x:c>
      <x:c r="P1299" s="50" t="n">
        <x:v>12</x:v>
      </x:c>
    </x:row>
    <x:row r="1300" ht="36" customHeight="1">
      <x:c r="A1300" s="53" t="n">
        <x:v>1281</x:v>
      </x:c>
      <x:c r="B1300" s="53" t="n">
        <x:v>3</x:v>
      </x:c>
      <x:c r="C1300" s="40" t="str">
        <x:v>Low-Value Low-Engagement Shoppers</x:v>
      </x:c>
      <x:c r="D1300" s="60" t="n">
        <x:v>788.4</x:v>
      </x:c>
      <x:c r="E1300" s="50" t="n">
        <x:v>38</x:v>
      </x:c>
      <x:c r="F1300" s="46" t="n">
        <x:v>3.166666666666667</x:v>
      </x:c>
      <x:c r="G1300" s="46" t="n">
        <x:v>16</x:v>
      </x:c>
      <x:c r="H1300" s="61" t="n">
        <x:v>20.74736842105263</x:v>
      </x:c>
      <x:c r="I1300" s="52" t="n">
        <x:v>0.8157894736842105</x:v>
      </x:c>
      <x:c r="J1300" s="52" t="n">
        <x:v>0.4595002536783358</x:v>
      </x:c>
      <x:c r="K1300" s="60" t="n">
        <x:v>688.16</x:v>
      </x:c>
      <x:c r="L1300" s="60" t="n">
        <x:v>100.24</x:v>
      </x:c>
      <x:c r="M1300" s="50" t="n">
        <x:v>31</x:v>
      </x:c>
      <x:c r="N1300" s="50" t="n">
        <x:v>7</x:v>
      </x:c>
      <x:c r="O1300" s="50" t="n">
        <x:v>80</x:v>
      </x:c>
      <x:c r="P1300" s="50" t="n">
        <x:v>12</x:v>
      </x:c>
    </x:row>
    <x:row r="1301" ht="36" customHeight="1">
      <x:c r="A1301" s="53" t="n">
        <x:v>1282</x:v>
      </x:c>
      <x:c r="B1301" s="53" t="n">
        <x:v>1</x:v>
      </x:c>
      <x:c r="C1301" s="40" t="str">
        <x:v>High-Value Frequent Shoppers</x:v>
      </x:c>
      <x:c r="D1301" s="60" t="n">
        <x:v>5957.48</x:v>
      </x:c>
      <x:c r="E1301" s="50" t="n">
        <x:v>201</x:v>
      </x:c>
      <x:c r="F1301" s="46" t="n">
        <x:v>10.05</x:v>
      </x:c>
      <x:c r="G1301" s="46" t="n">
        <x:v>19</x:v>
      </x:c>
      <x:c r="H1301" s="61" t="n">
        <x:v>29.639203980099506</x:v>
      </x:c>
      <x:c r="I1301" s="52" t="n">
        <x:v>0.8109452736318407</x:v>
      </x:c>
      <x:c r="J1301" s="52" t="n">
        <x:v>0.4736448968355747</x:v>
      </x:c>
      <x:c r="K1301" s="60" t="n">
        <x:v>5715.07</x:v>
      </x:c>
      <x:c r="L1301" s="60" t="n">
        <x:v>242.41</x:v>
      </x:c>
      <x:c r="M1301" s="50" t="n">
        <x:v>163</x:v>
      </x:c>
      <x:c r="N1301" s="50" t="n">
        <x:v>38</x:v>
      </x:c>
      <x:c r="O1301" s="50" t="n">
        <x:v>158</x:v>
      </x:c>
      <x:c r="P1301" s="50" t="n">
        <x:v>20</x:v>
      </x:c>
    </x:row>
    <x:row r="1302" ht="36" customHeight="1">
      <x:c r="A1302" s="53" t="n">
        <x:v>1283</x:v>
      </x:c>
      <x:c r="B1302" s="53" t="n">
        <x:v>3</x:v>
      </x:c>
      <x:c r="C1302" s="40" t="str">
        <x:v>Low-Value Low-Engagement Shoppers</x:v>
      </x:c>
      <x:c r="D1302" s="60" t="n">
        <x:v>332.46</x:v>
      </x:c>
      <x:c r="E1302" s="50" t="n">
        <x:v>49</x:v>
      </x:c>
      <x:c r="F1302" s="46" t="n">
        <x:v>2.45</x:v>
      </x:c>
      <x:c r="G1302" s="46" t="n">
        <x:v>3</x:v>
      </x:c>
      <x:c r="H1302" s="61" t="n">
        <x:v>6.784897959183674</x:v>
      </x:c>
      <x:c r="I1302" s="52" t="n">
        <x:v>0.7755102040816326</x:v>
      </x:c>
      <x:c r="J1302" s="52" t="n">
        <x:v>0.4676051254286229</x:v>
      </x:c>
      <x:c r="K1302" s="60" t="n">
        <x:v>288.06</x:v>
      </x:c>
      <x:c r="L1302" s="60" t="n">
        <x:v>44.4</x:v>
      </x:c>
      <x:c r="M1302" s="50" t="n">
        <x:v>38</x:v>
      </x:c>
      <x:c r="N1302" s="50" t="n">
        <x:v>11</x:v>
      </x:c>
      <x:c r="O1302" s="50" t="n">
        <x:v>68</x:v>
      </x:c>
      <x:c r="P1302" s="50" t="n">
        <x:v>20</x:v>
      </x:c>
    </x:row>
    <x:row r="1303" ht="36" customHeight="1">
      <x:c r="A1303" s="53" t="n">
        <x:v>1284</x:v>
      </x:c>
      <x:c r="B1303" s="53" t="n">
        <x:v>1</x:v>
      </x:c>
      <x:c r="C1303" s="40" t="str">
        <x:v>High-Value Frequent Shoppers</x:v>
      </x:c>
      <x:c r="D1303" s="60" t="n">
        <x:v>1974.49</x:v>
      </x:c>
      <x:c r="E1303" s="50" t="n">
        <x:v>160</x:v>
      </x:c>
      <x:c r="F1303" s="46" t="n">
        <x:v>7.6190476190476195</x:v>
      </x:c>
      <x:c r="G1303" s="46" t="n">
        <x:v>1</x:v>
      </x:c>
      <x:c r="H1303" s="61" t="n">
        <x:v>12.3405625</x:v>
      </x:c>
      <x:c r="I1303" s="52" t="n">
        <x:v>0.7625</x:v>
      </x:c>
      <x:c r="J1303" s="52" t="n">
        <x:v>0.4125065206711606</x:v>
      </x:c>
      <x:c r="K1303" s="60" t="n">
        <x:v>1804.79</x:v>
      </x:c>
      <x:c r="L1303" s="60" t="n">
        <x:v>169.7</x:v>
      </x:c>
      <x:c r="M1303" s="50" t="n">
        <x:v>122</x:v>
      </x:c>
      <x:c r="N1303" s="50" t="n">
        <x:v>38</x:v>
      </x:c>
      <x:c r="O1303" s="50" t="n">
        <x:v>101</x:v>
      </x:c>
      <x:c r="P1303" s="50" t="n">
        <x:v>21</x:v>
      </x:c>
    </x:row>
    <x:row r="1304" ht="36" customHeight="1">
      <x:c r="A1304" s="53" t="n">
        <x:v>1285</x:v>
      </x:c>
      <x:c r="B1304" s="53" t="n">
        <x:v>1</x:v>
      </x:c>
      <x:c r="C1304" s="40" t="str">
        <x:v>High-Value Frequent Shoppers</x:v>
      </x:c>
      <x:c r="D1304" s="60" t="n">
        <x:v>5048.59</x:v>
      </x:c>
      <x:c r="E1304" s="50" t="n">
        <x:v>137</x:v>
      </x:c>
      <x:c r="F1304" s="46" t="n">
        <x:v>6.227272727272728</x:v>
      </x:c>
      <x:c r="G1304" s="46" t="n">
        <x:v>2</x:v>
      </x:c>
      <x:c r="H1304" s="61" t="n">
        <x:v>36.85102189781021</x:v>
      </x:c>
      <x:c r="I1304" s="52" t="n">
        <x:v>0.9562043795620436</x:v>
      </x:c>
      <x:c r="J1304" s="52" t="n">
        <x:v>0.6379286097702526</x:v>
      </x:c>
      <x:c r="K1304" s="60" t="n">
        <x:v>4998.67</x:v>
      </x:c>
      <x:c r="L1304" s="60" t="n">
        <x:v>49.92</x:v>
      </x:c>
      <x:c r="M1304" s="50" t="n">
        <x:v>131</x:v>
      </x:c>
      <x:c r="N1304" s="50" t="n">
        <x:v>6</x:v>
      </x:c>
      <x:c r="O1304" s="50" t="n">
        <x:v>147</x:v>
      </x:c>
      <x:c r="P1304" s="50" t="n">
        <x:v>22</x:v>
      </x:c>
    </x:row>
    <x:row r="1305" ht="36" customHeight="1">
      <x:c r="A1305" s="53" t="n">
        <x:v>1286</x:v>
      </x:c>
      <x:c r="B1305" s="53" t="n">
        <x:v>3</x:v>
      </x:c>
      <x:c r="C1305" s="40" t="str">
        <x:v>Low-Value Low-Engagement Shoppers</x:v>
      </x:c>
      <x:c r="D1305" s="60" t="n">
        <x:v>595</x:v>
      </x:c>
      <x:c r="E1305" s="50" t="n">
        <x:v>30</x:v>
      </x:c>
      <x:c r="F1305" s="46" t="n">
        <x:v>2.307692307692308</x:v>
      </x:c>
      <x:c r="G1305" s="46" t="n">
        <x:v>103</x:v>
      </x:c>
      <x:c r="H1305" s="61" t="n">
        <x:v>19.83333333333333</x:v>
      </x:c>
      <x:c r="I1305" s="52" t="n">
        <x:v>0.7333333333333333</x:v>
      </x:c>
      <x:c r="J1305" s="52" t="n">
        <x:v>0.4282521008403361</x:v>
      </x:c>
      <x:c r="K1305" s="60" t="n">
        <x:v>426.33</x:v>
      </x:c>
      <x:c r="L1305" s="60" t="n">
        <x:v>168.67</x:v>
      </x:c>
      <x:c r="M1305" s="50" t="n">
        <x:v>22</x:v>
      </x:c>
      <x:c r="N1305" s="50" t="n">
        <x:v>8</x:v>
      </x:c>
      <x:c r="O1305" s="50" t="n">
        <x:v>76</x:v>
      </x:c>
      <x:c r="P1305" s="50" t="n">
        <x:v>13</x:v>
      </x:c>
    </x:row>
    <x:row r="1306" ht="36" customHeight="1">
      <x:c r="A1306" s="53" t="n">
        <x:v>1287</x:v>
      </x:c>
      <x:c r="B1306" s="53" t="n">
        <x:v>1</x:v>
      </x:c>
      <x:c r="C1306" s="40" t="str">
        <x:v>High-Value Frequent Shoppers</x:v>
      </x:c>
      <x:c r="D1306" s="60" t="n">
        <x:v>2818</x:v>
      </x:c>
      <x:c r="E1306" s="50" t="n">
        <x:v>158</x:v>
      </x:c>
      <x:c r="F1306" s="46" t="n">
        <x:v>6.869565217391304</x:v>
      </x:c>
      <x:c r="G1306" s="46" t="n">
        <x:v>12</x:v>
      </x:c>
      <x:c r="H1306" s="61" t="n">
        <x:v>17.835443037974684</x:v>
      </x:c>
      <x:c r="I1306" s="52" t="n">
        <x:v>0.8860759493670886</x:v>
      </x:c>
      <x:c r="J1306" s="52" t="n">
        <x:v>0.4363413768630234</x:v>
      </x:c>
      <x:c r="K1306" s="60" t="n">
        <x:v>2718.86</x:v>
      </x:c>
      <x:c r="L1306" s="60" t="n">
        <x:v>99.14</x:v>
      </x:c>
      <x:c r="M1306" s="50" t="n">
        <x:v>140</x:v>
      </x:c>
      <x:c r="N1306" s="50" t="n">
        <x:v>18</x:v>
      </x:c>
      <x:c r="O1306" s="50" t="n">
        <x:v>126</x:v>
      </x:c>
      <x:c r="P1306" s="50" t="n">
        <x:v>23</x:v>
      </x:c>
    </x:row>
    <x:row r="1307" ht="36" customHeight="1">
      <x:c r="A1307" s="53" t="n">
        <x:v>1288</x:v>
      </x:c>
      <x:c r="B1307" s="53" t="n">
        <x:v>2</x:v>
      </x:c>
      <x:c r="C1307" s="40" t="str">
        <x:v>Large-Basket Occasional Shoppers</x:v>
      </x:c>
      <x:c r="D1307" s="60" t="n">
        <x:v>1896.5</x:v>
      </x:c>
      <x:c r="E1307" s="50" t="n">
        <x:v>54</x:v>
      </x:c>
      <x:c r="F1307" s="46" t="n">
        <x:v>2.7</x:v>
      </x:c>
      <x:c r="G1307" s="46" t="n">
        <x:v>3</x:v>
      </x:c>
      <x:c r="H1307" s="61" t="n">
        <x:v>35.12037037037037</x:v>
      </x:c>
      <x:c r="I1307" s="52" t="n">
        <x:v>0.7777777777777777</x:v>
      </x:c>
      <x:c r="J1307" s="52" t="n">
        <x:v>0.5132243606643817</x:v>
      </x:c>
      <x:c r="K1307" s="60" t="n">
        <x:v>1826.92</x:v>
      </x:c>
      <x:c r="L1307" s="60" t="n">
        <x:v>69.58</x:v>
      </x:c>
      <x:c r="M1307" s="50" t="n">
        <x:v>42</x:v>
      </x:c>
      <x:c r="N1307" s="50" t="n">
        <x:v>12</x:v>
      </x:c>
      <x:c r="O1307" s="50" t="n">
        <x:v>125</x:v>
      </x:c>
      <x:c r="P1307" s="50" t="n">
        <x:v>20</x:v>
      </x:c>
    </x:row>
    <x:row r="1308" ht="36" customHeight="1">
      <x:c r="A1308" s="53" t="n">
        <x:v>1289</x:v>
      </x:c>
      <x:c r="B1308" s="53" t="n">
        <x:v>3</x:v>
      </x:c>
      <x:c r="C1308" s="40" t="str">
        <x:v>Low-Value Low-Engagement Shoppers</x:v>
      </x:c>
      <x:c r="D1308" s="60" t="n">
        <x:v>1512.08</x:v>
      </x:c>
      <x:c r="E1308" s="50" t="n">
        <x:v>524</x:v>
      </x:c>
      <x:c r="F1308" s="46" t="n">
        <x:v>21.83333333333333</x:v>
      </x:c>
      <x:c r="G1308" s="46" t="n">
        <x:v>1</x:v>
      </x:c>
      <x:c r="H1308" s="61" t="n">
        <x:v>2.885648854961832</x:v>
      </x:c>
      <x:c r="I1308" s="52" t="n">
        <x:v>0.6030534351145038</x:v>
      </x:c>
      <x:c r="J1308" s="52" t="n">
        <x:v>0.4761322152267075</x:v>
      </x:c>
      <x:c r="K1308" s="60" t="n">
        <x:v>1011.81</x:v>
      </x:c>
      <x:c r="L1308" s="60" t="n">
        <x:v>500.27</x:v>
      </x:c>
      <x:c r="M1308" s="50" t="n">
        <x:v>316</x:v>
      </x:c>
      <x:c r="N1308" s="50" t="n">
        <x:v>208</x:v>
      </x:c>
      <x:c r="O1308" s="50" t="n">
        <x:v>76</x:v>
      </x:c>
      <x:c r="P1308" s="50" t="n">
        <x:v>24</x:v>
      </x:c>
    </x:row>
    <x:row r="1309" ht="36" customHeight="1">
      <x:c r="A1309" s="53" t="n">
        <x:v>1290</x:v>
      </x:c>
      <x:c r="B1309" s="53" t="n">
        <x:v>2</x:v>
      </x:c>
      <x:c r="C1309" s="40" t="str">
        <x:v>Large-Basket Occasional Shoppers</x:v>
      </x:c>
      <x:c r="D1309" s="60" t="n">
        <x:v>1060.24</x:v>
      </x:c>
      <x:c r="E1309" s="50" t="n">
        <x:v>34</x:v>
      </x:c>
      <x:c r="F1309" s="46" t="n">
        <x:v>2.2666666666666666</x:v>
      </x:c>
      <x:c r="G1309" s="46" t="n">
        <x:v>9</x:v>
      </x:c>
      <x:c r="H1309" s="61" t="n">
        <x:v>31.183529411764702</x:v>
      </x:c>
      <x:c r="I1309" s="52" t="n">
        <x:v>0.8529411764705882</x:v>
      </x:c>
      <x:c r="J1309" s="52" t="n">
        <x:v>0.517345129404663</x:v>
      </x:c>
      <x:c r="K1309" s="60" t="n">
        <x:v>1035.4</x:v>
      </x:c>
      <x:c r="L1309" s="60" t="n">
        <x:v>24.84</x:v>
      </x:c>
      <x:c r="M1309" s="50" t="n">
        <x:v>29</x:v>
      </x:c>
      <x:c r="N1309" s="50" t="n">
        <x:v>5</x:v>
      </x:c>
      <x:c r="O1309" s="50" t="n">
        <x:v>92</x:v>
      </x:c>
      <x:c r="P1309" s="50" t="n">
        <x:v>15</x:v>
      </x:c>
    </x:row>
    <x:row r="1310" ht="36" customHeight="1">
      <x:c r="A1310" s="53" t="n">
        <x:v>1291</x:v>
      </x:c>
      <x:c r="B1310" s="53" t="n">
        <x:v>1</x:v>
      </x:c>
      <x:c r="C1310" s="40" t="str">
        <x:v>High-Value Frequent Shoppers</x:v>
      </x:c>
      <x:c r="D1310" s="60" t="n">
        <x:v>3290.01</x:v>
      </x:c>
      <x:c r="E1310" s="50" t="n">
        <x:v>103</x:v>
      </x:c>
      <x:c r="F1310" s="46" t="n">
        <x:v>4.478260869565218</x:v>
      </x:c>
      <x:c r="G1310" s="46" t="n">
        <x:v>4</x:v>
      </x:c>
      <x:c r="H1310" s="61" t="n">
        <x:v>31.94184466019417</x:v>
      </x:c>
      <x:c r="I1310" s="52" t="n">
        <x:v>0.9223300970873786</x:v>
      </x:c>
      <x:c r="J1310" s="52" t="n">
        <x:v>0.4633967677909793</x:v>
      </x:c>
      <x:c r="K1310" s="60" t="n">
        <x:v>3183.31</x:v>
      </x:c>
      <x:c r="L1310" s="60" t="n">
        <x:v>106.7</x:v>
      </x:c>
      <x:c r="M1310" s="50" t="n">
        <x:v>95</x:v>
      </x:c>
      <x:c r="N1310" s="50" t="n">
        <x:v>8</x:v>
      </x:c>
      <x:c r="O1310" s="50" t="n">
        <x:v>135</x:v>
      </x:c>
      <x:c r="P1310" s="50" t="n">
        <x:v>23</x:v>
      </x:c>
    </x:row>
    <x:row r="1311" ht="36" customHeight="1">
      <x:c r="A1311" s="53" t="n">
        <x:v>1292</x:v>
      </x:c>
      <x:c r="B1311" s="53" t="n">
        <x:v>3</x:v>
      </x:c>
      <x:c r="C1311" s="40" t="str">
        <x:v>Low-Value Low-Engagement Shoppers</x:v>
      </x:c>
      <x:c r="D1311" s="60" t="n">
        <x:v>520.32</x:v>
      </x:c>
      <x:c r="E1311" s="50" t="n">
        <x:v>27</x:v>
      </x:c>
      <x:c r="F1311" s="46" t="n">
        <x:v>1.5882352941176472</x:v>
      </x:c>
      <x:c r="G1311" s="46" t="n">
        <x:v>15</x:v>
      </x:c>
      <x:c r="H1311" s="61" t="n">
        <x:v>19.27111111111111</x:v>
      </x:c>
      <x:c r="I1311" s="52" t="n">
        <x:v>0.7037037037037037</x:v>
      </x:c>
      <x:c r="J1311" s="52" t="n">
        <x:v>0.3591251537515375</x:v>
      </x:c>
      <x:c r="K1311" s="60" t="n">
        <x:v>467.73</x:v>
      </x:c>
      <x:c r="L1311" s="60" t="n">
        <x:v>52.59</x:v>
      </x:c>
      <x:c r="M1311" s="50" t="n">
        <x:v>19</x:v>
      </x:c>
      <x:c r="N1311" s="50" t="n">
        <x:v>8</x:v>
      </x:c>
      <x:c r="O1311" s="50" t="n">
        <x:v>48</x:v>
      </x:c>
      <x:c r="P1311" s="50" t="n">
        <x:v>17</x:v>
      </x:c>
    </x:row>
    <x:row r="1312" ht="36" customHeight="1">
      <x:c r="A1312" s="53" t="n">
        <x:v>1293</x:v>
      </x:c>
      <x:c r="B1312" s="53" t="n">
        <x:v>1</x:v>
      </x:c>
      <x:c r="C1312" s="40" t="str">
        <x:v>High-Value Frequent Shoppers</x:v>
      </x:c>
      <x:c r="D1312" s="60" t="n">
        <x:v>2762.8</x:v>
      </x:c>
      <x:c r="E1312" s="50" t="n">
        <x:v>175</x:v>
      </x:c>
      <x:c r="F1312" s="46" t="n">
        <x:v>7.954545454545454</x:v>
      </x:c>
      <x:c r="G1312" s="46" t="n">
        <x:v>1</x:v>
      </x:c>
      <x:c r="H1312" s="61" t="n">
        <x:v>15.787428571428572</x:v>
      </x:c>
      <x:c r="I1312" s="52" t="n">
        <x:v>0.8514285714285714</x:v>
      </x:c>
      <x:c r="J1312" s="52" t="n">
        <x:v>0.3410634139278992</x:v>
      </x:c>
      <x:c r="K1312" s="60" t="n">
        <x:v>2615.89</x:v>
      </x:c>
      <x:c r="L1312" s="60" t="n">
        <x:v>146.91</x:v>
      </x:c>
      <x:c r="M1312" s="50" t="n">
        <x:v>149</x:v>
      </x:c>
      <x:c r="N1312" s="50" t="n">
        <x:v>26</x:v>
      </x:c>
      <x:c r="O1312" s="50" t="n">
        <x:v>99</x:v>
      </x:c>
      <x:c r="P1312" s="50" t="n">
        <x:v>22</x:v>
      </x:c>
    </x:row>
    <x:row r="1313" ht="36" customHeight="1">
      <x:c r="A1313" s="53" t="n">
        <x:v>1294</x:v>
      </x:c>
      <x:c r="B1313" s="53" t="n">
        <x:v>2</x:v>
      </x:c>
      <x:c r="C1313" s="40" t="str">
        <x:v>Large-Basket Occasional Shoppers</x:v>
      </x:c>
      <x:c r="D1313" s="60" t="n">
        <x:v>4829.32</x:v>
      </x:c>
      <x:c r="E1313" s="50" t="n">
        <x:v>56</x:v>
      </x:c>
      <x:c r="F1313" s="46" t="n">
        <x:v>2.666666666666667</x:v>
      </x:c>
      <x:c r="G1313" s="46" t="n">
        <x:v>2</x:v>
      </x:c>
      <x:c r="H1313" s="61" t="n">
        <x:v>86.23785714285714</x:v>
      </x:c>
      <x:c r="I1313" s="52" t="n">
        <x:v>0.9821428571428572</x:v>
      </x:c>
      <x:c r="J1313" s="52" t="n">
        <x:v>0.4104242419222582</x:v>
      </x:c>
      <x:c r="K1313" s="60" t="n">
        <x:v>4812.83</x:v>
      </x:c>
      <x:c r="L1313" s="60" t="n">
        <x:v>16.49</x:v>
      </x:c>
      <x:c r="M1313" s="50" t="n">
        <x:v>55</x:v>
      </x:c>
      <x:c r="N1313" s="50" t="n">
        <x:v>1</x:v>
      </x:c>
      <x:c r="O1313" s="50" t="n">
        <x:v>166</x:v>
      </x:c>
      <x:c r="P1313" s="50" t="n">
        <x:v>21</x:v>
      </x:c>
    </x:row>
    <x:row r="1314" ht="36" customHeight="1">
      <x:c r="A1314" s="53" t="n">
        <x:v>1295</x:v>
      </x:c>
      <x:c r="B1314" s="53" t="n">
        <x:v>2</x:v>
      </x:c>
      <x:c r="C1314" s="40" t="str">
        <x:v>Large-Basket Occasional Shoppers</x:v>
      </x:c>
      <x:c r="D1314" s="60" t="n">
        <x:v>1637.41</x:v>
      </x:c>
      <x:c r="E1314" s="50" t="n">
        <x:v>68</x:v>
      </x:c>
      <x:c r="F1314" s="46" t="n">
        <x:v>4</x:v>
      </x:c>
      <x:c r="G1314" s="46" t="n">
        <x:v>3</x:v>
      </x:c>
      <x:c r="H1314" s="61" t="n">
        <x:v>24.079558823529407</x:v>
      </x:c>
      <x:c r="I1314" s="52" t="n">
        <x:v>0.7647058823529411</x:v>
      </x:c>
      <x:c r="J1314" s="52" t="n">
        <x:v>0.4874344238767321</x:v>
      </x:c>
      <x:c r="K1314" s="60" t="n">
        <x:v>1486.28</x:v>
      </x:c>
      <x:c r="L1314" s="60" t="n">
        <x:v>151.13</x:v>
      </x:c>
      <x:c r="M1314" s="50" t="n">
        <x:v>52</x:v>
      </x:c>
      <x:c r="N1314" s="50" t="n">
        <x:v>16</x:v>
      </x:c>
      <x:c r="O1314" s="50" t="n">
        <x:v>102</x:v>
      </x:c>
      <x:c r="P1314" s="50" t="n">
        <x:v>17</x:v>
      </x:c>
    </x:row>
    <x:row r="1315" ht="36" customHeight="1">
      <x:c r="A1315" s="53" t="n">
        <x:v>1296</x:v>
      </x:c>
      <x:c r="B1315" s="53" t="n">
        <x:v>2</x:v>
      </x:c>
      <x:c r="C1315" s="40" t="str">
        <x:v>Large-Basket Occasional Shoppers</x:v>
      </x:c>
      <x:c r="D1315" s="60" t="n">
        <x:v>2124.43</x:v>
      </x:c>
      <x:c r="E1315" s="50" t="n">
        <x:v>80</x:v>
      </x:c>
      <x:c r="F1315" s="46" t="n">
        <x:v>3.6363636363636367</x:v>
      </x:c>
      <x:c r="G1315" s="46" t="n">
        <x:v>3</x:v>
      </x:c>
      <x:c r="H1315" s="61" t="n">
        <x:v>26.555375</x:v>
      </x:c>
      <x:c r="I1315" s="52" t="n">
        <x:v>0.9875</x:v>
      </x:c>
      <x:c r="J1315" s="52" t="n">
        <x:v>0.6139811620058085</x:v>
      </x:c>
      <x:c r="K1315" s="60" t="n">
        <x:v>2117.22</x:v>
      </x:c>
      <x:c r="L1315" s="60" t="n">
        <x:v>7.21</x:v>
      </x:c>
      <x:c r="M1315" s="50" t="n">
        <x:v>79</x:v>
      </x:c>
      <x:c r="N1315" s="50" t="n">
        <x:v>1</x:v>
      </x:c>
      <x:c r="O1315" s="50" t="n">
        <x:v>86</x:v>
      </x:c>
      <x:c r="P1315" s="50" t="n">
        <x:v>22</x:v>
      </x:c>
    </x:row>
    <x:row r="1316" ht="36" customHeight="1">
      <x:c r="A1316" s="53" t="n">
        <x:v>1297</x:v>
      </x:c>
      <x:c r="B1316" s="53" t="n">
        <x:v>1</x:v>
      </x:c>
      <x:c r="C1316" s="40" t="str">
        <x:v>High-Value Frequent Shoppers</x:v>
      </x:c>
      <x:c r="D1316" s="60" t="n">
        <x:v>2733.08</x:v>
      </x:c>
      <x:c r="E1316" s="50" t="n">
        <x:v>147</x:v>
      </x:c>
      <x:c r="F1316" s="46" t="n">
        <x:v>7.35</x:v>
      </x:c>
      <x:c r="G1316" s="46" t="n">
        <x:v>0</x:v>
      </x:c>
      <x:c r="H1316" s="61" t="n">
        <x:v>18.592380952380957</x:v>
      </x:c>
      <x:c r="I1316" s="52" t="n">
        <x:v>0.8027210884353742</x:v>
      </x:c>
      <x:c r="J1316" s="52" t="n">
        <x:v>0.5374376161693034</x:v>
      </x:c>
      <x:c r="K1316" s="60" t="n">
        <x:v>2515.63</x:v>
      </x:c>
      <x:c r="L1316" s="60" t="n">
        <x:v>217.45</x:v>
      </x:c>
      <x:c r="M1316" s="50" t="n">
        <x:v>118</x:v>
      </x:c>
      <x:c r="N1316" s="50" t="n">
        <x:v>29</x:v>
      </x:c>
      <x:c r="O1316" s="50" t="n">
        <x:v>117</x:v>
      </x:c>
      <x:c r="P1316" s="50" t="n">
        <x:v>20</x:v>
      </x:c>
    </x:row>
    <x:row r="1317" ht="36" customHeight="1">
      <x:c r="A1317" s="53" t="n">
        <x:v>1298</x:v>
      </x:c>
      <x:c r="B1317" s="53" t="n">
        <x:v>2</x:v>
      </x:c>
      <x:c r="C1317" s="40" t="str">
        <x:v>Large-Basket Occasional Shoppers</x:v>
      </x:c>
      <x:c r="D1317" s="60" t="n">
        <x:v>1487.99</x:v>
      </x:c>
      <x:c r="E1317" s="50" t="n">
        <x:v>50</x:v>
      </x:c>
      <x:c r="F1317" s="46" t="n">
        <x:v>2.7777777777777777</x:v>
      </x:c>
      <x:c r="G1317" s="46" t="n">
        <x:v>12</x:v>
      </x:c>
      <x:c r="H1317" s="61" t="n">
        <x:v>29.7598</x:v>
      </x:c>
      <x:c r="I1317" s="52" t="n">
        <x:v>0.88</x:v>
      </x:c>
      <x:c r="J1317" s="52" t="n">
        <x:v>0.5291231795912607</x:v>
      </x:c>
      <x:c r="K1317" s="60" t="n">
        <x:v>1446.41</x:v>
      </x:c>
      <x:c r="L1317" s="60" t="n">
        <x:v>41.58</x:v>
      </x:c>
      <x:c r="M1317" s="50" t="n">
        <x:v>44</x:v>
      </x:c>
      <x:c r="N1317" s="50" t="n">
        <x:v>6</x:v>
      </x:c>
      <x:c r="O1317" s="50" t="n">
        <x:v>126</x:v>
      </x:c>
      <x:c r="P1317" s="50" t="n">
        <x:v>18</x:v>
      </x:c>
    </x:row>
    <x:row r="1318" ht="36" customHeight="1">
      <x:c r="A1318" s="53" t="n">
        <x:v>1299</x:v>
      </x:c>
      <x:c r="B1318" s="53" t="n">
        <x:v>1</x:v>
      </x:c>
      <x:c r="C1318" s="40" t="str">
        <x:v>High-Value Frequent Shoppers</x:v>
      </x:c>
      <x:c r="D1318" s="60" t="n">
        <x:v>5959.57</x:v>
      </x:c>
      <x:c r="E1318" s="50" t="n">
        <x:v>189</x:v>
      </x:c>
      <x:c r="F1318" s="46" t="n">
        <x:v>8.217391304347826</x:v>
      </x:c>
      <x:c r="G1318" s="46" t="n">
        <x:v>0</x:v>
      </x:c>
      <x:c r="H1318" s="61" t="n">
        <x:v>31.5321164021164</x:v>
      </x:c>
      <x:c r="I1318" s="52" t="n">
        <x:v>0.8835978835978835</x:v>
      </x:c>
      <x:c r="J1318" s="52" t="n">
        <x:v>0.6655530516463436</x:v>
      </x:c>
      <x:c r="K1318" s="60" t="n">
        <x:v>5852.55</x:v>
      </x:c>
      <x:c r="L1318" s="60" t="n">
        <x:v>107.02</x:v>
      </x:c>
      <x:c r="M1318" s="50" t="n">
        <x:v>167</x:v>
      </x:c>
      <x:c r="N1318" s="50" t="n">
        <x:v>22</x:v>
      </x:c>
      <x:c r="O1318" s="50" t="n">
        <x:v>179</x:v>
      </x:c>
      <x:c r="P1318" s="50" t="n">
        <x:v>23</x:v>
      </x:c>
    </x:row>
    <x:row r="1319" ht="36" customHeight="1">
      <x:c r="A1319" s="53" t="n">
        <x:v>1300</x:v>
      </x:c>
      <x:c r="B1319" s="53" t="n">
        <x:v>1</x:v>
      </x:c>
      <x:c r="C1319" s="40" t="str">
        <x:v>High-Value Frequent Shoppers</x:v>
      </x:c>
      <x:c r="D1319" s="60" t="n">
        <x:v>2959.65</x:v>
      </x:c>
      <x:c r="E1319" s="50" t="n">
        <x:v>84</x:v>
      </x:c>
      <x:c r="F1319" s="46" t="n">
        <x:v>4</x:v>
      </x:c>
      <x:c r="G1319" s="46" t="n">
        <x:v>1</x:v>
      </x:c>
      <x:c r="H1319" s="61" t="n">
        <x:v>35.23392857142857</x:v>
      </x:c>
      <x:c r="I1319" s="52" t="n">
        <x:v>0.869047619047619</x:v>
      </x:c>
      <x:c r="J1319" s="52" t="n">
        <x:v>0.5671684151842278</x:v>
      </x:c>
      <x:c r="K1319" s="60" t="n">
        <x:v>2886.6</x:v>
      </x:c>
      <x:c r="L1319" s="60" t="n">
        <x:v>73.05</x:v>
      </x:c>
      <x:c r="M1319" s="50" t="n">
        <x:v>73</x:v>
      </x:c>
      <x:c r="N1319" s="50" t="n">
        <x:v>11</x:v>
      </x:c>
      <x:c r="O1319" s="50" t="n">
        <x:v>144</x:v>
      </x:c>
      <x:c r="P1319" s="50" t="n">
        <x:v>21</x:v>
      </x:c>
    </x:row>
    <x:row r="1320" ht="36" customHeight="1">
      <x:c r="A1320" s="53" t="n">
        <x:v>1301</x:v>
      </x:c>
      <x:c r="B1320" s="53" t="n">
        <x:v>3</x:v>
      </x:c>
      <x:c r="C1320" s="40" t="str">
        <x:v>Low-Value Low-Engagement Shoppers</x:v>
      </x:c>
      <x:c r="D1320" s="60" t="n">
        <x:v>1494.22</x:v>
      </x:c>
      <x:c r="E1320" s="50" t="n">
        <x:v>79</x:v>
      </x:c>
      <x:c r="F1320" s="46" t="n">
        <x:v>4.388888888888888</x:v>
      </x:c>
      <x:c r="G1320" s="46" t="n">
        <x:v>1</x:v>
      </x:c>
      <x:c r="H1320" s="61" t="n">
        <x:v>18.91417721518988</x:v>
      </x:c>
      <x:c r="I1320" s="52" t="n">
        <x:v>0.5569620253164556</x:v>
      </x:c>
      <x:c r="J1320" s="52" t="n">
        <x:v>0.2891675924562648</x:v>
      </x:c>
      <x:c r="K1320" s="60" t="n">
        <x:v>1112.98</x:v>
      </x:c>
      <x:c r="L1320" s="60" t="n">
        <x:v>381.24</x:v>
      </x:c>
      <x:c r="M1320" s="50" t="n">
        <x:v>44</x:v>
      </x:c>
      <x:c r="N1320" s="50" t="n">
        <x:v>35</x:v>
      </x:c>
      <x:c r="O1320" s="50" t="n">
        <x:v>120</x:v>
      </x:c>
      <x:c r="P1320" s="50" t="n">
        <x:v>18</x:v>
      </x:c>
    </x:row>
    <x:row r="1321" ht="36" customHeight="1">
      <x:c r="A1321" s="53" t="n">
        <x:v>1302</x:v>
      </x:c>
      <x:c r="B1321" s="53" t="n">
        <x:v>3</x:v>
      </x:c>
      <x:c r="C1321" s="40" t="str">
        <x:v>Low-Value Low-Engagement Shoppers</x:v>
      </x:c>
      <x:c r="D1321" s="60" t="n">
        <x:v>757.95</x:v>
      </x:c>
      <x:c r="E1321" s="50" t="n">
        <x:v>36</x:v>
      </x:c>
      <x:c r="F1321" s="46" t="n">
        <x:v>2.4</x:v>
      </x:c>
      <x:c r="G1321" s="46" t="n">
        <x:v>3</x:v>
      </x:c>
      <x:c r="H1321" s="61" t="n">
        <x:v>21.054166666666664</x:v>
      </x:c>
      <x:c r="I1321" s="52" t="n">
        <x:v>0.861111111111111</x:v>
      </x:c>
      <x:c r="J1321" s="52" t="n">
        <x:v>0.5661587175935088</x:v>
      </x:c>
      <x:c r="K1321" s="60" t="n">
        <x:v>691.1</x:v>
      </x:c>
      <x:c r="L1321" s="60" t="n">
        <x:v>66.85</x:v>
      </x:c>
      <x:c r="M1321" s="50" t="n">
        <x:v>31</x:v>
      </x:c>
      <x:c r="N1321" s="50" t="n">
        <x:v>5</x:v>
      </x:c>
      <x:c r="O1321" s="50" t="n">
        <x:v>69</x:v>
      </x:c>
      <x:c r="P1321" s="50" t="n">
        <x:v>15</x:v>
      </x:c>
    </x:row>
    <x:row r="1322" ht="36" customHeight="1">
      <x:c r="A1322" s="53" t="n">
        <x:v>1303</x:v>
      </x:c>
      <x:c r="B1322" s="53" t="n">
        <x:v>1</x:v>
      </x:c>
      <x:c r="C1322" s="40" t="str">
        <x:v>High-Value Frequent Shoppers</x:v>
      </x:c>
      <x:c r="D1322" s="60" t="n">
        <x:v>6344.09</x:v>
      </x:c>
      <x:c r="E1322" s="50" t="n">
        <x:v>212</x:v>
      </x:c>
      <x:c r="F1322" s="46" t="n">
        <x:v>10.095238095238097</x:v>
      </x:c>
      <x:c r="G1322" s="46" t="n">
        <x:v>3</x:v>
      </x:c>
      <x:c r="H1322" s="61" t="n">
        <x:v>29.92495283018868</x:v>
      </x:c>
      <x:c r="I1322" s="52" t="n">
        <x:v>0.7688679245283018</x:v>
      </x:c>
      <x:c r="J1322" s="52" t="n">
        <x:v>0.4759689726974239</x:v>
      </x:c>
      <x:c r="K1322" s="60" t="n">
        <x:v>5750.28</x:v>
      </x:c>
      <x:c r="L1322" s="60" t="n">
        <x:v>593.81</x:v>
      </x:c>
      <x:c r="M1322" s="50" t="n">
        <x:v>163</x:v>
      </x:c>
      <x:c r="N1322" s="50" t="n">
        <x:v>49</x:v>
      </x:c>
      <x:c r="O1322" s="50" t="n">
        <x:v>189</x:v>
      </x:c>
      <x:c r="P1322" s="50" t="n">
        <x:v>21</x:v>
      </x:c>
    </x:row>
    <x:row r="1323" ht="36" customHeight="1">
      <x:c r="A1323" s="53" t="n">
        <x:v>1304</x:v>
      </x:c>
      <x:c r="B1323" s="53" t="n">
        <x:v>3</x:v>
      </x:c>
      <x:c r="C1323" s="40" t="str">
        <x:v>Low-Value Low-Engagement Shoppers</x:v>
      </x:c>
      <x:c r="D1323" s="60" t="n">
        <x:v>899.49</x:v>
      </x:c>
      <x:c r="E1323" s="50" t="n">
        <x:v>90</x:v>
      </x:c>
      <x:c r="F1323" s="46" t="n">
        <x:v>3.9130434782608696</x:v>
      </x:c>
      <x:c r="G1323" s="46" t="n">
        <x:v>1</x:v>
      </x:c>
      <x:c r="H1323" s="61" t="n">
        <x:v>9.994333333333332</x:v>
      </x:c>
      <x:c r="I1323" s="52" t="n">
        <x:v>0.7444444444444444</x:v>
      </x:c>
      <x:c r="J1323" s="52" t="n">
        <x:v>0.5027960288607988</x:v>
      </x:c>
      <x:c r="K1323" s="60" t="n">
        <x:v>697.95</x:v>
      </x:c>
      <x:c r="L1323" s="60" t="n">
        <x:v>201.54</x:v>
      </x:c>
      <x:c r="M1323" s="50" t="n">
        <x:v>67</x:v>
      </x:c>
      <x:c r="N1323" s="50" t="n">
        <x:v>23</x:v>
      </x:c>
      <x:c r="O1323" s="50" t="n">
        <x:v>77</x:v>
      </x:c>
      <x:c r="P1323" s="50" t="n">
        <x:v>23</x:v>
      </x:c>
    </x:row>
    <x:row r="1324" ht="36" customHeight="1">
      <x:c r="A1324" s="53" t="n">
        <x:v>1305</x:v>
      </x:c>
      <x:c r="B1324" s="53" t="n">
        <x:v>1</x:v>
      </x:c>
      <x:c r="C1324" s="40" t="str">
        <x:v>High-Value Frequent Shoppers</x:v>
      </x:c>
      <x:c r="D1324" s="60" t="n">
        <x:v>7552.93</x:v>
      </x:c>
      <x:c r="E1324" s="50" t="n">
        <x:v>373</x:v>
      </x:c>
      <x:c r="F1324" s="46" t="n">
        <x:v>18.65</x:v>
      </x:c>
      <x:c r="G1324" s="46" t="n">
        <x:v>30</x:v>
      </x:c>
      <x:c r="H1324" s="61" t="n">
        <x:v>20.24914209115281</x:v>
      </x:c>
      <x:c r="I1324" s="52" t="n">
        <x:v>0.8552278820375335</x:v>
      </x:c>
      <x:c r="J1324" s="52" t="n">
        <x:v>0.6341062342693496</x:v>
      </x:c>
      <x:c r="K1324" s="60" t="n">
        <x:v>7075.51</x:v>
      </x:c>
      <x:c r="L1324" s="60" t="n">
        <x:v>477.42</x:v>
      </x:c>
      <x:c r="M1324" s="50" t="n">
        <x:v>319</x:v>
      </x:c>
      <x:c r="N1324" s="50" t="n">
        <x:v>54</x:v>
      </x:c>
      <x:c r="O1324" s="50" t="n">
        <x:v>132</x:v>
      </x:c>
      <x:c r="P1324" s="50" t="n">
        <x:v>20</x:v>
      </x:c>
    </x:row>
    <x:row r="1325" ht="36" customHeight="1">
      <x:c r="A1325" s="53" t="n">
        <x:v>1306</x:v>
      </x:c>
      <x:c r="B1325" s="53" t="n">
        <x:v>1</x:v>
      </x:c>
      <x:c r="C1325" s="40" t="str">
        <x:v>High-Value Frequent Shoppers</x:v>
      </x:c>
      <x:c r="D1325" s="60" t="n">
        <x:v>3041.67</x:v>
      </x:c>
      <x:c r="E1325" s="50" t="n">
        <x:v>171</x:v>
      </x:c>
      <x:c r="F1325" s="46" t="n">
        <x:v>8.142857142857144</x:v>
      </x:c>
      <x:c r="G1325" s="46" t="n">
        <x:v>3</x:v>
      </x:c>
      <x:c r="H1325" s="61" t="n">
        <x:v>17.787543859649123</x:v>
      </x:c>
      <x:c r="I1325" s="52" t="n">
        <x:v>0.7543859649122807</x:v>
      </x:c>
      <x:c r="J1325" s="52" t="n">
        <x:v>0.4502099175781725</x:v>
      </x:c>
      <x:c r="K1325" s="60" t="n">
        <x:v>2780.92</x:v>
      </x:c>
      <x:c r="L1325" s="60" t="n">
        <x:v>260.75</x:v>
      </x:c>
      <x:c r="M1325" s="50" t="n">
        <x:v>129</x:v>
      </x:c>
      <x:c r="N1325" s="50" t="n">
        <x:v>42</x:v>
      </x:c>
      <x:c r="O1325" s="50" t="n">
        <x:v>152</x:v>
      </x:c>
      <x:c r="P1325" s="50" t="n">
        <x:v>21</x:v>
      </x:c>
    </x:row>
    <x:row r="1326" ht="36" customHeight="1">
      <x:c r="A1326" s="53" t="n">
        <x:v>1307</x:v>
      </x:c>
      <x:c r="B1326" s="53" t="n">
        <x:v>3</x:v>
      </x:c>
      <x:c r="C1326" s="40" t="str">
        <x:v>Low-Value Low-Engagement Shoppers</x:v>
      </x:c>
      <x:c r="D1326" s="60" t="n">
        <x:v>2049.58</x:v>
      </x:c>
      <x:c r="E1326" s="50" t="n">
        <x:v>174</x:v>
      </x:c>
      <x:c r="F1326" s="46" t="n">
        <x:v>8.7</x:v>
      </x:c>
      <x:c r="G1326" s="46" t="n">
        <x:v>4</x:v>
      </x:c>
      <x:c r="H1326" s="61" t="n">
        <x:v>11.77919540229885</x:v>
      </x:c>
      <x:c r="I1326" s="52" t="n">
        <x:v>0.5804597701149425</x:v>
      </x:c>
      <x:c r="J1326" s="52" t="n">
        <x:v>0.3641380185208676</x:v>
      </x:c>
      <x:c r="K1326" s="60" t="n">
        <x:v>1657.12</x:v>
      </x:c>
      <x:c r="L1326" s="60" t="n">
        <x:v>392.46</x:v>
      </x:c>
      <x:c r="M1326" s="50" t="n">
        <x:v>101</x:v>
      </x:c>
      <x:c r="N1326" s="50" t="n">
        <x:v>73</x:v>
      </x:c>
      <x:c r="O1326" s="50" t="n">
        <x:v>114</x:v>
      </x:c>
      <x:c r="P1326" s="50" t="n">
        <x:v>20</x:v>
      </x:c>
    </x:row>
    <x:row r="1327" ht="36" customHeight="1">
      <x:c r="A1327" s="53" t="n">
        <x:v>1308</x:v>
      </x:c>
      <x:c r="B1327" s="53" t="n">
        <x:v>3</x:v>
      </x:c>
      <x:c r="C1327" s="40" t="str">
        <x:v>Low-Value Low-Engagement Shoppers</x:v>
      </x:c>
      <x:c r="D1327" s="60" t="n">
        <x:v>320.58</x:v>
      </x:c>
      <x:c r="E1327" s="50" t="n">
        <x:v>23</x:v>
      </x:c>
      <x:c r="F1327" s="46" t="n">
        <x:v>2.090909090909091</x:v>
      </x:c>
      <x:c r="G1327" s="46" t="n">
        <x:v>132</x:v>
      </x:c>
      <x:c r="H1327" s="61" t="n">
        <x:v>13.938260869565216</x:v>
      </x:c>
      <x:c r="I1327" s="52" t="n">
        <x:v>0.9130434782608696</x:v>
      </x:c>
      <x:c r="J1327" s="52" t="n">
        <x:v>0.5353109988146484</x:v>
      </x:c>
      <x:c r="K1327" s="60" t="n">
        <x:v>306.51</x:v>
      </x:c>
      <x:c r="L1327" s="60" t="n">
        <x:v>14.07</x:v>
      </x:c>
      <x:c r="M1327" s="50" t="n">
        <x:v>21</x:v>
      </x:c>
      <x:c r="N1327" s="50" t="n">
        <x:v>2</x:v>
      </x:c>
      <x:c r="O1327" s="50" t="n">
        <x:v>42</x:v>
      </x:c>
      <x:c r="P1327" s="50" t="n">
        <x:v>11</x:v>
      </x:c>
    </x:row>
    <x:row r="1328" ht="36" customHeight="1">
      <x:c r="A1328" s="53" t="n">
        <x:v>1309</x:v>
      </x:c>
      <x:c r="B1328" s="53" t="n">
        <x:v>3</x:v>
      </x:c>
      <x:c r="C1328" s="40" t="str">
        <x:v>Low-Value Low-Engagement Shoppers</x:v>
      </x:c>
      <x:c r="D1328" s="60" t="n">
        <x:v>158.48</x:v>
      </x:c>
      <x:c r="E1328" s="50" t="n">
        <x:v>9</x:v>
      </x:c>
      <x:c r="F1328" s="46" t="n">
        <x:v>2.25</x:v>
      </x:c>
      <x:c r="G1328" s="46" t="n">
        <x:v>161</x:v>
      </x:c>
      <x:c r="H1328" s="61" t="n">
        <x:v>17.608888888888888</x:v>
      </x:c>
      <x:c r="I1328" s="52" t="n">
        <x:v>0.6666666666666666</x:v>
      </x:c>
      <x:c r="J1328" s="52" t="n">
        <x:v>0.4844775365976779</x:v>
      </x:c>
      <x:c r="K1328" s="60" t="n">
        <x:v>136.29</x:v>
      </x:c>
      <x:c r="L1328" s="60" t="n">
        <x:v>22.19</x:v>
      </x:c>
      <x:c r="M1328" s="50" t="n">
        <x:v>6</x:v>
      </x:c>
      <x:c r="N1328" s="50" t="n">
        <x:v>3</x:v>
      </x:c>
      <x:c r="O1328" s="50" t="n">
        <x:v>33</x:v>
      </x:c>
      <x:c r="P1328" s="50" t="n">
        <x:v>4</x:v>
      </x:c>
    </x:row>
    <x:row r="1329" ht="36" customHeight="1">
      <x:c r="A1329" s="53" t="n">
        <x:v>1310</x:v>
      </x:c>
      <x:c r="B1329" s="53" t="n">
        <x:v>2</x:v>
      </x:c>
      <x:c r="C1329" s="40" t="str">
        <x:v>Large-Basket Occasional Shoppers</x:v>
      </x:c>
      <x:c r="D1329" s="60" t="n">
        <x:v>857.98</x:v>
      </x:c>
      <x:c r="E1329" s="50" t="n">
        <x:v>34</x:v>
      </x:c>
      <x:c r="F1329" s="46" t="n">
        <x:v>2.125</x:v>
      </x:c>
      <x:c r="G1329" s="46" t="n">
        <x:v>19</x:v>
      </x:c>
      <x:c r="H1329" s="61" t="n">
        <x:v>25.23470588235294</x:v>
      </x:c>
      <x:c r="I1329" s="52" t="n">
        <x:v>0.8529411764705882</x:v>
      </x:c>
      <x:c r="J1329" s="52" t="n">
        <x:v>0.5250355486141868</x:v>
      </x:c>
      <x:c r="K1329" s="60" t="n">
        <x:v>822.55</x:v>
      </x:c>
      <x:c r="L1329" s="60" t="n">
        <x:v>35.43</x:v>
      </x:c>
      <x:c r="M1329" s="50" t="n">
        <x:v>29</x:v>
      </x:c>
      <x:c r="N1329" s="50" t="n">
        <x:v>5</x:v>
      </x:c>
      <x:c r="O1329" s="50" t="n">
        <x:v>83</x:v>
      </x:c>
      <x:c r="P1329" s="50" t="n">
        <x:v>16</x:v>
      </x:c>
    </x:row>
    <x:row r="1330" ht="36" customHeight="1">
      <x:c r="A1330" s="53" t="n">
        <x:v>1311</x:v>
      </x:c>
      <x:c r="B1330" s="53" t="n">
        <x:v>2</x:v>
      </x:c>
      <x:c r="C1330" s="40" t="str">
        <x:v>Large-Basket Occasional Shoppers</x:v>
      </x:c>
      <x:c r="D1330" s="60" t="n">
        <x:v>685.63</x:v>
      </x:c>
      <x:c r="E1330" s="50" t="n">
        <x:v>17</x:v>
      </x:c>
      <x:c r="F1330" s="46" t="n">
        <x:v>1.8888888888888888</x:v>
      </x:c>
      <x:c r="G1330" s="46" t="n">
        <x:v>104</x:v>
      </x:c>
      <x:c r="H1330" s="61" t="n">
        <x:v>40.33117647058824</x:v>
      </x:c>
      <x:c r="I1330" s="52" t="n">
        <x:v>1</x:v>
      </x:c>
      <x:c r="J1330" s="52" t="n">
        <x:v>0.6448084243688286</x:v>
      </x:c>
      <x:c r="K1330" s="60" t="n">
        <x:v>685.63</x:v>
      </x:c>
      <x:c r="L1330" s="60" t="n">
        <x:v>0</x:v>
      </x:c>
      <x:c r="M1330" s="50" t="n">
        <x:v>17</x:v>
      </x:c>
      <x:c r="N1330" s="50" t="n">
        <x:v>0</x:v>
      </x:c>
      <x:c r="O1330" s="50" t="n">
        <x:v>79</x:v>
      </x:c>
      <x:c r="P1330" s="50" t="n">
        <x:v>9</x:v>
      </x:c>
    </x:row>
    <x:row r="1331" ht="36" customHeight="1">
      <x:c r="A1331" s="53" t="n">
        <x:v>1312</x:v>
      </x:c>
      <x:c r="B1331" s="53" t="n">
        <x:v>1</x:v>
      </x:c>
      <x:c r="C1331" s="40" t="str">
        <x:v>High-Value Frequent Shoppers</x:v>
      </x:c>
      <x:c r="D1331" s="60" t="n">
        <x:v>5055.88</x:v>
      </x:c>
      <x:c r="E1331" s="50" t="n">
        <x:v>134</x:v>
      </x:c>
      <x:c r="F1331" s="46" t="n">
        <x:v>6.3809523809523805</x:v>
      </x:c>
      <x:c r="G1331" s="46" t="n">
        <x:v>8</x:v>
      </x:c>
      <x:c r="H1331" s="61" t="n">
        <x:v>37.73044776119402</x:v>
      </x:c>
      <x:c r="I1331" s="52" t="n">
        <x:v>0.746268656716418</x:v>
      </x:c>
      <x:c r="J1331" s="52" t="n">
        <x:v>0.49824758499015</x:v>
      </x:c>
      <x:c r="K1331" s="60" t="n">
        <x:v>4819.21</x:v>
      </x:c>
      <x:c r="L1331" s="60" t="n">
        <x:v>236.67</x:v>
      </x:c>
      <x:c r="M1331" s="50" t="n">
        <x:v>100</x:v>
      </x:c>
      <x:c r="N1331" s="50" t="n">
        <x:v>34</x:v>
      </x:c>
      <x:c r="O1331" s="50" t="n">
        <x:v>173</x:v>
      </x:c>
      <x:c r="P1331" s="50" t="n">
        <x:v>21</x:v>
      </x:c>
    </x:row>
    <x:row r="1332" ht="36" customHeight="1">
      <x:c r="A1332" s="53" t="n">
        <x:v>1313</x:v>
      </x:c>
      <x:c r="B1332" s="53" t="n">
        <x:v>2</x:v>
      </x:c>
      <x:c r="C1332" s="40" t="str">
        <x:v>Large-Basket Occasional Shoppers</x:v>
      </x:c>
      <x:c r="D1332" s="60" t="n">
        <x:v>1030.97</x:v>
      </x:c>
      <x:c r="E1332" s="50" t="n">
        <x:v>30</x:v>
      </x:c>
      <x:c r="F1332" s="46" t="n">
        <x:v>2.142857142857143</x:v>
      </x:c>
      <x:c r="G1332" s="46" t="n">
        <x:v>11</x:v>
      </x:c>
      <x:c r="H1332" s="61" t="n">
        <x:v>34.36566666666666</x:v>
      </x:c>
      <x:c r="I1332" s="52" t="n">
        <x:v>0.7333333333333333</x:v>
      </x:c>
      <x:c r="J1332" s="52" t="n">
        <x:v>0.4287515640610299</x:v>
      </x:c>
      <x:c r="K1332" s="60" t="n">
        <x:v>931.91</x:v>
      </x:c>
      <x:c r="L1332" s="60" t="n">
        <x:v>99.06</x:v>
      </x:c>
      <x:c r="M1332" s="50" t="n">
        <x:v>22</x:v>
      </x:c>
      <x:c r="N1332" s="50" t="n">
        <x:v>8</x:v>
      </x:c>
      <x:c r="O1332" s="50" t="n">
        <x:v>103</x:v>
      </x:c>
      <x:c r="P1332" s="50" t="n">
        <x:v>14</x:v>
      </x:c>
    </x:row>
    <x:row r="1333" ht="36" customHeight="1">
      <x:c r="A1333" s="53" t="n">
        <x:v>1314</x:v>
      </x:c>
      <x:c r="B1333" s="53" t="n">
        <x:v>1</x:v>
      </x:c>
      <x:c r="C1333" s="40" t="str">
        <x:v>High-Value Frequent Shoppers</x:v>
      </x:c>
      <x:c r="D1333" s="60" t="n">
        <x:v>14330.4</x:v>
      </x:c>
      <x:c r="E1333" s="50" t="n">
        <x:v>421</x:v>
      </x:c>
      <x:c r="F1333" s="46" t="n">
        <x:v>18.30434782608696</x:v>
      </x:c>
      <x:c r="G1333" s="46" t="n">
        <x:v>1</x:v>
      </x:c>
      <x:c r="H1333" s="61" t="n">
        <x:v>34.03895486935867</x:v>
      </x:c>
      <x:c r="I1333" s="52" t="n">
        <x:v>0.8052256532066508</x:v>
      </x:c>
      <x:c r="J1333" s="52" t="n">
        <x:v>0.5371929604198068</x:v>
      </x:c>
      <x:c r="K1333" s="60" t="n">
        <x:v>13223.21</x:v>
      </x:c>
      <x:c r="L1333" s="60" t="n">
        <x:v>1107.19</x:v>
      </x:c>
      <x:c r="M1333" s="50" t="n">
        <x:v>339</x:v>
      </x:c>
      <x:c r="N1333" s="50" t="n">
        <x:v>82</x:v>
      </x:c>
      <x:c r="O1333" s="50" t="n">
        <x:v>219</x:v>
      </x:c>
      <x:c r="P1333" s="50" t="n">
        <x:v>23</x:v>
      </x:c>
    </x:row>
    <x:row r="1334" ht="36" customHeight="1">
      <x:c r="A1334" s="53" t="n">
        <x:v>1315</x:v>
      </x:c>
      <x:c r="B1334" s="53" t="n">
        <x:v>2</x:v>
      </x:c>
      <x:c r="C1334" s="40" t="str">
        <x:v>Large-Basket Occasional Shoppers</x:v>
      </x:c>
      <x:c r="D1334" s="60" t="n">
        <x:v>645.36</x:v>
      </x:c>
      <x:c r="E1334" s="50" t="n">
        <x:v>5</x:v>
      </x:c>
      <x:c r="F1334" s="46" t="n">
        <x:v>1</x:v>
      </x:c>
      <x:c r="G1334" s="46" t="n">
        <x:v>87</x:v>
      </x:c>
      <x:c r="H1334" s="61" t="n">
        <x:v>129.072</x:v>
      </x:c>
      <x:c r="I1334" s="52" t="n">
        <x:v>1</x:v>
      </x:c>
      <x:c r="J1334" s="52" t="n">
        <x:v>0.5544657245568364</x:v>
      </x:c>
      <x:c r="K1334" s="60" t="n">
        <x:v>645.36</x:v>
      </x:c>
      <x:c r="L1334" s="60" t="n">
        <x:v>0</x:v>
      </x:c>
      <x:c r="M1334" s="50" t="n">
        <x:v>5</x:v>
      </x:c>
      <x:c r="N1334" s="50" t="n">
        <x:v>0</x:v>
      </x:c>
      <x:c r="O1334" s="50" t="n">
        <x:v>79</x:v>
      </x:c>
      <x:c r="P1334" s="50" t="n">
        <x:v>5</x:v>
      </x:c>
    </x:row>
    <x:row r="1335" ht="36" customHeight="1">
      <x:c r="A1335" s="53" t="n">
        <x:v>1316</x:v>
      </x:c>
      <x:c r="B1335" s="53" t="n">
        <x:v>2</x:v>
      </x:c>
      <x:c r="C1335" s="40" t="str">
        <x:v>Large-Basket Occasional Shoppers</x:v>
      </x:c>
      <x:c r="D1335" s="60" t="n">
        <x:v>3736.48</x:v>
      </x:c>
      <x:c r="E1335" s="50" t="n">
        <x:v>57</x:v>
      </x:c>
      <x:c r="F1335" s="46" t="n">
        <x:v>2.590909090909091</x:v>
      </x:c>
      <x:c r="G1335" s="46" t="n">
        <x:v>18</x:v>
      </x:c>
      <x:c r="H1335" s="61" t="n">
        <x:v>65.5522807017544</x:v>
      </x:c>
      <x:c r="I1335" s="52" t="n">
        <x:v>0.7719298245614035</x:v>
      </x:c>
      <x:c r="J1335" s="52" t="n">
        <x:v>0.4377355157795572</x:v>
      </x:c>
      <x:c r="K1335" s="60" t="n">
        <x:v>3559.03</x:v>
      </x:c>
      <x:c r="L1335" s="60" t="n">
        <x:v>177.45</x:v>
      </x:c>
      <x:c r="M1335" s="50" t="n">
        <x:v>44</x:v>
      </x:c>
      <x:c r="N1335" s="50" t="n">
        <x:v>13</x:v>
      </x:c>
      <x:c r="O1335" s="50" t="n">
        <x:v>148</x:v>
      </x:c>
      <x:c r="P1335" s="50" t="n">
        <x:v>22</x:v>
      </x:c>
    </x:row>
    <x:row r="1336" ht="36" customHeight="1">
      <x:c r="A1336" s="53" t="n">
        <x:v>1317</x:v>
      </x:c>
      <x:c r="B1336" s="53" t="n">
        <x:v>1</x:v>
      </x:c>
      <x:c r="C1336" s="40" t="str">
        <x:v>High-Value Frequent Shoppers</x:v>
      </x:c>
      <x:c r="D1336" s="60" t="n">
        <x:v>4065.24</x:v>
      </x:c>
      <x:c r="E1336" s="50" t="n">
        <x:v>196</x:v>
      </x:c>
      <x:c r="F1336" s="46" t="n">
        <x:v>8.166666666666666</x:v>
      </x:c>
      <x:c r="G1336" s="46" t="n">
        <x:v>4</x:v>
      </x:c>
      <x:c r="H1336" s="61" t="n">
        <x:v>20.741020408163266</x:v>
      </x:c>
      <x:c r="I1336" s="52" t="n">
        <x:v>0.8979591836734693</x:v>
      </x:c>
      <x:c r="J1336" s="52" t="n">
        <x:v>0.4577515718629158</x:v>
      </x:c>
      <x:c r="K1336" s="60" t="n">
        <x:v>3897.94</x:v>
      </x:c>
      <x:c r="L1336" s="60" t="n">
        <x:v>167.3</x:v>
      </x:c>
      <x:c r="M1336" s="50" t="n">
        <x:v>176</x:v>
      </x:c>
      <x:c r="N1336" s="50" t="n">
        <x:v>20</x:v>
      </x:c>
      <x:c r="O1336" s="50" t="n">
        <x:v>118</x:v>
      </x:c>
      <x:c r="P1336" s="50" t="n">
        <x:v>24</x:v>
      </x:c>
    </x:row>
    <x:row r="1337" ht="36" customHeight="1">
      <x:c r="A1337" s="53" t="n">
        <x:v>1318</x:v>
      </x:c>
      <x:c r="B1337" s="53" t="n">
        <x:v>2</x:v>
      </x:c>
      <x:c r="C1337" s="40" t="str">
        <x:v>Large-Basket Occasional Shoppers</x:v>
      </x:c>
      <x:c r="D1337" s="60" t="n">
        <x:v>5583.96</x:v>
      </x:c>
      <x:c r="E1337" s="50" t="n">
        <x:v>74</x:v>
      </x:c>
      <x:c r="F1337" s="46" t="n">
        <x:v>3.7</x:v>
      </x:c>
      <x:c r="G1337" s="46" t="n">
        <x:v>14</x:v>
      </x:c>
      <x:c r="H1337" s="61" t="n">
        <x:v>75.45891891891891</x:v>
      </x:c>
      <x:c r="I1337" s="52" t="n">
        <x:v>0.9054054054054054</x:v>
      </x:c>
      <x:c r="J1337" s="52" t="n">
        <x:v>0.2862878673916002</x:v>
      </x:c>
      <x:c r="K1337" s="60" t="n">
        <x:v>5422.6</x:v>
      </x:c>
      <x:c r="L1337" s="60" t="n">
        <x:v>161.36</x:v>
      </x:c>
      <x:c r="M1337" s="50" t="n">
        <x:v>67</x:v>
      </x:c>
      <x:c r="N1337" s="50" t="n">
        <x:v>7</x:v>
      </x:c>
      <x:c r="O1337" s="50" t="n">
        <x:v>158</x:v>
      </x:c>
      <x:c r="P1337" s="50" t="n">
        <x:v>20</x:v>
      </x:c>
    </x:row>
    <x:row r="1338" ht="36" customHeight="1">
      <x:c r="A1338" s="53" t="n">
        <x:v>1319</x:v>
      </x:c>
      <x:c r="B1338" s="53" t="n">
        <x:v>2</x:v>
      </x:c>
      <x:c r="C1338" s="40" t="str">
        <x:v>Large-Basket Occasional Shoppers</x:v>
      </x:c>
      <x:c r="D1338" s="60" t="n">
        <x:v>1059.79</x:v>
      </x:c>
      <x:c r="E1338" s="50" t="n">
        <x:v>48</x:v>
      </x:c>
      <x:c r="F1338" s="46" t="n">
        <x:v>2.2857142857142856</x:v>
      </x:c>
      <x:c r="G1338" s="46" t="n">
        <x:v>32</x:v>
      </x:c>
      <x:c r="H1338" s="61" t="n">
        <x:v>22.078958333333333</x:v>
      </x:c>
      <x:c r="I1338" s="52" t="n">
        <x:v>0.9583333333333331</x:v>
      </x:c>
      <x:c r="J1338" s="52" t="n">
        <x:v>0.6400041517659159</x:v>
      </x:c>
      <x:c r="K1338" s="60" t="n">
        <x:v>1010.67</x:v>
      </x:c>
      <x:c r="L1338" s="60" t="n">
        <x:v>49.12</x:v>
      </x:c>
      <x:c r="M1338" s="50" t="n">
        <x:v>46</x:v>
      </x:c>
      <x:c r="N1338" s="50" t="n">
        <x:v>2</x:v>
      </x:c>
      <x:c r="O1338" s="50" t="n">
        <x:v>92</x:v>
      </x:c>
      <x:c r="P1338" s="50" t="n">
        <x:v>21</x:v>
      </x:c>
    </x:row>
    <x:row r="1339" ht="36" customHeight="1">
      <x:c r="A1339" s="53" t="n">
        <x:v>1320</x:v>
      </x:c>
      <x:c r="B1339" s="53" t="n">
        <x:v>2</x:v>
      </x:c>
      <x:c r="C1339" s="40" t="str">
        <x:v>Large-Basket Occasional Shoppers</x:v>
      </x:c>
      <x:c r="D1339" s="60" t="n">
        <x:v>360.43</x:v>
      </x:c>
      <x:c r="E1339" s="50" t="n">
        <x:v>14</x:v>
      </x:c>
      <x:c r="F1339" s="46" t="n">
        <x:v>1.4</x:v>
      </x:c>
      <x:c r="G1339" s="46" t="n">
        <x:v>4</x:v>
      </x:c>
      <x:c r="H1339" s="61" t="n">
        <x:v>25.745</x:v>
      </x:c>
      <x:c r="I1339" s="52" t="n">
        <x:v>0.9285714285714284</x:v>
      </x:c>
      <x:c r="J1339" s="52" t="n">
        <x:v>0.5431012956746109</x:v>
      </x:c>
      <x:c r="K1339" s="60" t="n">
        <x:v>351.87</x:v>
      </x:c>
      <x:c r="L1339" s="60" t="n">
        <x:v>8.56</x:v>
      </x:c>
      <x:c r="M1339" s="50" t="n">
        <x:v>13</x:v>
      </x:c>
      <x:c r="N1339" s="50" t="n">
        <x:v>1</x:v>
      </x:c>
      <x:c r="O1339" s="50" t="n">
        <x:v>52</x:v>
      </x:c>
      <x:c r="P1339" s="50" t="n">
        <x:v>10</x:v>
      </x:c>
    </x:row>
    <x:row r="1340" ht="36" customHeight="1">
      <x:c r="A1340" s="53" t="n">
        <x:v>1321</x:v>
      </x:c>
      <x:c r="B1340" s="53" t="n">
        <x:v>1</x:v>
      </x:c>
      <x:c r="C1340" s="40" t="str">
        <x:v>High-Value Frequent Shoppers</x:v>
      </x:c>
      <x:c r="D1340" s="60" t="n">
        <x:v>1888.13</x:v>
      </x:c>
      <x:c r="E1340" s="50" t="n">
        <x:v>202</x:v>
      </x:c>
      <x:c r="F1340" s="46" t="n">
        <x:v>10.1</x:v>
      </x:c>
      <x:c r="G1340" s="46" t="n">
        <x:v>1</x:v>
      </x:c>
      <x:c r="H1340" s="61" t="n">
        <x:v>9.347178217821783</x:v>
      </x:c>
      <x:c r="I1340" s="52" t="n">
        <x:v>0.9009900990099008</x:v>
      </x:c>
      <x:c r="J1340" s="52" t="n">
        <x:v>0.5354716041797969</x:v>
      </x:c>
      <x:c r="K1340" s="60" t="n">
        <x:v>1817.46</x:v>
      </x:c>
      <x:c r="L1340" s="60" t="n">
        <x:v>70.67</x:v>
      </x:c>
      <x:c r="M1340" s="50" t="n">
        <x:v>182</x:v>
      </x:c>
      <x:c r="N1340" s="50" t="n">
        <x:v>20</x:v>
      </x:c>
      <x:c r="O1340" s="50" t="n">
        <x:v>97</x:v>
      </x:c>
      <x:c r="P1340" s="50" t="n">
        <x:v>20</x:v>
      </x:c>
    </x:row>
    <x:row r="1341" ht="36" customHeight="1">
      <x:c r="A1341" s="53" t="n">
        <x:v>1322</x:v>
      </x:c>
      <x:c r="B1341" s="53" t="n">
        <x:v>3</x:v>
      </x:c>
      <x:c r="C1341" s="40" t="str">
        <x:v>Low-Value Low-Engagement Shoppers</x:v>
      </x:c>
      <x:c r="D1341" s="60" t="n">
        <x:v>260.65</x:v>
      </x:c>
      <x:c r="E1341" s="50" t="n">
        <x:v>16</x:v>
      </x:c>
      <x:c r="F1341" s="46" t="n">
        <x:v>1.4545454545454544</x:v>
      </x:c>
      <x:c r="G1341" s="46" t="n">
        <x:v>23</x:v>
      </x:c>
      <x:c r="H1341" s="61" t="n">
        <x:v>16.290625</x:v>
      </x:c>
      <x:c r="I1341" s="52" t="n">
        <x:v>0.8125</x:v>
      </x:c>
      <x:c r="J1341" s="52" t="n">
        <x:v>0.5034720890082486</x:v>
      </x:c>
      <x:c r="K1341" s="60" t="n">
        <x:v>248.59</x:v>
      </x:c>
      <x:c r="L1341" s="60" t="n">
        <x:v>12.06</x:v>
      </x:c>
      <x:c r="M1341" s="50" t="n">
        <x:v>13</x:v>
      </x:c>
      <x:c r="N1341" s="50" t="n">
        <x:v>3</x:v>
      </x:c>
      <x:c r="O1341" s="50" t="n">
        <x:v>45</x:v>
      </x:c>
      <x:c r="P1341" s="50" t="n">
        <x:v>11</x:v>
      </x:c>
    </x:row>
    <x:row r="1342" ht="36" customHeight="1">
      <x:c r="A1342" s="53" t="n">
        <x:v>1323</x:v>
      </x:c>
      <x:c r="B1342" s="53" t="n">
        <x:v>3</x:v>
      </x:c>
      <x:c r="C1342" s="40" t="str">
        <x:v>Low-Value Low-Engagement Shoppers</x:v>
      </x:c>
      <x:c r="D1342" s="60" t="n">
        <x:v>297.05</x:v>
      </x:c>
      <x:c r="E1342" s="50" t="n">
        <x:v>11</x:v>
      </x:c>
      <x:c r="F1342" s="46" t="n">
        <x:v>1.5714285714285714</x:v>
      </x:c>
      <x:c r="G1342" s="46" t="n">
        <x:v>5</x:v>
      </x:c>
      <x:c r="H1342" s="61" t="n">
        <x:v>27.00454545454545</x:v>
      </x:c>
      <x:c r="I1342" s="52" t="n">
        <x:v>0.7272727272727272</x:v>
      </x:c>
      <x:c r="J1342" s="52" t="n">
        <x:v>0.5103181282612353</x:v>
      </x:c>
      <x:c r="K1342" s="60" t="n">
        <x:v>279.96</x:v>
      </x:c>
      <x:c r="L1342" s="60" t="n">
        <x:v>17.09</x:v>
      </x:c>
      <x:c r="M1342" s="50" t="n">
        <x:v>8</x:v>
      </x:c>
      <x:c r="N1342" s="50" t="n">
        <x:v>3</x:v>
      </x:c>
      <x:c r="O1342" s="50" t="n">
        <x:v>44</x:v>
      </x:c>
      <x:c r="P1342" s="50" t="n">
        <x:v>7</x:v>
      </x:c>
    </x:row>
    <x:row r="1343" ht="36" customHeight="1">
      <x:c r="A1343" s="53" t="n">
        <x:v>1324</x:v>
      </x:c>
      <x:c r="B1343" s="53" t="n">
        <x:v>2</x:v>
      </x:c>
      <x:c r="C1343" s="40" t="str">
        <x:v>Large-Basket Occasional Shoppers</x:v>
      </x:c>
      <x:c r="D1343" s="60" t="n">
        <x:v>2667.23</x:v>
      </x:c>
      <x:c r="E1343" s="50" t="n">
        <x:v>42</x:v>
      </x:c>
      <x:c r="F1343" s="46" t="n">
        <x:v>2.1</x:v>
      </x:c>
      <x:c r="G1343" s="46" t="n">
        <x:v>12</x:v>
      </x:c>
      <x:c r="H1343" s="61" t="n">
        <x:v>63.5054761904762</x:v>
      </x:c>
      <x:c r="I1343" s="52" t="n">
        <x:v>0.9285714285714284</x:v>
      </x:c>
      <x:c r="J1343" s="52" t="n">
        <x:v>0.6257128181671621</x:v>
      </x:c>
      <x:c r="K1343" s="60" t="n">
        <x:v>2583.58</x:v>
      </x:c>
      <x:c r="L1343" s="60" t="n">
        <x:v>83.65</x:v>
      </x:c>
      <x:c r="M1343" s="50" t="n">
        <x:v>39</x:v>
      </x:c>
      <x:c r="N1343" s="50" t="n">
        <x:v>3</x:v>
      </x:c>
      <x:c r="O1343" s="50" t="n">
        <x:v>130</x:v>
      </x:c>
      <x:c r="P1343" s="50" t="n">
        <x:v>20</x:v>
      </x:c>
    </x:row>
    <x:row r="1344" ht="36" customHeight="1">
      <x:c r="A1344" s="53" t="n">
        <x:v>1325</x:v>
      </x:c>
      <x:c r="B1344" s="53" t="n">
        <x:v>1</x:v>
      </x:c>
      <x:c r="C1344" s="40" t="str">
        <x:v>High-Value Frequent Shoppers</x:v>
      </x:c>
      <x:c r="D1344" s="60" t="n">
        <x:v>2835.99</x:v>
      </x:c>
      <x:c r="E1344" s="50" t="n">
        <x:v>64</x:v>
      </x:c>
      <x:c r="F1344" s="46" t="n">
        <x:v>3.7647058823529407</x:v>
      </x:c>
      <x:c r="G1344" s="46" t="n">
        <x:v>2</x:v>
      </x:c>
      <x:c r="H1344" s="61" t="n">
        <x:v>44.31234375</x:v>
      </x:c>
      <x:c r="I1344" s="52" t="n">
        <x:v>0.90625</x:v>
      </x:c>
      <x:c r="J1344" s="52" t="n">
        <x:v>0.3045250512166827</x:v>
      </x:c>
      <x:c r="K1344" s="60" t="n">
        <x:v>2745.02</x:v>
      </x:c>
      <x:c r="L1344" s="60" t="n">
        <x:v>90.97</x:v>
      </x:c>
      <x:c r="M1344" s="50" t="n">
        <x:v>58</x:v>
      </x:c>
      <x:c r="N1344" s="50" t="n">
        <x:v>6</x:v>
      </x:c>
      <x:c r="O1344" s="50" t="n">
        <x:v>165</x:v>
      </x:c>
      <x:c r="P1344" s="50" t="n">
        <x:v>17</x:v>
      </x:c>
    </x:row>
    <x:row r="1345" ht="36" customHeight="1">
      <x:c r="A1345" s="53" t="n">
        <x:v>1326</x:v>
      </x:c>
      <x:c r="B1345" s="53" t="n">
        <x:v>1</x:v>
      </x:c>
      <x:c r="C1345" s="40" t="str">
        <x:v>High-Value Frequent Shoppers</x:v>
      </x:c>
      <x:c r="D1345" s="60" t="n">
        <x:v>8831.21</x:v>
      </x:c>
      <x:c r="E1345" s="50" t="n">
        <x:v>392</x:v>
      </x:c>
      <x:c r="F1345" s="46" t="n">
        <x:v>17.818181818181817</x:v>
      </x:c>
      <x:c r="G1345" s="46" t="n">
        <x:v>4</x:v>
      </x:c>
      <x:c r="H1345" s="61" t="n">
        <x:v>22.52859693877551</x:v>
      </x:c>
      <x:c r="I1345" s="52" t="n">
        <x:v>0.6811224489795918</x:v>
      </x:c>
      <x:c r="J1345" s="52" t="n">
        <x:v>0.5295140756476179</x:v>
      </x:c>
      <x:c r="K1345" s="60" t="n">
        <x:v>7631.98</x:v>
      </x:c>
      <x:c r="L1345" s="60" t="n">
        <x:v>1199.23</x:v>
      </x:c>
      <x:c r="M1345" s="50" t="n">
        <x:v>267</x:v>
      </x:c>
      <x:c r="N1345" s="50" t="n">
        <x:v>125</x:v>
      </x:c>
      <x:c r="O1345" s="50" t="n">
        <x:v>181</x:v>
      </x:c>
      <x:c r="P1345" s="50" t="n">
        <x:v>22</x:v>
      </x:c>
    </x:row>
    <x:row r="1346" ht="36" customHeight="1">
      <x:c r="A1346" s="53" t="n">
        <x:v>1327</x:v>
      </x:c>
      <x:c r="B1346" s="53" t="n">
        <x:v>2</x:v>
      </x:c>
      <x:c r="C1346" s="40" t="str">
        <x:v>Large-Basket Occasional Shoppers</x:v>
      </x:c>
      <x:c r="D1346" s="60" t="n">
        <x:v>477.17</x:v>
      </x:c>
      <x:c r="E1346" s="50" t="n">
        <x:v>9</x:v>
      </x:c>
      <x:c r="F1346" s="46" t="n">
        <x:v>1.5</x:v>
      </x:c>
      <x:c r="G1346" s="46" t="n">
        <x:v>302</x:v>
      </x:c>
      <x:c r="H1346" s="61" t="n">
        <x:v>53.01888888888889</x:v>
      </x:c>
      <x:c r="I1346" s="52" t="n">
        <x:v>0.8888888888888888</x:v>
      </x:c>
      <x:c r="J1346" s="52" t="n">
        <x:v>0.6128214263260473</x:v>
      </x:c>
      <x:c r="K1346" s="60" t="n">
        <x:v>446.61</x:v>
      </x:c>
      <x:c r="L1346" s="60" t="n">
        <x:v>30.56</x:v>
      </x:c>
      <x:c r="M1346" s="50" t="n">
        <x:v>8</x:v>
      </x:c>
      <x:c r="N1346" s="50" t="n">
        <x:v>1</x:v>
      </x:c>
      <x:c r="O1346" s="50" t="n">
        <x:v>62</x:v>
      </x:c>
      <x:c r="P1346" s="50" t="n">
        <x:v>6</x:v>
      </x:c>
    </x:row>
    <x:row r="1347" ht="36" customHeight="1">
      <x:c r="A1347" s="53" t="n">
        <x:v>1328</x:v>
      </x:c>
      <x:c r="B1347" s="53" t="n">
        <x:v>1</x:v>
      </x:c>
      <x:c r="C1347" s="40" t="str">
        <x:v>High-Value Frequent Shoppers</x:v>
      </x:c>
      <x:c r="D1347" s="60" t="n">
        <x:v>2544.89</x:v>
      </x:c>
      <x:c r="E1347" s="50" t="n">
        <x:v>96</x:v>
      </x:c>
      <x:c r="F1347" s="46" t="n">
        <x:v>4.571428571428571</x:v>
      </x:c>
      <x:c r="G1347" s="46" t="n">
        <x:v>1</x:v>
      </x:c>
      <x:c r="H1347" s="61" t="n">
        <x:v>26.50927083333333</x:v>
      </x:c>
      <x:c r="I1347" s="52" t="n">
        <x:v>0.8125</x:v>
      </x:c>
      <x:c r="J1347" s="52" t="n">
        <x:v>0.4278259571140599</x:v>
      </x:c>
      <x:c r="K1347" s="60" t="n">
        <x:v>2322.93</x:v>
      </x:c>
      <x:c r="L1347" s="60" t="n">
        <x:v>221.96</x:v>
      </x:c>
      <x:c r="M1347" s="50" t="n">
        <x:v>78</x:v>
      </x:c>
      <x:c r="N1347" s="50" t="n">
        <x:v>18</x:v>
      </x:c>
      <x:c r="O1347" s="50" t="n">
        <x:v>125</x:v>
      </x:c>
      <x:c r="P1347" s="50" t="n">
        <x:v>21</x:v>
      </x:c>
    </x:row>
    <x:row r="1348" ht="36" customHeight="1">
      <x:c r="A1348" s="53" t="n">
        <x:v>1329</x:v>
      </x:c>
      <x:c r="B1348" s="53" t="n">
        <x:v>2</x:v>
      </x:c>
      <x:c r="C1348" s="40" t="str">
        <x:v>Large-Basket Occasional Shoppers</x:v>
      </x:c>
      <x:c r="D1348" s="60" t="n">
        <x:v>1546.05</x:v>
      </x:c>
      <x:c r="E1348" s="50" t="n">
        <x:v>31</x:v>
      </x:c>
      <x:c r="F1348" s="46" t="n">
        <x:v>1.55</x:v>
      </x:c>
      <x:c r="G1348" s="46" t="n">
        <x:v>10</x:v>
      </x:c>
      <x:c r="H1348" s="61" t="n">
        <x:v>49.872580645161285</x:v>
      </x:c>
      <x:c r="I1348" s="52" t="n">
        <x:v>1</x:v>
      </x:c>
      <x:c r="J1348" s="52" t="n">
        <x:v>0.4802626047023058</x:v>
      </x:c>
      <x:c r="K1348" s="60" t="n">
        <x:v>1546.05</x:v>
      </x:c>
      <x:c r="L1348" s="60" t="n">
        <x:v>0</x:v>
      </x:c>
      <x:c r="M1348" s="50" t="n">
        <x:v>31</x:v>
      </x:c>
      <x:c r="N1348" s="50" t="n">
        <x:v>0</x:v>
      </x:c>
      <x:c r="O1348" s="50" t="n">
        <x:v>107</x:v>
      </x:c>
      <x:c r="P1348" s="50" t="n">
        <x:v>20</x:v>
      </x:c>
    </x:row>
    <x:row r="1349" ht="36" customHeight="1">
      <x:c r="A1349" s="53" t="n">
        <x:v>1330</x:v>
      </x:c>
      <x:c r="B1349" s="53" t="n">
        <x:v>2</x:v>
      </x:c>
      <x:c r="C1349" s="40" t="str">
        <x:v>Large-Basket Occasional Shoppers</x:v>
      </x:c>
      <x:c r="D1349" s="60" t="n">
        <x:v>2177.55</x:v>
      </x:c>
      <x:c r="E1349" s="50" t="n">
        <x:v>86</x:v>
      </x:c>
      <x:c r="F1349" s="46" t="n">
        <x:v>3.739130434782609</x:v>
      </x:c>
      <x:c r="G1349" s="46" t="n">
        <x:v>4</x:v>
      </x:c>
      <x:c r="H1349" s="61" t="n">
        <x:v>25.320348837209306</x:v>
      </x:c>
      <x:c r="I1349" s="52" t="n">
        <x:v>0.872093023255814</x:v>
      </x:c>
      <x:c r="J1349" s="52" t="n">
        <x:v>0.5772175150972423</x:v>
      </x:c>
      <x:c r="K1349" s="60" t="n">
        <x:v>2046.54</x:v>
      </x:c>
      <x:c r="L1349" s="60" t="n">
        <x:v>131.01</x:v>
      </x:c>
      <x:c r="M1349" s="50" t="n">
        <x:v>75</x:v>
      </x:c>
      <x:c r="N1349" s="50" t="n">
        <x:v>11</x:v>
      </x:c>
      <x:c r="O1349" s="50" t="n">
        <x:v>110</x:v>
      </x:c>
      <x:c r="P1349" s="50" t="n">
        <x:v>23</x:v>
      </x:c>
    </x:row>
    <x:row r="1350" ht="36" customHeight="1">
      <x:c r="A1350" s="53" t="n">
        <x:v>1331</x:v>
      </x:c>
      <x:c r="B1350" s="53" t="n">
        <x:v>3</x:v>
      </x:c>
      <x:c r="C1350" s="40" t="str">
        <x:v>Low-Value Low-Engagement Shoppers</x:v>
      </x:c>
      <x:c r="D1350" s="60" t="n">
        <x:v>1821.03</x:v>
      </x:c>
      <x:c r="E1350" s="50" t="n">
        <x:v>105</x:v>
      </x:c>
      <x:c r="F1350" s="46" t="n">
        <x:v>5</x:v>
      </x:c>
      <x:c r="G1350" s="46" t="n">
        <x:v>33</x:v>
      </x:c>
      <x:c r="H1350" s="61" t="n">
        <x:v>17.343142857142855</x:v>
      </x:c>
      <x:c r="I1350" s="52" t="n">
        <x:v>0.5809523809523809</x:v>
      </x:c>
      <x:c r="J1350" s="52" t="n">
        <x:v>0.3730031905020784</x:v>
      </x:c>
      <x:c r="K1350" s="60" t="n">
        <x:v>1504.82</x:v>
      </x:c>
      <x:c r="L1350" s="60" t="n">
        <x:v>316.21</x:v>
      </x:c>
      <x:c r="M1350" s="50" t="n">
        <x:v>61</x:v>
      </x:c>
      <x:c r="N1350" s="50" t="n">
        <x:v>44</x:v>
      </x:c>
      <x:c r="O1350" s="50" t="n">
        <x:v>118</x:v>
      </x:c>
      <x:c r="P1350" s="50" t="n">
        <x:v>21</x:v>
      </x:c>
    </x:row>
    <x:row r="1351" ht="36" customHeight="1">
      <x:c r="A1351" s="53" t="n">
        <x:v>1332</x:v>
      </x:c>
      <x:c r="B1351" s="53" t="n">
        <x:v>2</x:v>
      </x:c>
      <x:c r="C1351" s="40" t="str">
        <x:v>Large-Basket Occasional Shoppers</x:v>
      </x:c>
      <x:c r="D1351" s="60" t="n">
        <x:v>2047.26</x:v>
      </x:c>
      <x:c r="E1351" s="50" t="n">
        <x:v>60</x:v>
      </x:c>
      <x:c r="F1351" s="46" t="n">
        <x:v>2.7272727272727275</x:v>
      </x:c>
      <x:c r="G1351" s="46" t="n">
        <x:v>5</x:v>
      </x:c>
      <x:c r="H1351" s="61" t="n">
        <x:v>34.121</x:v>
      </x:c>
      <x:c r="I1351" s="52" t="n">
        <x:v>0.9333333333333332</x:v>
      </x:c>
      <x:c r="J1351" s="52" t="n">
        <x:v>0.3653615075759796</x:v>
      </x:c>
      <x:c r="K1351" s="60" t="n">
        <x:v>2015.41</x:v>
      </x:c>
      <x:c r="L1351" s="60" t="n">
        <x:v>31.85</x:v>
      </x:c>
      <x:c r="M1351" s="50" t="n">
        <x:v>56</x:v>
      </x:c>
      <x:c r="N1351" s="50" t="n">
        <x:v>4</x:v>
      </x:c>
      <x:c r="O1351" s="50" t="n">
        <x:v>138</x:v>
      </x:c>
      <x:c r="P1351" s="50" t="n">
        <x:v>22</x:v>
      </x:c>
    </x:row>
    <x:row r="1352" ht="36" customHeight="1">
      <x:c r="A1352" s="53" t="n">
        <x:v>1333</x:v>
      </x:c>
      <x:c r="B1352" s="53" t="n">
        <x:v>1</x:v>
      </x:c>
      <x:c r="C1352" s="40" t="str">
        <x:v>High-Value Frequent Shoppers</x:v>
      </x:c>
      <x:c r="D1352" s="60" t="n">
        <x:v>7709.85</x:v>
      </x:c>
      <x:c r="E1352" s="50" t="n">
        <x:v>129</x:v>
      </x:c>
      <x:c r="F1352" s="46" t="n">
        <x:v>5.863636363636364</x:v>
      </x:c>
      <x:c r="G1352" s="46" t="n">
        <x:v>6</x:v>
      </x:c>
      <x:c r="H1352" s="61" t="n">
        <x:v>59.76627906976744</x:v>
      </x:c>
      <x:c r="I1352" s="52" t="n">
        <x:v>0.8837209302325582</x:v>
      </x:c>
      <x:c r="J1352" s="52" t="n">
        <x:v>0.3924110066992224</x:v>
      </x:c>
      <x:c r="K1352" s="60" t="n">
        <x:v>7482.28</x:v>
      </x:c>
      <x:c r="L1352" s="60" t="n">
        <x:v>227.57</x:v>
      </x:c>
      <x:c r="M1352" s="50" t="n">
        <x:v>114</x:v>
      </x:c>
      <x:c r="N1352" s="50" t="n">
        <x:v>15</x:v>
      </x:c>
      <x:c r="O1352" s="50" t="n">
        <x:v>187</x:v>
      </x:c>
      <x:c r="P1352" s="50" t="n">
        <x:v>22</x:v>
      </x:c>
    </x:row>
    <x:row r="1353" ht="36" customHeight="1">
      <x:c r="A1353" s="53" t="n">
        <x:v>1334</x:v>
      </x:c>
      <x:c r="B1353" s="53" t="n">
        <x:v>3</x:v>
      </x:c>
      <x:c r="C1353" s="40" t="str">
        <x:v>Low-Value Low-Engagement Shoppers</x:v>
      </x:c>
      <x:c r="D1353" s="60" t="n">
        <x:v>629.58</x:v>
      </x:c>
      <x:c r="E1353" s="50" t="n">
        <x:v>57</x:v>
      </x:c>
      <x:c r="F1353" s="46" t="n">
        <x:v>4.384615384615385</x:v>
      </x:c>
      <x:c r="G1353" s="46" t="n">
        <x:v>14</x:v>
      </x:c>
      <x:c r="H1353" s="61" t="n">
        <x:v>11.045263157894736</x:v>
      </x:c>
      <x:c r="I1353" s="52" t="n">
        <x:v>0.7719298245614035</x:v>
      </x:c>
      <x:c r="J1353" s="52" t="n">
        <x:v>0.5247148892912735</x:v>
      </x:c>
      <x:c r="K1353" s="60" t="n">
        <x:v>584.92</x:v>
      </x:c>
      <x:c r="L1353" s="60" t="n">
        <x:v>44.66</x:v>
      </x:c>
      <x:c r="M1353" s="50" t="n">
        <x:v>44</x:v>
      </x:c>
      <x:c r="N1353" s="50" t="n">
        <x:v>13</x:v>
      </x:c>
      <x:c r="O1353" s="50" t="n">
        <x:v>79</x:v>
      </x:c>
      <x:c r="P1353" s="50" t="n">
        <x:v>13</x:v>
      </x:c>
    </x:row>
    <x:row r="1354" ht="36" customHeight="1">
      <x:c r="A1354" s="53" t="n">
        <x:v>1335</x:v>
      </x:c>
      <x:c r="B1354" s="53" t="n">
        <x:v>2</x:v>
      </x:c>
      <x:c r="C1354" s="40" t="str">
        <x:v>Large-Basket Occasional Shoppers</x:v>
      </x:c>
      <x:c r="D1354" s="60" t="n">
        <x:v>978.87</x:v>
      </x:c>
      <x:c r="E1354" s="50" t="n">
        <x:v>31</x:v>
      </x:c>
      <x:c r="F1354" s="46" t="n">
        <x:v>1.9375</x:v>
      </x:c>
      <x:c r="G1354" s="46" t="n">
        <x:v>22</x:v>
      </x:c>
      <x:c r="H1354" s="61" t="n">
        <x:v>31.576451612903224</x:v>
      </x:c>
      <x:c r="I1354" s="52" t="n">
        <x:v>0.9677419354838708</x:v>
      </x:c>
      <x:c r="J1354" s="52" t="n">
        <x:v>0.7653314536148824</x:v>
      </x:c>
      <x:c r="K1354" s="60" t="n">
        <x:v>976.7</x:v>
      </x:c>
      <x:c r="L1354" s="60" t="n">
        <x:v>2.17</x:v>
      </x:c>
      <x:c r="M1354" s="50" t="n">
        <x:v>30</x:v>
      </x:c>
      <x:c r="N1354" s="50" t="n">
        <x:v>1</x:v>
      </x:c>
      <x:c r="O1354" s="50" t="n">
        <x:v>84</x:v>
      </x:c>
      <x:c r="P1354" s="50" t="n">
        <x:v>16</x:v>
      </x:c>
    </x:row>
    <x:row r="1355" ht="36" customHeight="1">
      <x:c r="A1355" s="53" t="n">
        <x:v>1336</x:v>
      </x:c>
      <x:c r="B1355" s="53" t="n">
        <x:v>1</x:v>
      </x:c>
      <x:c r="C1355" s="40" t="str">
        <x:v>High-Value Frequent Shoppers</x:v>
      </x:c>
      <x:c r="D1355" s="60" t="n">
        <x:v>6035.21</x:v>
      </x:c>
      <x:c r="E1355" s="50" t="n">
        <x:v>123</x:v>
      </x:c>
      <x:c r="F1355" s="46" t="n">
        <x:v>5.3478260869565215</x:v>
      </x:c>
      <x:c r="G1355" s="46" t="n">
        <x:v>3</x:v>
      </x:c>
      <x:c r="H1355" s="61" t="n">
        <x:v>49.06674796747968</x:v>
      </x:c>
      <x:c r="I1355" s="52" t="n">
        <x:v>0.9756097560975608</x:v>
      </x:c>
      <x:c r="J1355" s="52" t="n">
        <x:v>0.7398002720700688</x:v>
      </x:c>
      <x:c r="K1355" s="60" t="n">
        <x:v>6005.21</x:v>
      </x:c>
      <x:c r="L1355" s="60" t="n">
        <x:v>30</x:v>
      </x:c>
      <x:c r="M1355" s="50" t="n">
        <x:v>120</x:v>
      </x:c>
      <x:c r="N1355" s="50" t="n">
        <x:v>3</x:v>
      </x:c>
      <x:c r="O1355" s="50" t="n">
        <x:v>130</x:v>
      </x:c>
      <x:c r="P1355" s="50" t="n">
        <x:v>23</x:v>
      </x:c>
    </x:row>
    <x:row r="1356" ht="36" customHeight="1">
      <x:c r="A1356" s="53" t="n">
        <x:v>1337</x:v>
      </x:c>
      <x:c r="B1356" s="53" t="n">
        <x:v>1</x:v>
      </x:c>
      <x:c r="C1356" s="40" t="str">
        <x:v>High-Value Frequent Shoppers</x:v>
      </x:c>
      <x:c r="D1356" s="60" t="n">
        <x:v>11500.76</x:v>
      </x:c>
      <x:c r="E1356" s="50" t="n">
        <x:v>244</x:v>
      </x:c>
      <x:c r="F1356" s="46" t="n">
        <x:v>11.61904761904762</x:v>
      </x:c>
      <x:c r="G1356" s="46" t="n">
        <x:v>0</x:v>
      </x:c>
      <x:c r="H1356" s="61" t="n">
        <x:v>47.13426229508197</x:v>
      </x:c>
      <x:c r="I1356" s="52" t="n">
        <x:v>0.9221311475409836</x:v>
      </x:c>
      <x:c r="J1356" s="52" t="n">
        <x:v>0.6555132008667253</x:v>
      </x:c>
      <x:c r="K1356" s="60" t="n">
        <x:v>11320.51</x:v>
      </x:c>
      <x:c r="L1356" s="60" t="n">
        <x:v>180.25</x:v>
      </x:c>
      <x:c r="M1356" s="50" t="n">
        <x:v>225</x:v>
      </x:c>
      <x:c r="N1356" s="50" t="n">
        <x:v>19</x:v>
      </x:c>
      <x:c r="O1356" s="50" t="n">
        <x:v>205</x:v>
      </x:c>
      <x:c r="P1356" s="50" t="n">
        <x:v>21</x:v>
      </x:c>
    </x:row>
    <x:row r="1357" ht="36" customHeight="1">
      <x:c r="A1357" s="53" t="n">
        <x:v>1338</x:v>
      </x:c>
      <x:c r="B1357" s="53" t="n">
        <x:v>1</x:v>
      </x:c>
      <x:c r="C1357" s="40" t="str">
        <x:v>High-Value Frequent Shoppers</x:v>
      </x:c>
      <x:c r="D1357" s="60" t="n">
        <x:v>1783.98</x:v>
      </x:c>
      <x:c r="E1357" s="50" t="n">
        <x:v>189</x:v>
      </x:c>
      <x:c r="F1357" s="46" t="n">
        <x:v>13.5</x:v>
      </x:c>
      <x:c r="G1357" s="46" t="n">
        <x:v>1</x:v>
      </x:c>
      <x:c r="H1357" s="61" t="n">
        <x:v>9.43904761904762</x:v>
      </x:c>
      <x:c r="I1357" s="52" t="n">
        <x:v>0.6984126984126984</x:v>
      </x:c>
      <x:c r="J1357" s="52" t="n">
        <x:v>0.5132176369690243</x:v>
      </x:c>
      <x:c r="K1357" s="60" t="n">
        <x:v>1594.63</x:v>
      </x:c>
      <x:c r="L1357" s="60" t="n">
        <x:v>189.35</x:v>
      </x:c>
      <x:c r="M1357" s="50" t="n">
        <x:v>132</x:v>
      </x:c>
      <x:c r="N1357" s="50" t="n">
        <x:v>57</x:v>
      </x:c>
      <x:c r="O1357" s="50" t="n">
        <x:v>116</x:v>
      </x:c>
      <x:c r="P1357" s="50" t="n">
        <x:v>14</x:v>
      </x:c>
    </x:row>
    <x:row r="1358" ht="36" customHeight="1">
      <x:c r="A1358" s="53" t="n">
        <x:v>1339</x:v>
      </x:c>
      <x:c r="B1358" s="53" t="n">
        <x:v>2</x:v>
      </x:c>
      <x:c r="C1358" s="40" t="str">
        <x:v>Large-Basket Occasional Shoppers</x:v>
      </x:c>
      <x:c r="D1358" s="60" t="n">
        <x:v>390.16</x:v>
      </x:c>
      <x:c r="E1358" s="50" t="n">
        <x:v>6</x:v>
      </x:c>
      <x:c r="F1358" s="46" t="n">
        <x:v>1</x:v>
      </x:c>
      <x:c r="G1358" s="46" t="n">
        <x:v>10</x:v>
      </x:c>
      <x:c r="H1358" s="61" t="n">
        <x:v>65.02666666666667</x:v>
      </x:c>
      <x:c r="I1358" s="52" t="n">
        <x:v>0.8333333333333333</x:v>
      </x:c>
      <x:c r="J1358" s="52" t="n">
        <x:v>0.6779782653270453</x:v>
      </x:c>
      <x:c r="K1358" s="60" t="n">
        <x:v>382.17</x:v>
      </x:c>
      <x:c r="L1358" s="60" t="n">
        <x:v>7.99</x:v>
      </x:c>
      <x:c r="M1358" s="50" t="n">
        <x:v>5</x:v>
      </x:c>
      <x:c r="N1358" s="50" t="n">
        <x:v>1</x:v>
      </x:c>
      <x:c r="O1358" s="50" t="n">
        <x:v>8</x:v>
      </x:c>
      <x:c r="P1358" s="50" t="n">
        <x:v>6</x:v>
      </x:c>
    </x:row>
    <x:row r="1359" ht="36" customHeight="1">
      <x:c r="A1359" s="53" t="n">
        <x:v>1340</x:v>
      </x:c>
      <x:c r="B1359" s="53" t="n">
        <x:v>3</x:v>
      </x:c>
      <x:c r="C1359" s="40" t="str">
        <x:v>Low-Value Low-Engagement Shoppers</x:v>
      </x:c>
      <x:c r="D1359" s="60" t="n">
        <x:v>512.53</x:v>
      </x:c>
      <x:c r="E1359" s="50" t="n">
        <x:v>57</x:v>
      </x:c>
      <x:c r="F1359" s="46" t="n">
        <x:v>2.85</x:v>
      </x:c>
      <x:c r="G1359" s="46" t="n">
        <x:v>16</x:v>
      </x:c>
      <x:c r="H1359" s="61" t="n">
        <x:v>8.991754385964912</x:v>
      </x:c>
      <x:c r="I1359" s="52" t="n">
        <x:v>0.5964912280701754</x:v>
      </x:c>
      <x:c r="J1359" s="52" t="n">
        <x:v>0.3741829746551421</x:v>
      </x:c>
      <x:c r="K1359" s="60" t="n">
        <x:v>360.88</x:v>
      </x:c>
      <x:c r="L1359" s="60" t="n">
        <x:v>151.65</x:v>
      </x:c>
      <x:c r="M1359" s="50" t="n">
        <x:v>34</x:v>
      </x:c>
      <x:c r="N1359" s="50" t="n">
        <x:v>23</x:v>
      </x:c>
      <x:c r="O1359" s="50" t="n">
        <x:v>72</x:v>
      </x:c>
      <x:c r="P1359" s="50" t="n">
        <x:v>20</x:v>
      </x:c>
    </x:row>
    <x:row r="1360" ht="36" customHeight="1">
      <x:c r="A1360" s="53" t="n">
        <x:v>1341</x:v>
      </x:c>
      <x:c r="B1360" s="53" t="n">
        <x:v>2</x:v>
      </x:c>
      <x:c r="C1360" s="40" t="str">
        <x:v>Large-Basket Occasional Shoppers</x:v>
      </x:c>
      <x:c r="D1360" s="60" t="n">
        <x:v>434.77</x:v>
      </x:c>
      <x:c r="E1360" s="50" t="n">
        <x:v>13</x:v>
      </x:c>
      <x:c r="F1360" s="46" t="n">
        <x:v>1.625</x:v>
      </x:c>
      <x:c r="G1360" s="46" t="n">
        <x:v>74</x:v>
      </x:c>
      <x:c r="H1360" s="61" t="n">
        <x:v>33.44384615384616</x:v>
      </x:c>
      <x:c r="I1360" s="52" t="n">
        <x:v>0.923076923076923</x:v>
      </x:c>
      <x:c r="J1360" s="52" t="n">
        <x:v>0.6656623042068219</x:v>
      </x:c>
      <x:c r="K1360" s="60" t="n">
        <x:v>426.78</x:v>
      </x:c>
      <x:c r="L1360" s="60" t="n">
        <x:v>7.99</x:v>
      </x:c>
      <x:c r="M1360" s="50" t="n">
        <x:v>12</x:v>
      </x:c>
      <x:c r="N1360" s="50" t="n">
        <x:v>1</x:v>
      </x:c>
      <x:c r="O1360" s="50" t="n">
        <x:v>46</x:v>
      </x:c>
      <x:c r="P1360" s="50" t="n">
        <x:v>8</x:v>
      </x:c>
    </x:row>
    <x:row r="1361" ht="36" customHeight="1">
      <x:c r="A1361" s="53" t="n">
        <x:v>1342</x:v>
      </x:c>
      <x:c r="B1361" s="53" t="n">
        <x:v>3</x:v>
      </x:c>
      <x:c r="C1361" s="40" t="str">
        <x:v>Low-Value Low-Engagement Shoppers</x:v>
      </x:c>
      <x:c r="D1361" s="60" t="n">
        <x:v>160.02</x:v>
      </x:c>
      <x:c r="E1361" s="50" t="n">
        <x:v>12</x:v>
      </x:c>
      <x:c r="F1361" s="46" t="n">
        <x:v>1.3333333333333333</x:v>
      </x:c>
      <x:c r="G1361" s="46" t="n">
        <x:v>33</x:v>
      </x:c>
      <x:c r="H1361" s="61" t="n">
        <x:v>13.335</x:v>
      </x:c>
      <x:c r="I1361" s="52" t="n">
        <x:v>0.75</x:v>
      </x:c>
      <x:c r="J1361" s="52" t="n">
        <x:v>0.5284964379452568</x:v>
      </x:c>
      <x:c r="K1361" s="60" t="n">
        <x:v>122.11</x:v>
      </x:c>
      <x:c r="L1361" s="60" t="n">
        <x:v>37.91</x:v>
      </x:c>
      <x:c r="M1361" s="50" t="n">
        <x:v>9</x:v>
      </x:c>
      <x:c r="N1361" s="50" t="n">
        <x:v>3</x:v>
      </x:c>
      <x:c r="O1361" s="50" t="n">
        <x:v>24</x:v>
      </x:c>
      <x:c r="P1361" s="50" t="n">
        <x:v>9</x:v>
      </x:c>
    </x:row>
    <x:row r="1362" ht="36" customHeight="1">
      <x:c r="A1362" s="53" t="n">
        <x:v>1343</x:v>
      </x:c>
      <x:c r="B1362" s="53" t="n">
        <x:v>2</x:v>
      </x:c>
      <x:c r="C1362" s="40" t="str">
        <x:v>Large-Basket Occasional Shoppers</x:v>
      </x:c>
      <x:c r="D1362" s="60" t="n">
        <x:v>267.19</x:v>
      </x:c>
      <x:c r="E1362" s="50" t="n">
        <x:v>12</x:v>
      </x:c>
      <x:c r="F1362" s="46" t="n">
        <x:v>1.5</x:v>
      </x:c>
      <x:c r="G1362" s="46" t="n">
        <x:v>46</x:v>
      </x:c>
      <x:c r="H1362" s="61" t="n">
        <x:v>22.265833333333333</x:v>
      </x:c>
      <x:c r="I1362" s="52" t="n">
        <x:v>1</x:v>
      </x:c>
      <x:c r="J1362" s="52" t="n">
        <x:v>0.4696283543545791</x:v>
      </x:c>
      <x:c r="K1362" s="60" t="n">
        <x:v>267.19</x:v>
      </x:c>
      <x:c r="L1362" s="60" t="n">
        <x:v>0</x:v>
      </x:c>
      <x:c r="M1362" s="50" t="n">
        <x:v>12</x:v>
      </x:c>
      <x:c r="N1362" s="50" t="n">
        <x:v>0</x:v>
      </x:c>
      <x:c r="O1362" s="50" t="n">
        <x:v>50</x:v>
      </x:c>
      <x:c r="P1362" s="50" t="n">
        <x:v>8</x:v>
      </x:c>
    </x:row>
    <x:row r="1363" ht="36" customHeight="1">
      <x:c r="A1363" s="53" t="n">
        <x:v>1344</x:v>
      </x:c>
      <x:c r="B1363" s="53" t="n">
        <x:v>2</x:v>
      </x:c>
      <x:c r="C1363" s="40" t="str">
        <x:v>Large-Basket Occasional Shoppers</x:v>
      </x:c>
      <x:c r="D1363" s="60" t="n">
        <x:v>2728.78</x:v>
      </x:c>
      <x:c r="E1363" s="50" t="n">
        <x:v>27</x:v>
      </x:c>
      <x:c r="F1363" s="46" t="n">
        <x:v>1.5882352941176472</x:v>
      </x:c>
      <x:c r="G1363" s="46" t="n">
        <x:v>20</x:v>
      </x:c>
      <x:c r="H1363" s="61" t="n">
        <x:v>101.06592592592592</x:v>
      </x:c>
      <x:c r="I1363" s="52" t="n">
        <x:v>0.925925925925926</x:v>
      </x:c>
      <x:c r="J1363" s="52" t="n">
        <x:v>0.5747770065743665</x:v>
      </x:c>
      <x:c r="K1363" s="60" t="n">
        <x:v>2684.63</x:v>
      </x:c>
      <x:c r="L1363" s="60" t="n">
        <x:v>44.15</x:v>
      </x:c>
      <x:c r="M1363" s="50" t="n">
        <x:v>25</x:v>
      </x:c>
      <x:c r="N1363" s="50" t="n">
        <x:v>2</x:v>
      </x:c>
      <x:c r="O1363" s="50" t="n">
        <x:v>99</x:v>
      </x:c>
      <x:c r="P1363" s="50" t="n">
        <x:v>17</x:v>
      </x:c>
    </x:row>
    <x:row r="1364" ht="36" customHeight="1">
      <x:c r="A1364" s="53" t="n">
        <x:v>1345</x:v>
      </x:c>
      <x:c r="B1364" s="53" t="n">
        <x:v>2</x:v>
      </x:c>
      <x:c r="C1364" s="40" t="str">
        <x:v>Large-Basket Occasional Shoppers</x:v>
      </x:c>
      <x:c r="D1364" s="60" t="n">
        <x:v>1348.56</x:v>
      </x:c>
      <x:c r="E1364" s="50" t="n">
        <x:v>56</x:v>
      </x:c>
      <x:c r="F1364" s="46" t="n">
        <x:v>2.5454545454545454</x:v>
      </x:c>
      <x:c r="G1364" s="46" t="n">
        <x:v>21</x:v>
      </x:c>
      <x:c r="H1364" s="61" t="n">
        <x:v>24.081428571428567</x:v>
      </x:c>
      <x:c r="I1364" s="52" t="n">
        <x:v>0.7857142857142857</x:v>
      </x:c>
      <x:c r="J1364" s="52" t="n">
        <x:v>0.4137005398350833</x:v>
      </x:c>
      <x:c r="K1364" s="60" t="n">
        <x:v>1243.14</x:v>
      </x:c>
      <x:c r="L1364" s="60" t="n">
        <x:v>105.42</x:v>
      </x:c>
      <x:c r="M1364" s="50" t="n">
        <x:v>44</x:v>
      </x:c>
      <x:c r="N1364" s="50" t="n">
        <x:v>12</x:v>
      </x:c>
      <x:c r="O1364" s="50" t="n">
        <x:v>110</x:v>
      </x:c>
      <x:c r="P1364" s="50" t="n">
        <x:v>22</x:v>
      </x:c>
    </x:row>
    <x:row r="1365" ht="36" customHeight="1">
      <x:c r="A1365" s="53" t="n">
        <x:v>1346</x:v>
      </x:c>
      <x:c r="B1365" s="53" t="n">
        <x:v>3</x:v>
      </x:c>
      <x:c r="C1365" s="40" t="str">
        <x:v>Low-Value Low-Engagement Shoppers</x:v>
      </x:c>
      <x:c r="D1365" s="60" t="n">
        <x:v>1174.31</x:v>
      </x:c>
      <x:c r="E1365" s="50" t="n">
        <x:v>80</x:v>
      </x:c>
      <x:c r="F1365" s="46" t="n">
        <x:v>3.8095238095238098</x:v>
      </x:c>
      <x:c r="G1365" s="46" t="n">
        <x:v>0</x:v>
      </x:c>
      <x:c r="H1365" s="61" t="n">
        <x:v>14.678875</x:v>
      </x:c>
      <x:c r="I1365" s="52" t="n">
        <x:v>0.725</x:v>
      </x:c>
      <x:c r="J1365" s="52" t="n">
        <x:v>0.3755567098977271</x:v>
      </x:c>
      <x:c r="K1365" s="60" t="n">
        <x:v>1026.52</x:v>
      </x:c>
      <x:c r="L1365" s="60" t="n">
        <x:v>147.79</x:v>
      </x:c>
      <x:c r="M1365" s="50" t="n">
        <x:v>58</x:v>
      </x:c>
      <x:c r="N1365" s="50" t="n">
        <x:v>22</x:v>
      </x:c>
      <x:c r="O1365" s="50" t="n">
        <x:v>83</x:v>
      </x:c>
      <x:c r="P1365" s="50" t="n">
        <x:v>21</x:v>
      </x:c>
    </x:row>
    <x:row r="1366" ht="36" customHeight="1">
      <x:c r="A1366" s="53" t="n">
        <x:v>1347</x:v>
      </x:c>
      <x:c r="B1366" s="53" t="n">
        <x:v>1</x:v>
      </x:c>
      <x:c r="C1366" s="40" t="str">
        <x:v>High-Value Frequent Shoppers</x:v>
      </x:c>
      <x:c r="D1366" s="60" t="n">
        <x:v>3360.34</x:v>
      </x:c>
      <x:c r="E1366" s="50" t="n">
        <x:v>131</x:v>
      </x:c>
      <x:c r="F1366" s="46" t="n">
        <x:v>5.954545454545455</x:v>
      </x:c>
      <x:c r="G1366" s="46" t="n">
        <x:v>5</x:v>
      </x:c>
      <x:c r="H1366" s="61" t="n">
        <x:v>25.65145038167939</x:v>
      </x:c>
      <x:c r="I1366" s="52" t="n">
        <x:v>0.7786259541984732</x:v>
      </x:c>
      <x:c r="J1366" s="52" t="n">
        <x:v>0.5176619032597891</x:v>
      </x:c>
      <x:c r="K1366" s="60" t="n">
        <x:v>3015.54</x:v>
      </x:c>
      <x:c r="L1366" s="60" t="n">
        <x:v>344.8</x:v>
      </x:c>
      <x:c r="M1366" s="50" t="n">
        <x:v>102</x:v>
      </x:c>
      <x:c r="N1366" s="50" t="n">
        <x:v>29</x:v>
      </x:c>
      <x:c r="O1366" s="50" t="n">
        <x:v>139</x:v>
      </x:c>
      <x:c r="P1366" s="50" t="n">
        <x:v>22</x:v>
      </x:c>
    </x:row>
    <x:row r="1367" ht="36" customHeight="1">
      <x:c r="A1367" s="53" t="n">
        <x:v>1348</x:v>
      </x:c>
      <x:c r="B1367" s="53" t="n">
        <x:v>3</x:v>
      </x:c>
      <x:c r="C1367" s="40" t="str">
        <x:v>Low-Value Low-Engagement Shoppers</x:v>
      </x:c>
      <x:c r="D1367" s="60" t="n">
        <x:v>324.22</x:v>
      </x:c>
      <x:c r="E1367" s="50" t="n">
        <x:v>23</x:v>
      </x:c>
      <x:c r="F1367" s="46" t="n">
        <x:v>1.6428571428571428</x:v>
      </x:c>
      <x:c r="G1367" s="46" t="n">
        <x:v>85</x:v>
      </x:c>
      <x:c r="H1367" s="61" t="n">
        <x:v>14.096521739130434</x:v>
      </x:c>
      <x:c r="I1367" s="52" t="n">
        <x:v>0.6956521739130433</x:v>
      </x:c>
      <x:c r="J1367" s="52" t="n">
        <x:v>0.2299056196409845</x:v>
      </x:c>
      <x:c r="K1367" s="60" t="n">
        <x:v>243.6</x:v>
      </x:c>
      <x:c r="L1367" s="60" t="n">
        <x:v>80.62</x:v>
      </x:c>
      <x:c r="M1367" s="50" t="n">
        <x:v>16</x:v>
      </x:c>
      <x:c r="N1367" s="50" t="n">
        <x:v>7</x:v>
      </x:c>
      <x:c r="O1367" s="50" t="n">
        <x:v>30</x:v>
      </x:c>
      <x:c r="P1367" s="50" t="n">
        <x:v>14</x:v>
      </x:c>
    </x:row>
    <x:row r="1368" ht="36" customHeight="1">
      <x:c r="A1368" s="53" t="n">
        <x:v>1349</x:v>
      </x:c>
      <x:c r="B1368" s="53" t="n">
        <x:v>1</x:v>
      </x:c>
      <x:c r="C1368" s="40" t="str">
        <x:v>High-Value Frequent Shoppers</x:v>
      </x:c>
      <x:c r="D1368" s="60" t="n">
        <x:v>5380.22</x:v>
      </x:c>
      <x:c r="E1368" s="50" t="n">
        <x:v>202</x:v>
      </x:c>
      <x:c r="F1368" s="46" t="n">
        <x:v>9.61904761904762</x:v>
      </x:c>
      <x:c r="G1368" s="46" t="n">
        <x:v>0</x:v>
      </x:c>
      <x:c r="H1368" s="61" t="n">
        <x:v>26.634752475247524</x:v>
      </x:c>
      <x:c r="I1368" s="52" t="n">
        <x:v>0.8712871287128712</x:v>
      </x:c>
      <x:c r="J1368" s="52" t="n">
        <x:v>0.6125418663177342</x:v>
      </x:c>
      <x:c r="K1368" s="60" t="n">
        <x:v>5197.38</x:v>
      </x:c>
      <x:c r="L1368" s="60" t="n">
        <x:v>182.84</x:v>
      </x:c>
      <x:c r="M1368" s="50" t="n">
        <x:v>176</x:v>
      </x:c>
      <x:c r="N1368" s="50" t="n">
        <x:v>26</x:v>
      </x:c>
      <x:c r="O1368" s="50" t="n">
        <x:v>141</x:v>
      </x:c>
      <x:c r="P1368" s="50" t="n">
        <x:v>21</x:v>
      </x:c>
    </x:row>
    <x:row r="1369" ht="36" customHeight="1">
      <x:c r="A1369" s="53" t="n">
        <x:v>1350</x:v>
      </x:c>
      <x:c r="B1369" s="53" t="n">
        <x:v>1</x:v>
      </x:c>
      <x:c r="C1369" s="40" t="str">
        <x:v>High-Value Frequent Shoppers</x:v>
      </x:c>
      <x:c r="D1369" s="60" t="n">
        <x:v>2568.6</x:v>
      </x:c>
      <x:c r="E1369" s="50" t="n">
        <x:v>131</x:v>
      </x:c>
      <x:c r="F1369" s="46" t="n">
        <x:v>6.238095238095238</x:v>
      </x:c>
      <x:c r="G1369" s="46" t="n">
        <x:v>2</x:v>
      </x:c>
      <x:c r="H1369" s="61" t="n">
        <x:v>19.607633587786257</x:v>
      </x:c>
      <x:c r="I1369" s="52" t="n">
        <x:v>0.8854961832061068</x:v>
      </x:c>
      <x:c r="J1369" s="52" t="n">
        <x:v>0.6838394456123958</x:v>
      </x:c>
      <x:c r="K1369" s="60" t="n">
        <x:v>2529.18</x:v>
      </x:c>
      <x:c r="L1369" s="60" t="n">
        <x:v>39.42</x:v>
      </x:c>
      <x:c r="M1369" s="50" t="n">
        <x:v>116</x:v>
      </x:c>
      <x:c r="N1369" s="50" t="n">
        <x:v>15</x:v>
      </x:c>
      <x:c r="O1369" s="50" t="n">
        <x:v>142</x:v>
      </x:c>
      <x:c r="P1369" s="50" t="n">
        <x:v>21</x:v>
      </x:c>
    </x:row>
    <x:row r="1370" ht="36" customHeight="1">
      <x:c r="A1370" s="53" t="n">
        <x:v>1351</x:v>
      </x:c>
      <x:c r="B1370" s="53" t="n">
        <x:v>3</x:v>
      </x:c>
      <x:c r="C1370" s="40" t="str">
        <x:v>Low-Value Low-Engagement Shoppers</x:v>
      </x:c>
      <x:c r="D1370" s="60" t="n">
        <x:v>564.4</x:v>
      </x:c>
      <x:c r="E1370" s="50" t="n">
        <x:v>91</x:v>
      </x:c>
      <x:c r="F1370" s="46" t="n">
        <x:v>4.136363636363637</x:v>
      </x:c>
      <x:c r="G1370" s="46" t="n">
        <x:v>14</x:v>
      </x:c>
      <x:c r="H1370" s="61" t="n">
        <x:v>6.2021978021978015</x:v>
      </x:c>
      <x:c r="I1370" s="52" t="n">
        <x:v>0.7582417582417582</x:v>
      </x:c>
      <x:c r="J1370" s="52" t="n">
        <x:v>0.6514528703047484</x:v>
      </x:c>
      <x:c r="K1370" s="60" t="n">
        <x:v>489.34</x:v>
      </x:c>
      <x:c r="L1370" s="60" t="n">
        <x:v>75.06</x:v>
      </x:c>
      <x:c r="M1370" s="50" t="n">
        <x:v>69</x:v>
      </x:c>
      <x:c r="N1370" s="50" t="n">
        <x:v>22</x:v>
      </x:c>
      <x:c r="O1370" s="50" t="n">
        <x:v>44</x:v>
      </x:c>
      <x:c r="P1370" s="50" t="n">
        <x:v>22</x:v>
      </x:c>
    </x:row>
    <x:row r="1371" ht="36" customHeight="1">
      <x:c r="A1371" s="53" t="n">
        <x:v>1352</x:v>
      </x:c>
      <x:c r="B1371" s="53" t="n">
        <x:v>1</x:v>
      </x:c>
      <x:c r="C1371" s="40" t="str">
        <x:v>High-Value Frequent Shoppers</x:v>
      </x:c>
      <x:c r="D1371" s="60" t="n">
        <x:v>5398.95</x:v>
      </x:c>
      <x:c r="E1371" s="50" t="n">
        <x:v>138</x:v>
      </x:c>
      <x:c r="F1371" s="46" t="n">
        <x:v>6.571428571428571</x:v>
      </x:c>
      <x:c r="G1371" s="46" t="n">
        <x:v>0</x:v>
      </x:c>
      <x:c r="H1371" s="61" t="n">
        <x:v>39.12282608695652</x:v>
      </x:c>
      <x:c r="I1371" s="52" t="n">
        <x:v>0.9420289855072465</x:v>
      </x:c>
      <x:c r="J1371" s="52" t="n">
        <x:v>0.5222459922762759</x:v>
      </x:c>
      <x:c r="K1371" s="60" t="n">
        <x:v>5316.64</x:v>
      </x:c>
      <x:c r="L1371" s="60" t="n">
        <x:v>82.31</x:v>
      </x:c>
      <x:c r="M1371" s="50" t="n">
        <x:v>130</x:v>
      </x:c>
      <x:c r="N1371" s="50" t="n">
        <x:v>8</x:v>
      </x:c>
      <x:c r="O1371" s="50" t="n">
        <x:v>173</x:v>
      </x:c>
      <x:c r="P1371" s="50" t="n">
        <x:v>21</x:v>
      </x:c>
    </x:row>
    <x:row r="1372" ht="36" customHeight="1">
      <x:c r="A1372" s="53" t="n">
        <x:v>1353</x:v>
      </x:c>
      <x:c r="B1372" s="53" t="n">
        <x:v>1</x:v>
      </x:c>
      <x:c r="C1372" s="40" t="str">
        <x:v>High-Value Frequent Shoppers</x:v>
      </x:c>
      <x:c r="D1372" s="60" t="n">
        <x:v>4019.91</x:v>
      </x:c>
      <x:c r="E1372" s="50" t="n">
        <x:v>132</x:v>
      </x:c>
      <x:c r="F1372" s="46" t="n">
        <x:v>5.5</x:v>
      </x:c>
      <x:c r="G1372" s="46" t="n">
        <x:v>8</x:v>
      </x:c>
      <x:c r="H1372" s="61" t="n">
        <x:v>30.45386363636364</x:v>
      </x:c>
      <x:c r="I1372" s="52" t="n">
        <x:v>0.9393939393939392</x:v>
      </x:c>
      <x:c r="J1372" s="52" t="n">
        <x:v>0.6091604040886487</x:v>
      </x:c>
      <x:c r="K1372" s="60" t="n">
        <x:v>3940.29</x:v>
      </x:c>
      <x:c r="L1372" s="60" t="n">
        <x:v>79.62</x:v>
      </x:c>
      <x:c r="M1372" s="50" t="n">
        <x:v>124</x:v>
      </x:c>
      <x:c r="N1372" s="50" t="n">
        <x:v>8</x:v>
      </x:c>
      <x:c r="O1372" s="50" t="n">
        <x:v>138</x:v>
      </x:c>
      <x:c r="P1372" s="50" t="n">
        <x:v>24</x:v>
      </x:c>
    </x:row>
    <x:row r="1373" ht="36" customHeight="1">
      <x:c r="A1373" s="53" t="n">
        <x:v>1354</x:v>
      </x:c>
      <x:c r="B1373" s="53" t="n">
        <x:v>2</x:v>
      </x:c>
      <x:c r="C1373" s="40" t="str">
        <x:v>Large-Basket Occasional Shoppers</x:v>
      </x:c>
      <x:c r="D1373" s="60" t="n">
        <x:v>2534.76</x:v>
      </x:c>
      <x:c r="E1373" s="50" t="n">
        <x:v>87</x:v>
      </x:c>
      <x:c r="F1373" s="46" t="n">
        <x:v>3.954545454545455</x:v>
      </x:c>
      <x:c r="G1373" s="46" t="n">
        <x:v>1</x:v>
      </x:c>
      <x:c r="H1373" s="61" t="n">
        <x:v>29.135172413793104</x:v>
      </x:c>
      <x:c r="I1373" s="52" t="n">
        <x:v>0.9655172413793104</x:v>
      </x:c>
      <x:c r="J1373" s="52" t="n">
        <x:v>0.5576030866827628</x:v>
      </x:c>
      <x:c r="K1373" s="60" t="n">
        <x:v>2503.63</x:v>
      </x:c>
      <x:c r="L1373" s="60" t="n">
        <x:v>31.13</x:v>
      </x:c>
      <x:c r="M1373" s="50" t="n">
        <x:v>84</x:v>
      </x:c>
      <x:c r="N1373" s="50" t="n">
        <x:v>3</x:v>
      </x:c>
      <x:c r="O1373" s="50" t="n">
        <x:v>125</x:v>
      </x:c>
      <x:c r="P1373" s="50" t="n">
        <x:v>22</x:v>
      </x:c>
    </x:row>
    <x:row r="1374" ht="36" customHeight="1">
      <x:c r="A1374" s="53" t="n">
        <x:v>1355</x:v>
      </x:c>
      <x:c r="B1374" s="53" t="n">
        <x:v>2</x:v>
      </x:c>
      <x:c r="C1374" s="40" t="str">
        <x:v>Large-Basket Occasional Shoppers</x:v>
      </x:c>
      <x:c r="D1374" s="60" t="n">
        <x:v>547.82</x:v>
      </x:c>
      <x:c r="E1374" s="50" t="n">
        <x:v>14</x:v>
      </x:c>
      <x:c r="F1374" s="46" t="n">
        <x:v>2</x:v>
      </x:c>
      <x:c r="G1374" s="46" t="n">
        <x:v>2</x:v>
      </x:c>
      <x:c r="H1374" s="61" t="n">
        <x:v>39.13</x:v>
      </x:c>
      <x:c r="I1374" s="52" t="n">
        <x:v>0.9285714285714284</x:v>
      </x:c>
      <x:c r="J1374" s="52" t="n">
        <x:v>0.5128509364389763</x:v>
      </x:c>
      <x:c r="K1374" s="60" t="n">
        <x:v>543.23</x:v>
      </x:c>
      <x:c r="L1374" s="60" t="n">
        <x:v>4.59</x:v>
      </x:c>
      <x:c r="M1374" s="50" t="n">
        <x:v>13</x:v>
      </x:c>
      <x:c r="N1374" s="50" t="n">
        <x:v>1</x:v>
      </x:c>
      <x:c r="O1374" s="50" t="n">
        <x:v>66</x:v>
      </x:c>
      <x:c r="P1374" s="50" t="n">
        <x:v>7</x:v>
      </x:c>
    </x:row>
    <x:row r="1375" ht="36" customHeight="1">
      <x:c r="A1375" s="53" t="n">
        <x:v>1356</x:v>
      </x:c>
      <x:c r="B1375" s="53" t="n">
        <x:v>2</x:v>
      </x:c>
      <x:c r="C1375" s="40" t="str">
        <x:v>Large-Basket Occasional Shoppers</x:v>
      </x:c>
      <x:c r="D1375" s="60" t="n">
        <x:v>2239.34</x:v>
      </x:c>
      <x:c r="E1375" s="50" t="n">
        <x:v>86</x:v>
      </x:c>
      <x:c r="F1375" s="46" t="n">
        <x:v>3.583333333333333</x:v>
      </x:c>
      <x:c r="G1375" s="46" t="n">
        <x:v>6</x:v>
      </x:c>
      <x:c r="H1375" s="61" t="n">
        <x:v>26.03883720930233</x:v>
      </x:c>
      <x:c r="I1375" s="52" t="n">
        <x:v>0.7441860465116279</x:v>
      </x:c>
      <x:c r="J1375" s="52" t="n">
        <x:v>0.4357891164360927</x:v>
      </x:c>
      <x:c r="K1375" s="60" t="n">
        <x:v>2109.09</x:v>
      </x:c>
      <x:c r="L1375" s="60" t="n">
        <x:v>130.25</x:v>
      </x:c>
      <x:c r="M1375" s="50" t="n">
        <x:v>64</x:v>
      </x:c>
      <x:c r="N1375" s="50" t="n">
        <x:v>22</x:v>
      </x:c>
      <x:c r="O1375" s="50" t="n">
        <x:v>121</x:v>
      </x:c>
      <x:c r="P1375" s="50" t="n">
        <x:v>24</x:v>
      </x:c>
    </x:row>
    <x:row r="1376" ht="36" customHeight="1">
      <x:c r="A1376" s="53" t="n">
        <x:v>1357</x:v>
      </x:c>
      <x:c r="B1376" s="53" t="n">
        <x:v>2</x:v>
      </x:c>
      <x:c r="C1376" s="40" t="str">
        <x:v>Large-Basket Occasional Shoppers</x:v>
      </x:c>
      <x:c r="D1376" s="60" t="n">
        <x:v>3061.9</x:v>
      </x:c>
      <x:c r="E1376" s="50" t="n">
        <x:v>87</x:v>
      </x:c>
      <x:c r="F1376" s="46" t="n">
        <x:v>3.782608695652173</x:v>
      </x:c>
      <x:c r="G1376" s="46" t="n">
        <x:v>1</x:v>
      </x:c>
      <x:c r="H1376" s="61" t="n">
        <x:v>35.194252873563215</x:v>
      </x:c>
      <x:c r="I1376" s="52" t="n">
        <x:v>0.8850574712643678</x:v>
      </x:c>
      <x:c r="J1376" s="52" t="n">
        <x:v>0.6193997191286456</x:v>
      </x:c>
      <x:c r="K1376" s="60" t="n">
        <x:v>2889.01</x:v>
      </x:c>
      <x:c r="L1376" s="60" t="n">
        <x:v>172.89</x:v>
      </x:c>
      <x:c r="M1376" s="50" t="n">
        <x:v>77</x:v>
      </x:c>
      <x:c r="N1376" s="50" t="n">
        <x:v>10</x:v>
      </x:c>
      <x:c r="O1376" s="50" t="n">
        <x:v>73</x:v>
      </x:c>
      <x:c r="P1376" s="50" t="n">
        <x:v>23</x:v>
      </x:c>
    </x:row>
    <x:row r="1377" ht="36" customHeight="1">
      <x:c r="A1377" s="53" t="n">
        <x:v>1358</x:v>
      </x:c>
      <x:c r="B1377" s="53" t="n">
        <x:v>1</x:v>
      </x:c>
      <x:c r="C1377" s="40" t="str">
        <x:v>High-Value Frequent Shoppers</x:v>
      </x:c>
      <x:c r="D1377" s="60" t="n">
        <x:v>2466.68</x:v>
      </x:c>
      <x:c r="E1377" s="50" t="n">
        <x:v>123</x:v>
      </x:c>
      <x:c r="F1377" s="46" t="n">
        <x:v>12.3</x:v>
      </x:c>
      <x:c r="G1377" s="46" t="n">
        <x:v>1</x:v>
      </x:c>
      <x:c r="H1377" s="61" t="n">
        <x:v>20.05430894308943</x:v>
      </x:c>
      <x:c r="I1377" s="52" t="n">
        <x:v>0.902439024390244</x:v>
      </x:c>
      <x:c r="J1377" s="52" t="n">
        <x:v>0.635035756563478</x:v>
      </x:c>
      <x:c r="K1377" s="60" t="n">
        <x:v>2413.59</x:v>
      </x:c>
      <x:c r="L1377" s="60" t="n">
        <x:v>53.09</x:v>
      </x:c>
      <x:c r="M1377" s="50" t="n">
        <x:v>111</x:v>
      </x:c>
      <x:c r="N1377" s="50" t="n">
        <x:v>12</x:v>
      </x:c>
      <x:c r="O1377" s="50" t="n">
        <x:v>118</x:v>
      </x:c>
      <x:c r="P1377" s="50" t="n">
        <x:v>10</x:v>
      </x:c>
    </x:row>
    <x:row r="1378" ht="36" customHeight="1">
      <x:c r="A1378" s="53" t="n">
        <x:v>1359</x:v>
      </x:c>
      <x:c r="B1378" s="53" t="n">
        <x:v>3</x:v>
      </x:c>
      <x:c r="C1378" s="40" t="str">
        <x:v>Low-Value Low-Engagement Shoppers</x:v>
      </x:c>
      <x:c r="D1378" s="60" t="n">
        <x:v>1192.68</x:v>
      </x:c>
      <x:c r="E1378" s="50" t="n">
        <x:v>76</x:v>
      </x:c>
      <x:c r="F1378" s="46" t="n">
        <x:v>3.4545454545454546</x:v>
      </x:c>
      <x:c r="G1378" s="46" t="n">
        <x:v>4</x:v>
      </x:c>
      <x:c r="H1378" s="61" t="n">
        <x:v>15.693157894736842</x:v>
      </x:c>
      <x:c r="I1378" s="52" t="n">
        <x:v>0.8421052631578947</x:v>
      </x:c>
      <x:c r="J1378" s="52" t="n">
        <x:v>0.4196180031525639</x:v>
      </x:c>
      <x:c r="K1378" s="60" t="n">
        <x:v>1059.57</x:v>
      </x:c>
      <x:c r="L1378" s="60" t="n">
        <x:v>133.11</x:v>
      </x:c>
      <x:c r="M1378" s="50" t="n">
        <x:v>64</x:v>
      </x:c>
      <x:c r="N1378" s="50" t="n">
        <x:v>12</x:v>
      </x:c>
      <x:c r="O1378" s="50" t="n">
        <x:v>89</x:v>
      </x:c>
      <x:c r="P1378" s="50" t="n">
        <x:v>22</x:v>
      </x:c>
    </x:row>
    <x:row r="1379" ht="36" customHeight="1">
      <x:c r="A1379" s="53" t="n">
        <x:v>1360</x:v>
      </x:c>
      <x:c r="B1379" s="53" t="n">
        <x:v>2</x:v>
      </x:c>
      <x:c r="C1379" s="40" t="str">
        <x:v>Large-Basket Occasional Shoppers</x:v>
      </x:c>
      <x:c r="D1379" s="60" t="n">
        <x:v>630.19</x:v>
      </x:c>
      <x:c r="E1379" s="50" t="n">
        <x:v>23</x:v>
      </x:c>
      <x:c r="F1379" s="46" t="n">
        <x:v>1.277777777777778</x:v>
      </x:c>
      <x:c r="G1379" s="46" t="n">
        <x:v>38</x:v>
      </x:c>
      <x:c r="H1379" s="61" t="n">
        <x:v>27.399565217391302</x:v>
      </x:c>
      <x:c r="I1379" s="52" t="n">
        <x:v>1</x:v>
      </x:c>
      <x:c r="J1379" s="52" t="n">
        <x:v>0.4066710039829257</x:v>
      </x:c>
      <x:c r="K1379" s="60" t="n">
        <x:v>630.19</x:v>
      </x:c>
      <x:c r="L1379" s="60" t="n">
        <x:v>0</x:v>
      </x:c>
      <x:c r="M1379" s="50" t="n">
        <x:v>23</x:v>
      </x:c>
      <x:c r="N1379" s="50" t="n">
        <x:v>0</x:v>
      </x:c>
      <x:c r="O1379" s="50" t="n">
        <x:v>40</x:v>
      </x:c>
      <x:c r="P1379" s="50" t="n">
        <x:v>18</x:v>
      </x:c>
    </x:row>
    <x:row r="1380" ht="36" customHeight="1">
      <x:c r="A1380" s="53" t="n">
        <x:v>1361</x:v>
      </x:c>
      <x:c r="B1380" s="53" t="n">
        <x:v>2</x:v>
      </x:c>
      <x:c r="C1380" s="40" t="str">
        <x:v>Large-Basket Occasional Shoppers</x:v>
      </x:c>
      <x:c r="D1380" s="60" t="n">
        <x:v>608.58</x:v>
      </x:c>
      <x:c r="E1380" s="50" t="n">
        <x:v>11</x:v>
      </x:c>
      <x:c r="F1380" s="46" t="n">
        <x:v>1</x:v>
      </x:c>
      <x:c r="G1380" s="46" t="n">
        <x:v>1</x:v>
      </x:c>
      <x:c r="H1380" s="61" t="n">
        <x:v>55.32545454545456</x:v>
      </x:c>
      <x:c r="I1380" s="52" t="n">
        <x:v>0.909090909090909</x:v>
      </x:c>
      <x:c r="J1380" s="52" t="n">
        <x:v>0.3923066811265569</x:v>
      </x:c>
      <x:c r="K1380" s="60" t="n">
        <x:v>581.88</x:v>
      </x:c>
      <x:c r="L1380" s="60" t="n">
        <x:v>26.7</x:v>
      </x:c>
      <x:c r="M1380" s="50" t="n">
        <x:v>10</x:v>
      </x:c>
      <x:c r="N1380" s="50" t="n">
        <x:v>1</x:v>
      </x:c>
      <x:c r="O1380" s="50" t="n">
        <x:v>75</x:v>
      </x:c>
      <x:c r="P1380" s="50" t="n">
        <x:v>11</x:v>
      </x:c>
    </x:row>
    <x:row r="1381" ht="36" customHeight="1">
      <x:c r="A1381" s="53" t="n">
        <x:v>1362</x:v>
      </x:c>
      <x:c r="B1381" s="53" t="n">
        <x:v>3</x:v>
      </x:c>
      <x:c r="C1381" s="40" t="str">
        <x:v>Low-Value Low-Engagement Shoppers</x:v>
      </x:c>
      <x:c r="D1381" s="60" t="n">
        <x:v>1418.76</x:v>
      </x:c>
      <x:c r="E1381" s="50" t="n">
        <x:v>61</x:v>
      </x:c>
      <x:c r="F1381" s="46" t="n">
        <x:v>3.05</x:v>
      </x:c>
      <x:c r="G1381" s="46" t="n">
        <x:v>15</x:v>
      </x:c>
      <x:c r="H1381" s="61" t="n">
        <x:v>23.258360655737704</x:v>
      </x:c>
      <x:c r="I1381" s="52" t="n">
        <x:v>0.6721311475409836</x:v>
      </x:c>
      <x:c r="J1381" s="52" t="n">
        <x:v>0.2831345682144971</x:v>
      </x:c>
      <x:c r="K1381" s="60" t="n">
        <x:v>1172.37</x:v>
      </x:c>
      <x:c r="L1381" s="60" t="n">
        <x:v>246.39</x:v>
      </x:c>
      <x:c r="M1381" s="50" t="n">
        <x:v>41</x:v>
      </x:c>
      <x:c r="N1381" s="50" t="n">
        <x:v>20</x:v>
      </x:c>
      <x:c r="O1381" s="50" t="n">
        <x:v>69</x:v>
      </x:c>
      <x:c r="P1381" s="50" t="n">
        <x:v>20</x:v>
      </x:c>
    </x:row>
    <x:row r="1382" ht="36" customHeight="1">
      <x:c r="A1382" s="53" t="n">
        <x:v>1363</x:v>
      </x:c>
      <x:c r="B1382" s="53" t="n">
        <x:v>1</x:v>
      </x:c>
      <x:c r="C1382" s="40" t="str">
        <x:v>High-Value Frequent Shoppers</x:v>
      </x:c>
      <x:c r="D1382" s="60" t="n">
        <x:v>4075.4</x:v>
      </x:c>
      <x:c r="E1382" s="50" t="n">
        <x:v>58</x:v>
      </x:c>
      <x:c r="F1382" s="46" t="n">
        <x:v>3.411764705882353</x:v>
      </x:c>
      <x:c r="G1382" s="46" t="n">
        <x:v>0</x:v>
      </x:c>
      <x:c r="H1382" s="61" t="n">
        <x:v>70.26551724137931</x:v>
      </x:c>
      <x:c r="I1382" s="52" t="n">
        <x:v>0.8103448275862069</x:v>
      </x:c>
      <x:c r="J1382" s="52" t="n">
        <x:v>0.4448446778230357</x:v>
      </x:c>
      <x:c r="K1382" s="60" t="n">
        <x:v>3987.42</x:v>
      </x:c>
      <x:c r="L1382" s="60" t="n">
        <x:v>87.98</x:v>
      </x:c>
      <x:c r="M1382" s="50" t="n">
        <x:v>47</x:v>
      </x:c>
      <x:c r="N1382" s="50" t="n">
        <x:v>11</x:v>
      </x:c>
      <x:c r="O1382" s="50" t="n">
        <x:v>150</x:v>
      </x:c>
      <x:c r="P1382" s="50" t="n">
        <x:v>17</x:v>
      </x:c>
    </x:row>
    <x:row r="1383" ht="36" customHeight="1">
      <x:c r="A1383" s="53" t="n">
        <x:v>1364</x:v>
      </x:c>
      <x:c r="B1383" s="53" t="n">
        <x:v>1</x:v>
      </x:c>
      <x:c r="C1383" s="40" t="str">
        <x:v>High-Value Frequent Shoppers</x:v>
      </x:c>
      <x:c r="D1383" s="60" t="n">
        <x:v>2466.05</x:v>
      </x:c>
      <x:c r="E1383" s="50" t="n">
        <x:v>145</x:v>
      </x:c>
      <x:c r="F1383" s="46" t="n">
        <x:v>6.041666666666666</x:v>
      </x:c>
      <x:c r="G1383" s="46" t="n">
        <x:v>1</x:v>
      </x:c>
      <x:c r="H1383" s="61" t="n">
        <x:v>17.007241379310344</x:v>
      </x:c>
      <x:c r="I1383" s="52" t="n">
        <x:v>0.8689655172413793</x:v>
      </x:c>
      <x:c r="J1383" s="52" t="n">
        <x:v>0.4987003507633665</x:v>
      </x:c>
      <x:c r="K1383" s="60" t="n">
        <x:v>2323.03</x:v>
      </x:c>
      <x:c r="L1383" s="60" t="n">
        <x:v>143.02</x:v>
      </x:c>
      <x:c r="M1383" s="50" t="n">
        <x:v>126</x:v>
      </x:c>
      <x:c r="N1383" s="50" t="n">
        <x:v>19</x:v>
      </x:c>
      <x:c r="O1383" s="50" t="n">
        <x:v>150</x:v>
      </x:c>
      <x:c r="P1383" s="50" t="n">
        <x:v>24</x:v>
      </x:c>
    </x:row>
    <x:row r="1384" ht="36" customHeight="1">
      <x:c r="A1384" s="53" t="n">
        <x:v>1365</x:v>
      </x:c>
      <x:c r="B1384" s="53" t="n">
        <x:v>3</x:v>
      </x:c>
      <x:c r="C1384" s="40" t="str">
        <x:v>Low-Value Low-Engagement Shoppers</x:v>
      </x:c>
      <x:c r="D1384" s="60" t="n">
        <x:v>103.65</x:v>
      </x:c>
      <x:c r="E1384" s="50" t="n">
        <x:v>9</x:v>
      </x:c>
      <x:c r="F1384" s="46" t="n">
        <x:v>1.5</x:v>
      </x:c>
      <x:c r="G1384" s="46" t="n">
        <x:v>322</x:v>
      </x:c>
      <x:c r="H1384" s="61" t="n">
        <x:v>11.516666666666666</x:v>
      </x:c>
      <x:c r="I1384" s="52" t="n">
        <x:v>0.8888888888888888</x:v>
      </x:c>
      <x:c r="J1384" s="52" t="n">
        <x:v>0.6752532561505065</x:v>
      </x:c>
      <x:c r="K1384" s="60" t="n">
        <x:v>102.36</x:v>
      </x:c>
      <x:c r="L1384" s="60" t="n">
        <x:v>1.29</x:v>
      </x:c>
      <x:c r="M1384" s="50" t="n">
        <x:v>8</x:v>
      </x:c>
      <x:c r="N1384" s="50" t="n">
        <x:v>1</x:v>
      </x:c>
      <x:c r="O1384" s="50" t="n">
        <x:v>35</x:v>
      </x:c>
      <x:c r="P1384" s="50" t="n">
        <x:v>6</x:v>
      </x:c>
    </x:row>
    <x:row r="1385" ht="36" customHeight="1">
      <x:c r="A1385" s="53" t="n">
        <x:v>1366</x:v>
      </x:c>
      <x:c r="B1385" s="53" t="n">
        <x:v>1</x:v>
      </x:c>
      <x:c r="C1385" s="40" t="str">
        <x:v>High-Value Frequent Shoppers</x:v>
      </x:c>
      <x:c r="D1385" s="60" t="n">
        <x:v>4242.62</x:v>
      </x:c>
      <x:c r="E1385" s="50" t="n">
        <x:v>256</x:v>
      </x:c>
      <x:c r="F1385" s="46" t="n">
        <x:v>11.636363636363637</x:v>
      </x:c>
      <x:c r="G1385" s="46" t="n">
        <x:v>6</x:v>
      </x:c>
      <x:c r="H1385" s="61" t="n">
        <x:v>16.572734375</x:v>
      </x:c>
      <x:c r="I1385" s="52" t="n">
        <x:v>0.8203125</x:v>
      </x:c>
      <x:c r="J1385" s="52" t="n">
        <x:v>0.4535428579509831</x:v>
      </x:c>
      <x:c r="K1385" s="60" t="n">
        <x:v>3844.22</x:v>
      </x:c>
      <x:c r="L1385" s="60" t="n">
        <x:v>398.4</x:v>
      </x:c>
      <x:c r="M1385" s="50" t="n">
        <x:v>210</x:v>
      </x:c>
      <x:c r="N1385" s="50" t="n">
        <x:v>46</x:v>
      </x:c>
      <x:c r="O1385" s="50" t="n">
        <x:v>151</x:v>
      </x:c>
      <x:c r="P1385" s="50" t="n">
        <x:v>22</x:v>
      </x:c>
    </x:row>
    <x:row r="1386" ht="36" customHeight="1">
      <x:c r="A1386" s="53" t="n">
        <x:v>1367</x:v>
      </x:c>
      <x:c r="B1386" s="53" t="n">
        <x:v>1</x:v>
      </x:c>
      <x:c r="C1386" s="40" t="str">
        <x:v>High-Value Frequent Shoppers</x:v>
      </x:c>
      <x:c r="D1386" s="60" t="n">
        <x:v>12125.48</x:v>
      </x:c>
      <x:c r="E1386" s="50" t="n">
        <x:v>351</x:v>
      </x:c>
      <x:c r="F1386" s="46" t="n">
        <x:v>14.625</x:v>
      </x:c>
      <x:c r="G1386" s="46" t="n">
        <x:v>1</x:v>
      </x:c>
      <x:c r="H1386" s="61" t="n">
        <x:v>34.54552706552706</x:v>
      </x:c>
      <x:c r="I1386" s="52" t="n">
        <x:v>0.9202279202279202</x:v>
      </x:c>
      <x:c r="J1386" s="52" t="n">
        <x:v>0.6392522192935867</x:v>
      </x:c>
      <x:c r="K1386" s="60" t="n">
        <x:v>11799.5</x:v>
      </x:c>
      <x:c r="L1386" s="60" t="n">
        <x:v>325.98</x:v>
      </x:c>
      <x:c r="M1386" s="50" t="n">
        <x:v>323</x:v>
      </x:c>
      <x:c r="N1386" s="50" t="n">
        <x:v>28</x:v>
      </x:c>
      <x:c r="O1386" s="50" t="n">
        <x:v>203</x:v>
      </x:c>
      <x:c r="P1386" s="50" t="n">
        <x:v>24</x:v>
      </x:c>
    </x:row>
    <x:row r="1387" ht="36" customHeight="1">
      <x:c r="A1387" s="53" t="n">
        <x:v>1368</x:v>
      </x:c>
      <x:c r="B1387" s="53" t="n">
        <x:v>2</x:v>
      </x:c>
      <x:c r="C1387" s="40" t="str">
        <x:v>Large-Basket Occasional Shoppers</x:v>
      </x:c>
      <x:c r="D1387" s="60" t="n">
        <x:v>2766.97</x:v>
      </x:c>
      <x:c r="E1387" s="50" t="n">
        <x:v>32</x:v>
      </x:c>
      <x:c r="F1387" s="46" t="n">
        <x:v>2.1333333333333333</x:v>
      </x:c>
      <x:c r="G1387" s="46" t="n">
        <x:v>11</x:v>
      </x:c>
      <x:c r="H1387" s="61" t="n">
        <x:v>86.4678125</x:v>
      </x:c>
      <x:c r="I1387" s="52" t="n">
        <x:v>1</x:v>
      </x:c>
      <x:c r="J1387" s="52" t="n">
        <x:v>0.3620892167244314</x:v>
      </x:c>
      <x:c r="K1387" s="60" t="n">
        <x:v>2766.97</x:v>
      </x:c>
      <x:c r="L1387" s="60" t="n">
        <x:v>0</x:v>
      </x:c>
      <x:c r="M1387" s="50" t="n">
        <x:v>32</x:v>
      </x:c>
      <x:c r="N1387" s="50" t="n">
        <x:v>0</x:v>
      </x:c>
      <x:c r="O1387" s="50" t="n">
        <x:v>126</x:v>
      </x:c>
      <x:c r="P1387" s="50" t="n">
        <x:v>15</x:v>
      </x:c>
    </x:row>
    <x:row r="1388" ht="36" customHeight="1">
      <x:c r="A1388" s="53" t="n">
        <x:v>1369</x:v>
      </x:c>
      <x:c r="B1388" s="53" t="n">
        <x:v>1</x:v>
      </x:c>
      <x:c r="C1388" s="40" t="str">
        <x:v>High-Value Frequent Shoppers</x:v>
      </x:c>
      <x:c r="D1388" s="60" t="n">
        <x:v>3105.71</x:v>
      </x:c>
      <x:c r="E1388" s="50" t="n">
        <x:v>144</x:v>
      </x:c>
      <x:c r="F1388" s="46" t="n">
        <x:v>6</x:v>
      </x:c>
      <x:c r="G1388" s="46" t="n">
        <x:v>0</x:v>
      </x:c>
      <x:c r="H1388" s="61" t="n">
        <x:v>21.56743055555556</x:v>
      </x:c>
      <x:c r="I1388" s="52" t="n">
        <x:v>0.9444444444444444</x:v>
      </x:c>
      <x:c r="J1388" s="52" t="n">
        <x:v>0.4132163015864327</x:v>
      </x:c>
      <x:c r="K1388" s="60" t="n">
        <x:v>3022.85</x:v>
      </x:c>
      <x:c r="L1388" s="60" t="n">
        <x:v>82.86</x:v>
      </x:c>
      <x:c r="M1388" s="50" t="n">
        <x:v>136</x:v>
      </x:c>
      <x:c r="N1388" s="50" t="n">
        <x:v>8</x:v>
      </x:c>
      <x:c r="O1388" s="50" t="n">
        <x:v>138</x:v>
      </x:c>
      <x:c r="P1388" s="50" t="n">
        <x:v>24</x:v>
      </x:c>
    </x:row>
    <x:row r="1389" ht="36" customHeight="1">
      <x:c r="A1389" s="53" t="n">
        <x:v>1370</x:v>
      </x:c>
      <x:c r="B1389" s="53" t="n">
        <x:v>1</x:v>
      </x:c>
      <x:c r="C1389" s="40" t="str">
        <x:v>High-Value Frequent Shoppers</x:v>
      </x:c>
      <x:c r="D1389" s="60" t="n">
        <x:v>8531.89</x:v>
      </x:c>
      <x:c r="E1389" s="50" t="n">
        <x:v>84</x:v>
      </x:c>
      <x:c r="F1389" s="46" t="n">
        <x:v>3.8181818181818175</x:v>
      </x:c>
      <x:c r="G1389" s="46" t="n">
        <x:v>0</x:v>
      </x:c>
      <x:c r="H1389" s="61" t="n">
        <x:v>101.57011904761904</x:v>
      </x:c>
      <x:c r="I1389" s="52" t="n">
        <x:v>1</x:v>
      </x:c>
      <x:c r="J1389" s="52" t="n">
        <x:v>0.4462118006678473</x:v>
      </x:c>
      <x:c r="K1389" s="60" t="n">
        <x:v>8531.89</x:v>
      </x:c>
      <x:c r="L1389" s="60" t="n">
        <x:v>0</x:v>
      </x:c>
      <x:c r="M1389" s="50" t="n">
        <x:v>84</x:v>
      </x:c>
      <x:c r="N1389" s="50" t="n">
        <x:v>0</x:v>
      </x:c>
      <x:c r="O1389" s="50" t="n">
        <x:v>120</x:v>
      </x:c>
      <x:c r="P1389" s="50" t="n">
        <x:v>22</x:v>
      </x:c>
    </x:row>
    <x:row r="1390" ht="36" customHeight="1">
      <x:c r="A1390" s="53" t="n">
        <x:v>1371</x:v>
      </x:c>
      <x:c r="B1390" s="53" t="n">
        <x:v>3</x:v>
      </x:c>
      <x:c r="C1390" s="40" t="str">
        <x:v>Low-Value Low-Engagement Shoppers</x:v>
      </x:c>
      <x:c r="D1390" s="60" t="n">
        <x:v>835.71</x:v>
      </x:c>
      <x:c r="E1390" s="50" t="n">
        <x:v>45</x:v>
      </x:c>
      <x:c r="F1390" s="46" t="n">
        <x:v>2.647058823529412</x:v>
      </x:c>
      <x:c r="G1390" s="46" t="n">
        <x:v>180</x:v>
      </x:c>
      <x:c r="H1390" s="61" t="n">
        <x:v>18.57133333333333</x:v>
      </x:c>
      <x:c r="I1390" s="52" t="n">
        <x:v>0.8888888888888888</x:v>
      </x:c>
      <x:c r="J1390" s="52" t="n">
        <x:v>0.5644781084347441</x:v>
      </x:c>
      <x:c r="K1390" s="60" t="n">
        <x:v>797.62</x:v>
      </x:c>
      <x:c r="L1390" s="60" t="n">
        <x:v>38.09</x:v>
      </x:c>
      <x:c r="M1390" s="50" t="n">
        <x:v>40</x:v>
      </x:c>
      <x:c r="N1390" s="50" t="n">
        <x:v>5</x:v>
      </x:c>
      <x:c r="O1390" s="50" t="n">
        <x:v>78</x:v>
      </x:c>
      <x:c r="P1390" s="50" t="n">
        <x:v>17</x:v>
      </x:c>
    </x:row>
    <x:row r="1391" ht="36" customHeight="1">
      <x:c r="A1391" s="53" t="n">
        <x:v>1372</x:v>
      </x:c>
      <x:c r="B1391" s="53" t="n">
        <x:v>2</x:v>
      </x:c>
      <x:c r="C1391" s="40" t="str">
        <x:v>Large-Basket Occasional Shoppers</x:v>
      </x:c>
      <x:c r="D1391" s="60" t="n">
        <x:v>1337.07</x:v>
      </x:c>
      <x:c r="E1391" s="50" t="n">
        <x:v>25</x:v>
      </x:c>
      <x:c r="F1391" s="46" t="n">
        <x:v>1.5625</x:v>
      </x:c>
      <x:c r="G1391" s="46" t="n">
        <x:v>53</x:v>
      </x:c>
      <x:c r="H1391" s="61" t="n">
        <x:v>53.4828</x:v>
      </x:c>
      <x:c r="I1391" s="52" t="n">
        <x:v>0.92</x:v>
      </x:c>
      <x:c r="J1391" s="52" t="n">
        <x:v>0.5552962821692207</x:v>
      </x:c>
      <x:c r="K1391" s="60" t="n">
        <x:v>1323.84</x:v>
      </x:c>
      <x:c r="L1391" s="60" t="n">
        <x:v>13.23</x:v>
      </x:c>
      <x:c r="M1391" s="50" t="n">
        <x:v>23</x:v>
      </x:c>
      <x:c r="N1391" s="50" t="n">
        <x:v>2</x:v>
      </x:c>
      <x:c r="O1391" s="50" t="n">
        <x:v>81</x:v>
      </x:c>
      <x:c r="P1391" s="50" t="n">
        <x:v>16</x:v>
      </x:c>
    </x:row>
    <x:row r="1392" ht="36" customHeight="1">
      <x:c r="A1392" s="53" t="n">
        <x:v>1373</x:v>
      </x:c>
      <x:c r="B1392" s="53" t="n">
        <x:v>3</x:v>
      </x:c>
      <x:c r="C1392" s="40" t="str">
        <x:v>Low-Value Low-Engagement Shoppers</x:v>
      </x:c>
      <x:c r="D1392" s="60" t="n">
        <x:v>657.52</x:v>
      </x:c>
      <x:c r="E1392" s="50" t="n">
        <x:v>40</x:v>
      </x:c>
      <x:c r="F1392" s="46" t="n">
        <x:v>2.1052631578947367</x:v>
      </x:c>
      <x:c r="G1392" s="46" t="n">
        <x:v>11</x:v>
      </x:c>
      <x:c r="H1392" s="61" t="n">
        <x:v>16.438</x:v>
      </x:c>
      <x:c r="I1392" s="52" t="n">
        <x:v>0.8</x:v>
      </x:c>
      <x:c r="J1392" s="52" t="n">
        <x:v>0.3305907044652634</x:v>
      </x:c>
      <x:c r="K1392" s="60" t="n">
        <x:v>577.51</x:v>
      </x:c>
      <x:c r="L1392" s="60" t="n">
        <x:v>80.01</x:v>
      </x:c>
      <x:c r="M1392" s="50" t="n">
        <x:v>32</x:v>
      </x:c>
      <x:c r="N1392" s="50" t="n">
        <x:v>8</x:v>
      </x:c>
      <x:c r="O1392" s="50" t="n">
        <x:v>64</x:v>
      </x:c>
      <x:c r="P1392" s="50" t="n">
        <x:v>19</x:v>
      </x:c>
    </x:row>
    <x:row r="1393" ht="36" customHeight="1">
      <x:c r="A1393" s="53" t="n">
        <x:v>1374</x:v>
      </x:c>
      <x:c r="B1393" s="53" t="n">
        <x:v>1</x:v>
      </x:c>
      <x:c r="C1393" s="40" t="str">
        <x:v>High-Value Frequent Shoppers</x:v>
      </x:c>
      <x:c r="D1393" s="60" t="n">
        <x:v>2841.56</x:v>
      </x:c>
      <x:c r="E1393" s="50" t="n">
        <x:v>99</x:v>
      </x:c>
      <x:c r="F1393" s="46" t="n">
        <x:v>4.5</x:v>
      </x:c>
      <x:c r="G1393" s="46" t="n">
        <x:v>3</x:v>
      </x:c>
      <x:c r="H1393" s="61" t="n">
        <x:v>28.702626262626264</x:v>
      </x:c>
      <x:c r="I1393" s="52" t="n">
        <x:v>0.7777777777777777</x:v>
      </x:c>
      <x:c r="J1393" s="52" t="n">
        <x:v>0.3228684243866045</x:v>
      </x:c>
      <x:c r="K1393" s="60" t="n">
        <x:v>2469.22</x:v>
      </x:c>
      <x:c r="L1393" s="60" t="n">
        <x:v>372.34</x:v>
      </x:c>
      <x:c r="M1393" s="50" t="n">
        <x:v>77</x:v>
      </x:c>
      <x:c r="N1393" s="50" t="n">
        <x:v>22</x:v>
      </x:c>
      <x:c r="O1393" s="50" t="n">
        <x:v>130</x:v>
      </x:c>
      <x:c r="P1393" s="50" t="n">
        <x:v>22</x:v>
      </x:c>
    </x:row>
    <x:row r="1394" ht="36" customHeight="1">
      <x:c r="A1394" s="53" t="n">
        <x:v>1375</x:v>
      </x:c>
      <x:c r="B1394" s="53" t="n">
        <x:v>1</x:v>
      </x:c>
      <x:c r="C1394" s="40" t="str">
        <x:v>High-Value Frequent Shoppers</x:v>
      </x:c>
      <x:c r="D1394" s="60" t="n">
        <x:v>3745.41</x:v>
      </x:c>
      <x:c r="E1394" s="50" t="n">
        <x:v>122</x:v>
      </x:c>
      <x:c r="F1394" s="46" t="n">
        <x:v>5.809523809523809</x:v>
      </x:c>
      <x:c r="G1394" s="46" t="n">
        <x:v>1</x:v>
      </x:c>
      <x:c r="H1394" s="61" t="n">
        <x:v>30.70008196721312</x:v>
      </x:c>
      <x:c r="I1394" s="52" t="n">
        <x:v>0.8442622950819672</x:v>
      </x:c>
      <x:c r="J1394" s="52" t="n">
        <x:v>0.496840132321962</x:v>
      </x:c>
      <x:c r="K1394" s="60" t="n">
        <x:v>3606.55</x:v>
      </x:c>
      <x:c r="L1394" s="60" t="n">
        <x:v>138.86</x:v>
      </x:c>
      <x:c r="M1394" s="50" t="n">
        <x:v>103</x:v>
      </x:c>
      <x:c r="N1394" s="50" t="n">
        <x:v>19</x:v>
      </x:c>
      <x:c r="O1394" s="50" t="n">
        <x:v>151</x:v>
      </x:c>
      <x:c r="P1394" s="50" t="n">
        <x:v>21</x:v>
      </x:c>
    </x:row>
    <x:row r="1395" ht="36" customHeight="1">
      <x:c r="A1395" s="53" t="n">
        <x:v>1376</x:v>
      </x:c>
      <x:c r="B1395" s="53" t="n">
        <x:v>1</x:v>
      </x:c>
      <x:c r="C1395" s="40" t="str">
        <x:v>High-Value Frequent Shoppers</x:v>
      </x:c>
      <x:c r="D1395" s="60" t="n">
        <x:v>11041.41</x:v>
      </x:c>
      <x:c r="E1395" s="50" t="n">
        <x:v>235</x:v>
      </x:c>
      <x:c r="F1395" s="46" t="n">
        <x:v>11.19047619047619</x:v>
      </x:c>
      <x:c r="G1395" s="46" t="n">
        <x:v>3</x:v>
      </x:c>
      <x:c r="H1395" s="61" t="n">
        <x:v>46.98472340425532</x:v>
      </x:c>
      <x:c r="I1395" s="52" t="n">
        <x:v>0.9191489361702128</x:v>
      </x:c>
      <x:c r="J1395" s="52" t="n">
        <x:v>0.6751673925703329</x:v>
      </x:c>
      <x:c r="K1395" s="60" t="n">
        <x:v>10836.27</x:v>
      </x:c>
      <x:c r="L1395" s="60" t="n">
        <x:v>205.14</x:v>
      </x:c>
      <x:c r="M1395" s="50" t="n">
        <x:v>216</x:v>
      </x:c>
      <x:c r="N1395" s="50" t="n">
        <x:v>19</x:v>
      </x:c>
      <x:c r="O1395" s="50" t="n">
        <x:v>191</x:v>
      </x:c>
      <x:c r="P1395" s="50" t="n">
        <x:v>21</x:v>
      </x:c>
    </x:row>
    <x:row r="1396" ht="36" customHeight="1">
      <x:c r="A1396" s="53" t="n">
        <x:v>1377</x:v>
      </x:c>
      <x:c r="B1396" s="53" t="n">
        <x:v>3</x:v>
      </x:c>
      <x:c r="C1396" s="40" t="str">
        <x:v>Low-Value Low-Engagement Shoppers</x:v>
      </x:c>
      <x:c r="D1396" s="60" t="n">
        <x:v>791.34</x:v>
      </x:c>
      <x:c r="E1396" s="50" t="n">
        <x:v>35</x:v>
      </x:c>
      <x:c r="F1396" s="46" t="n">
        <x:v>1.9444444444444444</x:v>
      </x:c>
      <x:c r="G1396" s="46" t="n">
        <x:v>8</x:v>
      </x:c>
      <x:c r="H1396" s="61" t="n">
        <x:v>22.609714285714283</x:v>
      </x:c>
      <x:c r="I1396" s="52" t="n">
        <x:v>0.6</x:v>
      </x:c>
      <x:c r="J1396" s="52" t="n">
        <x:v>0.2962569818282912</x:v>
      </x:c>
      <x:c r="K1396" s="60" t="n">
        <x:v>624.42</x:v>
      </x:c>
      <x:c r="L1396" s="60" t="n">
        <x:v>166.92</x:v>
      </x:c>
      <x:c r="M1396" s="50" t="n">
        <x:v>21</x:v>
      </x:c>
      <x:c r="N1396" s="50" t="n">
        <x:v>14</x:v>
      </x:c>
      <x:c r="O1396" s="50" t="n">
        <x:v>93</x:v>
      </x:c>
      <x:c r="P1396" s="50" t="n">
        <x:v>18</x:v>
      </x:c>
    </x:row>
    <x:row r="1397" ht="36" customHeight="1">
      <x:c r="A1397" s="53" t="n">
        <x:v>1378</x:v>
      </x:c>
      <x:c r="B1397" s="53" t="n">
        <x:v>1</x:v>
      </x:c>
      <x:c r="C1397" s="40" t="str">
        <x:v>High-Value Frequent Shoppers</x:v>
      </x:c>
      <x:c r="D1397" s="60" t="n">
        <x:v>6933.72</x:v>
      </x:c>
      <x:c r="E1397" s="50" t="n">
        <x:v>121</x:v>
      </x:c>
      <x:c r="F1397" s="46" t="n">
        <x:v>5.260869565217392</x:v>
      </x:c>
      <x:c r="G1397" s="46" t="n">
        <x:v>4</x:v>
      </x:c>
      <x:c r="H1397" s="61" t="n">
        <x:v>57.30347107438017</x:v>
      </x:c>
      <x:c r="I1397" s="52" t="n">
        <x:v>0.9338842975206612</x:v>
      </x:c>
      <x:c r="J1397" s="52" t="n">
        <x:v>0.4349642039193968</x:v>
      </x:c>
      <x:c r="K1397" s="60" t="n">
        <x:v>6829.59</x:v>
      </x:c>
      <x:c r="L1397" s="60" t="n">
        <x:v>104.13</x:v>
      </x:c>
      <x:c r="M1397" s="50" t="n">
        <x:v>113</x:v>
      </x:c>
      <x:c r="N1397" s="50" t="n">
        <x:v>8</x:v>
      </x:c>
      <x:c r="O1397" s="50" t="n">
        <x:v>142</x:v>
      </x:c>
      <x:c r="P1397" s="50" t="n">
        <x:v>23</x:v>
      </x:c>
    </x:row>
    <x:row r="1398" ht="36" customHeight="1">
      <x:c r="A1398" s="53" t="n">
        <x:v>1379</x:v>
      </x:c>
      <x:c r="B1398" s="53" t="n">
        <x:v>1</x:v>
      </x:c>
      <x:c r="C1398" s="40" t="str">
        <x:v>High-Value Frequent Shoppers</x:v>
      </x:c>
      <x:c r="D1398" s="60" t="n">
        <x:v>13995.22</x:v>
      </x:c>
      <x:c r="E1398" s="50" t="n">
        <x:v>509</x:v>
      </x:c>
      <x:c r="F1398" s="46" t="n">
        <x:v>23.13636363636364</x:v>
      </x:c>
      <x:c r="G1398" s="46" t="n">
        <x:v>0</x:v>
      </x:c>
      <x:c r="H1398" s="61" t="n">
        <x:v>27.495520628683693</x:v>
      </x:c>
      <x:c r="I1398" s="52" t="n">
        <x:v>0.8939096267190569</x:v>
      </x:c>
      <x:c r="J1398" s="52" t="n">
        <x:v>0.5874069860995396</x:v>
      </x:c>
      <x:c r="K1398" s="60" t="n">
        <x:v>13608.48</x:v>
      </x:c>
      <x:c r="L1398" s="60" t="n">
        <x:v>386.74</x:v>
      </x:c>
      <x:c r="M1398" s="50" t="n">
        <x:v>455</x:v>
      </x:c>
      <x:c r="N1398" s="50" t="n">
        <x:v>54</x:v>
      </x:c>
      <x:c r="O1398" s="50" t="n">
        <x:v>191</x:v>
      </x:c>
      <x:c r="P1398" s="50" t="n">
        <x:v>22</x:v>
      </x:c>
    </x:row>
    <x:row r="1399" ht="36" customHeight="1">
      <x:c r="A1399" s="53" t="n">
        <x:v>1380</x:v>
      </x:c>
      <x:c r="B1399" s="53" t="n">
        <x:v>3</x:v>
      </x:c>
      <x:c r="C1399" s="40" t="str">
        <x:v>Low-Value Low-Engagement Shoppers</x:v>
      </x:c>
      <x:c r="D1399" s="60" t="n">
        <x:v>349.81</x:v>
      </x:c>
      <x:c r="E1399" s="50" t="n">
        <x:v>25</x:v>
      </x:c>
      <x:c r="F1399" s="46" t="n">
        <x:v>1.9230769230769231</x:v>
      </x:c>
      <x:c r="G1399" s="46" t="n">
        <x:v>32</x:v>
      </x:c>
      <x:c r="H1399" s="61" t="n">
        <x:v>13.9924</x:v>
      </x:c>
      <x:c r="I1399" s="52" t="n">
        <x:v>0.76</x:v>
      </x:c>
      <x:c r="J1399" s="52" t="n">
        <x:v>0.4154541036562705</x:v>
      </x:c>
      <x:c r="K1399" s="60" t="n">
        <x:v>312.33</x:v>
      </x:c>
      <x:c r="L1399" s="60" t="n">
        <x:v>37.48</x:v>
      </x:c>
      <x:c r="M1399" s="50" t="n">
        <x:v>19</x:v>
      </x:c>
      <x:c r="N1399" s="50" t="n">
        <x:v>6</x:v>
      </x:c>
      <x:c r="O1399" s="50" t="n">
        <x:v>62</x:v>
      </x:c>
      <x:c r="P1399" s="50" t="n">
        <x:v>13</x:v>
      </x:c>
    </x:row>
    <x:row r="1400" ht="36" customHeight="1">
      <x:c r="A1400" s="53" t="n">
        <x:v>1381</x:v>
      </x:c>
      <x:c r="B1400" s="53" t="n">
        <x:v>3</x:v>
      </x:c>
      <x:c r="C1400" s="40" t="str">
        <x:v>Low-Value Low-Engagement Shoppers</x:v>
      </x:c>
      <x:c r="D1400" s="60" t="n">
        <x:v>134.4</x:v>
      </x:c>
      <x:c r="E1400" s="50" t="n">
        <x:v>49</x:v>
      </x:c>
      <x:c r="F1400" s="46" t="n">
        <x:v>3.0625</x:v>
      </x:c>
      <x:c r="G1400" s="46" t="n">
        <x:v>9</x:v>
      </x:c>
      <x:c r="H1400" s="61" t="n">
        <x:v>2.742857142857143</x:v>
      </x:c>
      <x:c r="I1400" s="52" t="n">
        <x:v>0.673469387755102</x:v>
      </x:c>
      <x:c r="J1400" s="52" t="n">
        <x:v>0.5851934523809523</x:v>
      </x:c>
      <x:c r="K1400" s="60" t="n">
        <x:v>86.12</x:v>
      </x:c>
      <x:c r="L1400" s="60" t="n">
        <x:v>48.28</x:v>
      </x:c>
      <x:c r="M1400" s="50" t="n">
        <x:v>33</x:v>
      </x:c>
      <x:c r="N1400" s="50" t="n">
        <x:v>16</x:v>
      </x:c>
      <x:c r="O1400" s="50" t="n">
        <x:v>26</x:v>
      </x:c>
      <x:c r="P1400" s="50" t="n">
        <x:v>16</x:v>
      </x:c>
    </x:row>
    <x:row r="1401" ht="36" customHeight="1">
      <x:c r="A1401" s="53" t="n">
        <x:v>1382</x:v>
      </x:c>
      <x:c r="B1401" s="53" t="n">
        <x:v>2</x:v>
      </x:c>
      <x:c r="C1401" s="40" t="str">
        <x:v>Large-Basket Occasional Shoppers</x:v>
      </x:c>
      <x:c r="D1401" s="60" t="n">
        <x:v>3082.47</x:v>
      </x:c>
      <x:c r="E1401" s="50" t="n">
        <x:v>116</x:v>
      </x:c>
      <x:c r="F1401" s="46" t="n">
        <x:v>5.0434782608695645</x:v>
      </x:c>
      <x:c r="G1401" s="46" t="n">
        <x:v>5</x:v>
      </x:c>
      <x:c r="H1401" s="61" t="n">
        <x:v>26.57301724137931</x:v>
      </x:c>
      <x:c r="I1401" s="52" t="n">
        <x:v>0.8706896551724137</x:v>
      </x:c>
      <x:c r="J1401" s="52" t="n">
        <x:v>0.4874694644230114</x:v>
      </x:c>
      <x:c r="K1401" s="60" t="n">
        <x:v>2960.19</x:v>
      </x:c>
      <x:c r="L1401" s="60" t="n">
        <x:v>122.28</x:v>
      </x:c>
      <x:c r="M1401" s="50" t="n">
        <x:v>101</x:v>
      </x:c>
      <x:c r="N1401" s="50" t="n">
        <x:v>15</x:v>
      </x:c>
      <x:c r="O1401" s="50" t="n">
        <x:v>112</x:v>
      </x:c>
      <x:c r="P1401" s="50" t="n">
        <x:v>23</x:v>
      </x:c>
    </x:row>
    <x:row r="1402" ht="36" customHeight="1">
      <x:c r="A1402" s="53" t="n">
        <x:v>1383</x:v>
      </x:c>
      <x:c r="B1402" s="53" t="n">
        <x:v>3</x:v>
      </x:c>
      <x:c r="C1402" s="40" t="str">
        <x:v>Low-Value Low-Engagement Shoppers</x:v>
      </x:c>
      <x:c r="D1402" s="60" t="n">
        <x:v>1532.65</x:v>
      </x:c>
      <x:c r="E1402" s="50" t="n">
        <x:v>128</x:v>
      </x:c>
      <x:c r="F1402" s="46" t="n">
        <x:v>5.8181818181818175</x:v>
      </x:c>
      <x:c r="G1402" s="46" t="n">
        <x:v>10</x:v>
      </x:c>
      <x:c r="H1402" s="61" t="n">
        <x:v>11.973828125</x:v>
      </x:c>
      <x:c r="I1402" s="52" t="n">
        <x:v>0.5</x:v>
      </x:c>
      <x:c r="J1402" s="52" t="n">
        <x:v>0.389221283398036</x:v>
      </x:c>
      <x:c r="K1402" s="60" t="n">
        <x:v>1080.98</x:v>
      </x:c>
      <x:c r="L1402" s="60" t="n">
        <x:v>451.67</x:v>
      </x:c>
      <x:c r="M1402" s="50" t="n">
        <x:v>64</x:v>
      </x:c>
      <x:c r="N1402" s="50" t="n">
        <x:v>64</x:v>
      </x:c>
      <x:c r="O1402" s="50" t="n">
        <x:v>106</x:v>
      </x:c>
      <x:c r="P1402" s="50" t="n">
        <x:v>22</x:v>
      </x:c>
    </x:row>
    <x:row r="1403" ht="36" customHeight="1">
      <x:c r="A1403" s="53" t="n">
        <x:v>1384</x:v>
      </x:c>
      <x:c r="B1403" s="53" t="n">
        <x:v>2</x:v>
      </x:c>
      <x:c r="C1403" s="40" t="str">
        <x:v>Large-Basket Occasional Shoppers</x:v>
      </x:c>
      <x:c r="D1403" s="60" t="n">
        <x:v>827.46</x:v>
      </x:c>
      <x:c r="E1403" s="50" t="n">
        <x:v>33</x:v>
      </x:c>
      <x:c r="F1403" s="46" t="n">
        <x:v>1.9411764705882355</x:v>
      </x:c>
      <x:c r="G1403" s="46" t="n">
        <x:v>15</x:v>
      </x:c>
      <x:c r="H1403" s="61" t="n">
        <x:v>25.07454545454545</x:v>
      </x:c>
      <x:c r="I1403" s="52" t="n">
        <x:v>0.909090909090909</x:v>
      </x:c>
      <x:c r="J1403" s="52" t="n">
        <x:v>0.5691392937422957</x:v>
      </x:c>
      <x:c r="K1403" s="60" t="n">
        <x:v>819.79</x:v>
      </x:c>
      <x:c r="L1403" s="60" t="n">
        <x:v>7.67</x:v>
      </x:c>
      <x:c r="M1403" s="50" t="n">
        <x:v>30</x:v>
      </x:c>
      <x:c r="N1403" s="50" t="n">
        <x:v>3</x:v>
      </x:c>
      <x:c r="O1403" s="50" t="n">
        <x:v>78</x:v>
      </x:c>
      <x:c r="P1403" s="50" t="n">
        <x:v>17</x:v>
      </x:c>
    </x:row>
    <x:row r="1404" ht="36" customHeight="1">
      <x:c r="A1404" s="53" t="n">
        <x:v>1385</x:v>
      </x:c>
      <x:c r="B1404" s="53" t="n">
        <x:v>2</x:v>
      </x:c>
      <x:c r="C1404" s="40" t="str">
        <x:v>Large-Basket Occasional Shoppers</x:v>
      </x:c>
      <x:c r="D1404" s="60" t="n">
        <x:v>5637.51</x:v>
      </x:c>
      <x:c r="E1404" s="50" t="n">
        <x:v>112</x:v>
      </x:c>
      <x:c r="F1404" s="46" t="n">
        <x:v>5.333333333333333</x:v>
      </x:c>
      <x:c r="G1404" s="46" t="n">
        <x:v>18</x:v>
      </x:c>
      <x:c r="H1404" s="61" t="n">
        <x:v>50.33491071428571</x:v>
      </x:c>
      <x:c r="I1404" s="52" t="n">
        <x:v>0.9642857142857142</x:v>
      </x:c>
      <x:c r="J1404" s="52" t="n">
        <x:v>0.5530917018329014</x:v>
      </x:c>
      <x:c r="K1404" s="60" t="n">
        <x:v>5585.97</x:v>
      </x:c>
      <x:c r="L1404" s="60" t="n">
        <x:v>51.54</x:v>
      </x:c>
      <x:c r="M1404" s="50" t="n">
        <x:v>108</x:v>
      </x:c>
      <x:c r="N1404" s="50" t="n">
        <x:v>4</x:v>
      </x:c>
      <x:c r="O1404" s="50" t="n">
        <x:v>131</x:v>
      </x:c>
      <x:c r="P1404" s="50" t="n">
        <x:v>21</x:v>
      </x:c>
    </x:row>
    <x:row r="1405" ht="36" customHeight="1">
      <x:c r="A1405" s="53" t="n">
        <x:v>1386</x:v>
      </x:c>
      <x:c r="B1405" s="53" t="n">
        <x:v>3</x:v>
      </x:c>
      <x:c r="C1405" s="40" t="str">
        <x:v>Low-Value Low-Engagement Shoppers</x:v>
      </x:c>
      <x:c r="D1405" s="60" t="n">
        <x:v>111.15</x:v>
      </x:c>
      <x:c r="E1405" s="50" t="n">
        <x:v>8</x:v>
      </x:c>
      <x:c r="F1405" s="46" t="n">
        <x:v>1.1428571428571428</x:v>
      </x:c>
      <x:c r="G1405" s="46" t="n">
        <x:v>48</x:v>
      </x:c>
      <x:c r="H1405" s="61" t="n">
        <x:v>13.89375</x:v>
      </x:c>
      <x:c r="I1405" s="52" t="n">
        <x:v>0.5</x:v>
      </x:c>
      <x:c r="J1405" s="52" t="n">
        <x:v>0.3875843454790823</x:v>
      </x:c>
      <x:c r="K1405" s="60" t="n">
        <x:v>62.4</x:v>
      </x:c>
      <x:c r="L1405" s="60" t="n">
        <x:v>48.75</x:v>
      </x:c>
      <x:c r="M1405" s="50" t="n">
        <x:v>4</x:v>
      </x:c>
      <x:c r="N1405" s="50" t="n">
        <x:v>4</x:v>
      </x:c>
      <x:c r="O1405" s="50" t="n">
        <x:v>22</x:v>
      </x:c>
      <x:c r="P1405" s="50" t="n">
        <x:v>7</x:v>
      </x:c>
    </x:row>
    <x:row r="1406" ht="36" customHeight="1">
      <x:c r="A1406" s="53" t="n">
        <x:v>1387</x:v>
      </x:c>
      <x:c r="B1406" s="53" t="n">
        <x:v>2</x:v>
      </x:c>
      <x:c r="C1406" s="40" t="str">
        <x:v>Large-Basket Occasional Shoppers</x:v>
      </x:c>
      <x:c r="D1406" s="60" t="n">
        <x:v>2057.95</x:v>
      </x:c>
      <x:c r="E1406" s="50" t="n">
        <x:v>66</x:v>
      </x:c>
      <x:c r="F1406" s="46" t="n">
        <x:v>2.869565217391304</x:v>
      </x:c>
      <x:c r="G1406" s="46" t="n">
        <x:v>6</x:v>
      </x:c>
      <x:c r="H1406" s="61" t="n">
        <x:v>31.18106060606061</x:v>
      </x:c>
      <x:c r="I1406" s="52" t="n">
        <x:v>0.8636363636363636</x:v>
      </x:c>
      <x:c r="J1406" s="52" t="n">
        <x:v>0.4809543477732695</x:v>
      </x:c>
      <x:c r="K1406" s="60" t="n">
        <x:v>1963.49</x:v>
      </x:c>
      <x:c r="L1406" s="60" t="n">
        <x:v>94.46</x:v>
      </x:c>
      <x:c r="M1406" s="50" t="n">
        <x:v>57</x:v>
      </x:c>
      <x:c r="N1406" s="50" t="n">
        <x:v>9</x:v>
      </x:c>
      <x:c r="O1406" s="50" t="n">
        <x:v>75</x:v>
      </x:c>
      <x:c r="P1406" s="50" t="n">
        <x:v>23</x:v>
      </x:c>
    </x:row>
    <x:row r="1407" ht="36" customHeight="1">
      <x:c r="A1407" s="53" t="n">
        <x:v>1388</x:v>
      </x:c>
      <x:c r="B1407" s="53" t="n">
        <x:v>1</x:v>
      </x:c>
      <x:c r="C1407" s="40" t="str">
        <x:v>High-Value Frequent Shoppers</x:v>
      </x:c>
      <x:c r="D1407" s="60" t="n">
        <x:v>6949.16</x:v>
      </x:c>
      <x:c r="E1407" s="50" t="n">
        <x:v>150</x:v>
      </x:c>
      <x:c r="F1407" s="46" t="n">
        <x:v>6.25</x:v>
      </x:c>
      <x:c r="G1407" s="46" t="n">
        <x:v>2</x:v>
      </x:c>
      <x:c r="H1407" s="61" t="n">
        <x:v>46.32773333333333</x:v>
      </x:c>
      <x:c r="I1407" s="52" t="n">
        <x:v>0.86</x:v>
      </x:c>
      <x:c r="J1407" s="52" t="n">
        <x:v>0.5204082220009324</x:v>
      </x:c>
      <x:c r="K1407" s="60" t="n">
        <x:v>6748.36</x:v>
      </x:c>
      <x:c r="L1407" s="60" t="n">
        <x:v>200.8</x:v>
      </x:c>
      <x:c r="M1407" s="50" t="n">
        <x:v>129</x:v>
      </x:c>
      <x:c r="N1407" s="50" t="n">
        <x:v>21</x:v>
      </x:c>
      <x:c r="O1407" s="50" t="n">
        <x:v>155</x:v>
      </x:c>
      <x:c r="P1407" s="50" t="n">
        <x:v>24</x:v>
      </x:c>
    </x:row>
    <x:row r="1408" ht="36" customHeight="1">
      <x:c r="A1408" s="53" t="n">
        <x:v>1389</x:v>
      </x:c>
      <x:c r="B1408" s="53" t="n">
        <x:v>2</x:v>
      </x:c>
      <x:c r="C1408" s="40" t="str">
        <x:v>Large-Basket Occasional Shoppers</x:v>
      </x:c>
      <x:c r="D1408" s="60" t="n">
        <x:v>2841.16</x:v>
      </x:c>
      <x:c r="E1408" s="50" t="n">
        <x:v>41</x:v>
      </x:c>
      <x:c r="F1408" s="46" t="n">
        <x:v>2.7333333333333334</x:v>
      </x:c>
      <x:c r="G1408" s="46" t="n">
        <x:v>10</x:v>
      </x:c>
      <x:c r="H1408" s="61" t="n">
        <x:v>69.29658536585366</x:v>
      </x:c>
      <x:c r="I1408" s="52" t="n">
        <x:v>0.9268292682926828</x:v>
      </x:c>
      <x:c r="J1408" s="52" t="n">
        <x:v>0.3464078052626392</x:v>
      </x:c>
      <x:c r="K1408" s="60" t="n">
        <x:v>2770.73</x:v>
      </x:c>
      <x:c r="L1408" s="60" t="n">
        <x:v>70.43</x:v>
      </x:c>
      <x:c r="M1408" s="50" t="n">
        <x:v>38</x:v>
      </x:c>
      <x:c r="N1408" s="50" t="n">
        <x:v>3</x:v>
      </x:c>
      <x:c r="O1408" s="50" t="n">
        <x:v>124</x:v>
      </x:c>
      <x:c r="P1408" s="50" t="n">
        <x:v>15</x:v>
      </x:c>
    </x:row>
    <x:row r="1409" ht="36" customHeight="1">
      <x:c r="A1409" s="53" t="n">
        <x:v>1390</x:v>
      </x:c>
      <x:c r="B1409" s="53" t="n">
        <x:v>1</x:v>
      </x:c>
      <x:c r="C1409" s="40" t="str">
        <x:v>High-Value Frequent Shoppers</x:v>
      </x:c>
      <x:c r="D1409" s="60" t="n">
        <x:v>4879.86</x:v>
      </x:c>
      <x:c r="E1409" s="50" t="n">
        <x:v>210</x:v>
      </x:c>
      <x:c r="F1409" s="46" t="n">
        <x:v>10.5</x:v>
      </x:c>
      <x:c r="G1409" s="46" t="n">
        <x:v>6</x:v>
      </x:c>
      <x:c r="H1409" s="61" t="n">
        <x:v>23.23742857142857</x:v>
      </x:c>
      <x:c r="I1409" s="52" t="n">
        <x:v>0.9095238095238096</x:v>
      </x:c>
      <x:c r="J1409" s="52" t="n">
        <x:v>0.5795104777596078</x:v>
      </x:c>
      <x:c r="K1409" s="60" t="n">
        <x:v>4686.47</x:v>
      </x:c>
      <x:c r="L1409" s="60" t="n">
        <x:v>193.39</x:v>
      </x:c>
      <x:c r="M1409" s="50" t="n">
        <x:v>191</x:v>
      </x:c>
      <x:c r="N1409" s="50" t="n">
        <x:v>19</x:v>
      </x:c>
      <x:c r="O1409" s="50" t="n">
        <x:v>153</x:v>
      </x:c>
      <x:c r="P1409" s="50" t="n">
        <x:v>20</x:v>
      </x:c>
    </x:row>
    <x:row r="1410" ht="36" customHeight="1">
      <x:c r="A1410" s="53" t="n">
        <x:v>1391</x:v>
      </x:c>
      <x:c r="B1410" s="53" t="n">
        <x:v>1</x:v>
      </x:c>
      <x:c r="C1410" s="40" t="str">
        <x:v>High-Value Frequent Shoppers</x:v>
      </x:c>
      <x:c r="D1410" s="60" t="n">
        <x:v>8105.74</x:v>
      </x:c>
      <x:c r="E1410" s="50" t="n">
        <x:v>169</x:v>
      </x:c>
      <x:c r="F1410" s="46" t="n">
        <x:v>7.041666666666666</x:v>
      </x:c>
      <x:c r="G1410" s="46" t="n">
        <x:v>3</x:v>
      </x:c>
      <x:c r="H1410" s="61" t="n">
        <x:v>47.96295857988166</x:v>
      </x:c>
      <x:c r="I1410" s="52" t="n">
        <x:v>0.9763313609467456</x:v>
      </x:c>
      <x:c r="J1410" s="52" t="n">
        <x:v>0.6677218859721629</x:v>
      </x:c>
      <x:c r="K1410" s="60" t="n">
        <x:v>8066.8</x:v>
      </x:c>
      <x:c r="L1410" s="60" t="n">
        <x:v>38.94</x:v>
      </x:c>
      <x:c r="M1410" s="50" t="n">
        <x:v>165</x:v>
      </x:c>
      <x:c r="N1410" s="50" t="n">
        <x:v>4</x:v>
      </x:c>
      <x:c r="O1410" s="50" t="n">
        <x:v>201</x:v>
      </x:c>
      <x:c r="P1410" s="50" t="n">
        <x:v>24</x:v>
      </x:c>
    </x:row>
    <x:row r="1411" ht="36" customHeight="1">
      <x:c r="A1411" s="53" t="n">
        <x:v>1392</x:v>
      </x:c>
      <x:c r="B1411" s="53" t="n">
        <x:v>2</x:v>
      </x:c>
      <x:c r="C1411" s="40" t="str">
        <x:v>Large-Basket Occasional Shoppers</x:v>
      </x:c>
      <x:c r="D1411" s="60" t="n">
        <x:v>2315.07</x:v>
      </x:c>
      <x:c r="E1411" s="50" t="n">
        <x:v>109</x:v>
      </x:c>
      <x:c r="F1411" s="46" t="n">
        <x:v>6.055555555555556</x:v>
      </x:c>
      <x:c r="G1411" s="46" t="n">
        <x:v>50</x:v>
      </x:c>
      <x:c r="H1411" s="61" t="n">
        <x:v>21.239174311926604</x:v>
      </x:c>
      <x:c r="I1411" s="52" t="n">
        <x:v>0.8715596330275229</x:v>
      </x:c>
      <x:c r="J1411" s="52" t="n">
        <x:v>0.5554907626983201</x:v>
      </x:c>
      <x:c r="K1411" s="60" t="n">
        <x:v>2185.61</x:v>
      </x:c>
      <x:c r="L1411" s="60" t="n">
        <x:v>129.46</x:v>
      </x:c>
      <x:c r="M1411" s="50" t="n">
        <x:v>95</x:v>
      </x:c>
      <x:c r="N1411" s="50" t="n">
        <x:v>14</x:v>
      </x:c>
      <x:c r="O1411" s="50" t="n">
        <x:v>129</x:v>
      </x:c>
      <x:c r="P1411" s="50" t="n">
        <x:v>18</x:v>
      </x:c>
    </x:row>
    <x:row r="1412" ht="36" customHeight="1">
      <x:c r="A1412" s="53" t="n">
        <x:v>1393</x:v>
      </x:c>
      <x:c r="B1412" s="53" t="n">
        <x:v>1</x:v>
      </x:c>
      <x:c r="C1412" s="40" t="str">
        <x:v>High-Value Frequent Shoppers</x:v>
      </x:c>
      <x:c r="D1412" s="60" t="n">
        <x:v>5950.89</x:v>
      </x:c>
      <x:c r="E1412" s="50" t="n">
        <x:v>203</x:v>
      </x:c>
      <x:c r="F1412" s="46" t="n">
        <x:v>8.826086956521738</x:v>
      </x:c>
      <x:c r="G1412" s="46" t="n">
        <x:v>3</x:v>
      </x:c>
      <x:c r="H1412" s="61" t="n">
        <x:v>29.31472906403941</x:v>
      </x:c>
      <x:c r="I1412" s="52" t="n">
        <x:v>0.8423645320197044</x:v>
      </x:c>
      <x:c r="J1412" s="52" t="n">
        <x:v>0.3434225804879606</x:v>
      </x:c>
      <x:c r="K1412" s="60" t="n">
        <x:v>5550.62</x:v>
      </x:c>
      <x:c r="L1412" s="60" t="n">
        <x:v>400.27</x:v>
      </x:c>
      <x:c r="M1412" s="50" t="n">
        <x:v>171</x:v>
      </x:c>
      <x:c r="N1412" s="50" t="n">
        <x:v>32</x:v>
      </x:c>
      <x:c r="O1412" s="50" t="n">
        <x:v>148</x:v>
      </x:c>
      <x:c r="P1412" s="50" t="n">
        <x:v>23</x:v>
      </x:c>
    </x:row>
    <x:row r="1413" ht="36" customHeight="1">
      <x:c r="A1413" s="53" t="n">
        <x:v>1394</x:v>
      </x:c>
      <x:c r="B1413" s="53" t="n">
        <x:v>1</x:v>
      </x:c>
      <x:c r="C1413" s="40" t="str">
        <x:v>High-Value Frequent Shoppers</x:v>
      </x:c>
      <x:c r="D1413" s="60" t="n">
        <x:v>4391.58</x:v>
      </x:c>
      <x:c r="E1413" s="50" t="n">
        <x:v>151</x:v>
      </x:c>
      <x:c r="F1413" s="46" t="n">
        <x:v>7.190476190476192</x:v>
      </x:c>
      <x:c r="G1413" s="46" t="n">
        <x:v>4</x:v>
      </x:c>
      <x:c r="H1413" s="61" t="n">
        <x:v>29.083311258278144</x:v>
      </x:c>
      <x:c r="I1413" s="52" t="n">
        <x:v>0.9006622516556291</x:v>
      </x:c>
      <x:c r="J1413" s="52" t="n">
        <x:v>0.4043191744201403</x:v>
      </x:c>
      <x:c r="K1413" s="60" t="n">
        <x:v>4265.43</x:v>
      </x:c>
      <x:c r="L1413" s="60" t="n">
        <x:v>126.15</x:v>
      </x:c>
      <x:c r="M1413" s="50" t="n">
        <x:v>136</x:v>
      </x:c>
      <x:c r="N1413" s="50" t="n">
        <x:v>15</x:v>
      </x:c>
      <x:c r="O1413" s="50" t="n">
        <x:v>139</x:v>
      </x:c>
      <x:c r="P1413" s="50" t="n">
        <x:v>21</x:v>
      </x:c>
    </x:row>
    <x:row r="1414" ht="36" customHeight="1">
      <x:c r="A1414" s="53" t="n">
        <x:v>1395</x:v>
      </x:c>
      <x:c r="B1414" s="53" t="n">
        <x:v>3</x:v>
      </x:c>
      <x:c r="C1414" s="40" t="str">
        <x:v>Low-Value Low-Engagement Shoppers</x:v>
      </x:c>
      <x:c r="D1414" s="60" t="n">
        <x:v>1142.42</x:v>
      </x:c>
      <x:c r="E1414" s="50" t="n">
        <x:v>40</x:v>
      </x:c>
      <x:c r="F1414" s="46" t="n">
        <x:v>2.666666666666667</x:v>
      </x:c>
      <x:c r="G1414" s="46" t="n">
        <x:v>2</x:v>
      </x:c>
      <x:c r="H1414" s="61" t="n">
        <x:v>28.5605</x:v>
      </x:c>
      <x:c r="I1414" s="52" t="n">
        <x:v>0.7</x:v>
      </x:c>
      <x:c r="J1414" s="52" t="n">
        <x:v>0.4821431697624341</x:v>
      </x:c>
      <x:c r="K1414" s="60" t="n">
        <x:v>1049.48</x:v>
      </x:c>
      <x:c r="L1414" s="60" t="n">
        <x:v>92.94</x:v>
      </x:c>
      <x:c r="M1414" s="50" t="n">
        <x:v>28</x:v>
      </x:c>
      <x:c r="N1414" s="50" t="n">
        <x:v>12</x:v>
      </x:c>
      <x:c r="O1414" s="50" t="n">
        <x:v>85</x:v>
      </x:c>
      <x:c r="P1414" s="50" t="n">
        <x:v>15</x:v>
      </x:c>
    </x:row>
    <x:row r="1415" ht="36" customHeight="1">
      <x:c r="A1415" s="53" t="n">
        <x:v>1396</x:v>
      </x:c>
      <x:c r="B1415" s="53" t="n">
        <x:v>1</x:v>
      </x:c>
      <x:c r="C1415" s="40" t="str">
        <x:v>High-Value Frequent Shoppers</x:v>
      </x:c>
      <x:c r="D1415" s="60" t="n">
        <x:v>7177.06</x:v>
      </x:c>
      <x:c r="E1415" s="50" t="n">
        <x:v>229</x:v>
      </x:c>
      <x:c r="F1415" s="46" t="n">
        <x:v>11.45</x:v>
      </x:c>
      <x:c r="G1415" s="46" t="n">
        <x:v>91</x:v>
      </x:c>
      <x:c r="H1415" s="61" t="n">
        <x:v>31.34087336244541</x:v>
      </x:c>
      <x:c r="I1415" s="52" t="n">
        <x:v>0.9301310043668122</x:v>
      </x:c>
      <x:c r="J1415" s="52" t="n">
        <x:v>0.618781227967998</x:v>
      </x:c>
      <x:c r="K1415" s="60" t="n">
        <x:v>6885.78</x:v>
      </x:c>
      <x:c r="L1415" s="60" t="n">
        <x:v>291.28</x:v>
      </x:c>
      <x:c r="M1415" s="50" t="n">
        <x:v>213</x:v>
      </x:c>
      <x:c r="N1415" s="50" t="n">
        <x:v>16</x:v>
      </x:c>
      <x:c r="O1415" s="50" t="n">
        <x:v>157</x:v>
      </x:c>
      <x:c r="P1415" s="50" t="n">
        <x:v>20</x:v>
      </x:c>
    </x:row>
    <x:row r="1416" ht="36" customHeight="1">
      <x:c r="A1416" s="53" t="n">
        <x:v>1397</x:v>
      </x:c>
      <x:c r="B1416" s="53" t="n">
        <x:v>1</x:v>
      </x:c>
      <x:c r="C1416" s="40" t="str">
        <x:v>High-Value Frequent Shoppers</x:v>
      </x:c>
      <x:c r="D1416" s="60" t="n">
        <x:v>5707.6</x:v>
      </x:c>
      <x:c r="E1416" s="50" t="n">
        <x:v>283</x:v>
      </x:c>
      <x:c r="F1416" s="46" t="n">
        <x:v>13.476190476190476</x:v>
      </x:c>
      <x:c r="G1416" s="46" t="n">
        <x:v>3</x:v>
      </x:c>
      <x:c r="H1416" s="61" t="n">
        <x:v>20.168197879858656</x:v>
      </x:c>
      <x:c r="I1416" s="52" t="n">
        <x:v>0.862190812720848</x:v>
      </x:c>
      <x:c r="J1416" s="52" t="n">
        <x:v>0.4153602214591071</x:v>
      </x:c>
      <x:c r="K1416" s="60" t="n">
        <x:v>5371.11</x:v>
      </x:c>
      <x:c r="L1416" s="60" t="n">
        <x:v>336.49</x:v>
      </x:c>
      <x:c r="M1416" s="50" t="n">
        <x:v>244</x:v>
      </x:c>
      <x:c r="N1416" s="50" t="n">
        <x:v>39</x:v>
      </x:c>
      <x:c r="O1416" s="50" t="n">
        <x:v>147</x:v>
      </x:c>
      <x:c r="P1416" s="50" t="n">
        <x:v>21</x:v>
      </x:c>
    </x:row>
    <x:row r="1417" ht="36" customHeight="1">
      <x:c r="A1417" s="53" t="n">
        <x:v>1398</x:v>
      </x:c>
      <x:c r="B1417" s="53" t="n">
        <x:v>3</x:v>
      </x:c>
      <x:c r="C1417" s="40" t="str">
        <x:v>Low-Value Low-Engagement Shoppers</x:v>
      </x:c>
      <x:c r="D1417" s="60" t="n">
        <x:v>404.96</x:v>
      </x:c>
      <x:c r="E1417" s="50" t="n">
        <x:v>20</x:v>
      </x:c>
      <x:c r="F1417" s="46" t="n">
        <x:v>1.8181818181818183</x:v>
      </x:c>
      <x:c r="G1417" s="46" t="n">
        <x:v>17</x:v>
      </x:c>
      <x:c r="H1417" s="61" t="n">
        <x:v>20.248</x:v>
      </x:c>
      <x:c r="I1417" s="52" t="n">
        <x:v>0.8</x:v>
      </x:c>
      <x:c r="J1417" s="52" t="n">
        <x:v>0.4848133148952983</x:v>
      </x:c>
      <x:c r="K1417" s="60" t="n">
        <x:v>367.06</x:v>
      </x:c>
      <x:c r="L1417" s="60" t="n">
        <x:v>37.9</x:v>
      </x:c>
      <x:c r="M1417" s="50" t="n">
        <x:v>16</x:v>
      </x:c>
      <x:c r="N1417" s="50" t="n">
        <x:v>4</x:v>
      </x:c>
      <x:c r="O1417" s="50" t="n">
        <x:v>52</x:v>
      </x:c>
      <x:c r="P1417" s="50" t="n">
        <x:v>11</x:v>
      </x:c>
    </x:row>
    <x:row r="1418" ht="36" customHeight="1">
      <x:c r="A1418" s="53" t="n">
        <x:v>1399</x:v>
      </x:c>
      <x:c r="B1418" s="53" t="n">
        <x:v>2</x:v>
      </x:c>
      <x:c r="C1418" s="40" t="str">
        <x:v>Large-Basket Occasional Shoppers</x:v>
      </x:c>
      <x:c r="D1418" s="60" t="n">
        <x:v>1032.63</x:v>
      </x:c>
      <x:c r="E1418" s="50" t="n">
        <x:v>33</x:v>
      </x:c>
      <x:c r="F1418" s="46" t="n">
        <x:v>1.736842105263158</x:v>
      </x:c>
      <x:c r="G1418" s="46" t="n">
        <x:v>4</x:v>
      </x:c>
      <x:c r="H1418" s="61" t="n">
        <x:v>31.29181818181818</x:v>
      </x:c>
      <x:c r="I1418" s="52" t="n">
        <x:v>0.9393939393939392</x:v>
      </x:c>
      <x:c r="J1418" s="52" t="n">
        <x:v>0.4862922828118493</x:v>
      </x:c>
      <x:c r="K1418" s="60" t="n">
        <x:v>1019.87</x:v>
      </x:c>
      <x:c r="L1418" s="60" t="n">
        <x:v>12.76</x:v>
      </x:c>
      <x:c r="M1418" s="50" t="n">
        <x:v>31</x:v>
      </x:c>
      <x:c r="N1418" s="50" t="n">
        <x:v>2</x:v>
      </x:c>
      <x:c r="O1418" s="50" t="n">
        <x:v>76</x:v>
      </x:c>
      <x:c r="P1418" s="50" t="n">
        <x:v>19</x:v>
      </x:c>
    </x:row>
    <x:row r="1419" ht="36" customHeight="1">
      <x:c r="A1419" s="53" t="n">
        <x:v>1400</x:v>
      </x:c>
      <x:c r="B1419" s="53" t="n">
        <x:v>2</x:v>
      </x:c>
      <x:c r="C1419" s="40" t="str">
        <x:v>Large-Basket Occasional Shoppers</x:v>
      </x:c>
      <x:c r="D1419" s="60" t="n">
        <x:v>284.31</x:v>
      </x:c>
      <x:c r="E1419" s="50" t="n">
        <x:v>11</x:v>
      </x:c>
      <x:c r="F1419" s="46" t="n">
        <x:v>1.375</x:v>
      </x:c>
      <x:c r="G1419" s="46" t="n">
        <x:v>12</x:v>
      </x:c>
      <x:c r="H1419" s="61" t="n">
        <x:v>25.84636363636364</x:v>
      </x:c>
      <x:c r="I1419" s="52" t="n">
        <x:v>1</x:v>
      </x:c>
      <x:c r="J1419" s="52" t="n">
        <x:v>0.7147128134782454</x:v>
      </x:c>
      <x:c r="K1419" s="60" t="n">
        <x:v>284.31</x:v>
      </x:c>
      <x:c r="L1419" s="60" t="n">
        <x:v>0</x:v>
      </x:c>
      <x:c r="M1419" s="50" t="n">
        <x:v>11</x:v>
      </x:c>
      <x:c r="N1419" s="50" t="n">
        <x:v>0</x:v>
      </x:c>
      <x:c r="O1419" s="50" t="n">
        <x:v>43</x:v>
      </x:c>
      <x:c r="P1419" s="50" t="n">
        <x:v>8</x:v>
      </x:c>
    </x:row>
    <x:row r="1420" ht="36" customHeight="1">
      <x:c r="A1420" s="53" t="n">
        <x:v>1401</x:v>
      </x:c>
      <x:c r="B1420" s="53" t="n">
        <x:v>3</x:v>
      </x:c>
      <x:c r="C1420" s="40" t="str">
        <x:v>Low-Value Low-Engagement Shoppers</x:v>
      </x:c>
      <x:c r="D1420" s="60" t="n">
        <x:v>587.37</x:v>
      </x:c>
      <x:c r="E1420" s="50" t="n">
        <x:v>52</x:v>
      </x:c>
      <x:c r="F1420" s="46" t="n">
        <x:v>3.058823529411765</x:v>
      </x:c>
      <x:c r="G1420" s="46" t="n">
        <x:v>28</x:v>
      </x:c>
      <x:c r="H1420" s="61" t="n">
        <x:v>11.295576923076924</x:v>
      </x:c>
      <x:c r="I1420" s="52" t="n">
        <x:v>0.9807692307692308</x:v>
      </x:c>
      <x:c r="J1420" s="52" t="n">
        <x:v>0.7514854350749953</x:v>
      </x:c>
      <x:c r="K1420" s="60" t="n">
        <x:v>577.32</x:v>
      </x:c>
      <x:c r="L1420" s="60" t="n">
        <x:v>10.05</x:v>
      </x:c>
      <x:c r="M1420" s="50" t="n">
        <x:v>51</x:v>
      </x:c>
      <x:c r="N1420" s="50" t="n">
        <x:v>1</x:v>
      </x:c>
      <x:c r="O1420" s="50" t="n">
        <x:v>78</x:v>
      </x:c>
      <x:c r="P1420" s="50" t="n">
        <x:v>17</x:v>
      </x:c>
    </x:row>
    <x:row r="1421" ht="36" customHeight="1">
      <x:c r="A1421" s="53" t="n">
        <x:v>1402</x:v>
      </x:c>
      <x:c r="B1421" s="53" t="n">
        <x:v>1</x:v>
      </x:c>
      <x:c r="C1421" s="40" t="str">
        <x:v>High-Value Frequent Shoppers</x:v>
      </x:c>
      <x:c r="D1421" s="60" t="n">
        <x:v>2245.76</x:v>
      </x:c>
      <x:c r="E1421" s="50" t="n">
        <x:v>165</x:v>
      </x:c>
      <x:c r="F1421" s="46" t="n">
        <x:v>7.5</x:v>
      </x:c>
      <x:c r="G1421" s="46" t="n">
        <x:v>2</x:v>
      </x:c>
      <x:c r="H1421" s="61" t="n">
        <x:v>13.610666666666663</x:v>
      </x:c>
      <x:c r="I1421" s="52" t="n">
        <x:v>0.7393939393939393</x:v>
      </x:c>
      <x:c r="J1421" s="52" t="n">
        <x:v>0.4169412581932174</x:v>
      </x:c>
      <x:c r="K1421" s="60" t="n">
        <x:v>1903.06</x:v>
      </x:c>
      <x:c r="L1421" s="60" t="n">
        <x:v>342.7</x:v>
      </x:c>
      <x:c r="M1421" s="50" t="n">
        <x:v>122</x:v>
      </x:c>
      <x:c r="N1421" s="50" t="n">
        <x:v>43</x:v>
      </x:c>
      <x:c r="O1421" s="50" t="n">
        <x:v>94</x:v>
      </x:c>
      <x:c r="P1421" s="50" t="n">
        <x:v>22</x:v>
      </x:c>
    </x:row>
    <x:row r="1422" ht="36" customHeight="1">
      <x:c r="A1422" s="53" t="n">
        <x:v>1403</x:v>
      </x:c>
      <x:c r="B1422" s="53" t="n">
        <x:v>1</x:v>
      </x:c>
      <x:c r="C1422" s="40" t="str">
        <x:v>High-Value Frequent Shoppers</x:v>
      </x:c>
      <x:c r="D1422" s="60" t="n">
        <x:v>3673.26</x:v>
      </x:c>
      <x:c r="E1422" s="50" t="n">
        <x:v>151</x:v>
      </x:c>
      <x:c r="F1422" s="46" t="n">
        <x:v>7.94736842105263</x:v>
      </x:c>
      <x:c r="G1422" s="46" t="n">
        <x:v>28</x:v>
      </x:c>
      <x:c r="H1422" s="61" t="n">
        <x:v>24.32622516556292</x:v>
      </x:c>
      <x:c r="I1422" s="52" t="n">
        <x:v>0.8543046357615894</x:v>
      </x:c>
      <x:c r="J1422" s="52" t="n">
        <x:v>0.5737138127984406</x:v>
      </x:c>
      <x:c r="K1422" s="60" t="n">
        <x:v>3367.02</x:v>
      </x:c>
      <x:c r="L1422" s="60" t="n">
        <x:v>306.24</x:v>
      </x:c>
      <x:c r="M1422" s="50" t="n">
        <x:v>129</x:v>
      </x:c>
      <x:c r="N1422" s="50" t="n">
        <x:v>22</x:v>
      </x:c>
      <x:c r="O1422" s="50" t="n">
        <x:v>123</x:v>
      </x:c>
      <x:c r="P1422" s="50" t="n">
        <x:v>19</x:v>
      </x:c>
    </x:row>
    <x:row r="1423" ht="36" customHeight="1">
      <x:c r="A1423" s="53" t="n">
        <x:v>1404</x:v>
      </x:c>
      <x:c r="B1423" s="53" t="n">
        <x:v>2</x:v>
      </x:c>
      <x:c r="C1423" s="40" t="str">
        <x:v>Large-Basket Occasional Shoppers</x:v>
      </x:c>
      <x:c r="D1423" s="60" t="n">
        <x:v>1248.19</x:v>
      </x:c>
      <x:c r="E1423" s="50" t="n">
        <x:v>43</x:v>
      </x:c>
      <x:c r="F1423" s="46" t="n">
        <x:v>2.6875</x:v>
      </x:c>
      <x:c r="G1423" s="46" t="n">
        <x:v>7</x:v>
      </x:c>
      <x:c r="H1423" s="61" t="n">
        <x:v>29.027674418604647</x:v>
      </x:c>
      <x:c r="I1423" s="52" t="n">
        <x:v>0.813953488372093</x:v>
      </x:c>
      <x:c r="J1423" s="52" t="n">
        <x:v>0.4714346373548898</x:v>
      </x:c>
      <x:c r="K1423" s="60" t="n">
        <x:v>1171.13</x:v>
      </x:c>
      <x:c r="L1423" s="60" t="n">
        <x:v>77.06</x:v>
      </x:c>
      <x:c r="M1423" s="50" t="n">
        <x:v>35</x:v>
      </x:c>
      <x:c r="N1423" s="50" t="n">
        <x:v>8</x:v>
      </x:c>
      <x:c r="O1423" s="50" t="n">
        <x:v>107</x:v>
      </x:c>
      <x:c r="P1423" s="50" t="n">
        <x:v>16</x:v>
      </x:c>
    </x:row>
    <x:row r="1424" ht="36" customHeight="1">
      <x:c r="A1424" s="53" t="n">
        <x:v>1405</x:v>
      </x:c>
      <x:c r="B1424" s="53" t="n">
        <x:v>2</x:v>
      </x:c>
      <x:c r="C1424" s="40" t="str">
        <x:v>Large-Basket Occasional Shoppers</x:v>
      </x:c>
      <x:c r="D1424" s="60" t="n">
        <x:v>2480.88</x:v>
      </x:c>
      <x:c r="E1424" s="50" t="n">
        <x:v>54</x:v>
      </x:c>
      <x:c r="F1424" s="46" t="n">
        <x:v>3</x:v>
      </x:c>
      <x:c r="G1424" s="46" t="n">
        <x:v>12</x:v>
      </x:c>
      <x:c r="H1424" s="61" t="n">
        <x:v>45.94222222222223</x:v>
      </x:c>
      <x:c r="I1424" s="52" t="n">
        <x:v>0.8333333333333333</x:v>
      </x:c>
      <x:c r="J1424" s="52" t="n">
        <x:v>0.5134952113766083</x:v>
      </x:c>
      <x:c r="K1424" s="60" t="n">
        <x:v>2365.22</x:v>
      </x:c>
      <x:c r="L1424" s="60" t="n">
        <x:v>115.66</x:v>
      </x:c>
      <x:c r="M1424" s="50" t="n">
        <x:v>45</x:v>
      </x:c>
      <x:c r="N1424" s="50" t="n">
        <x:v>9</x:v>
      </x:c>
      <x:c r="O1424" s="50" t="n">
        <x:v>151</x:v>
      </x:c>
      <x:c r="P1424" s="50" t="n">
        <x:v>18</x:v>
      </x:c>
    </x:row>
    <x:row r="1425" ht="36" customHeight="1">
      <x:c r="A1425" s="53" t="n">
        <x:v>1406</x:v>
      </x:c>
      <x:c r="B1425" s="53" t="n">
        <x:v>1</x:v>
      </x:c>
      <x:c r="C1425" s="40" t="str">
        <x:v>High-Value Frequent Shoppers</x:v>
      </x:c>
      <x:c r="D1425" s="60" t="n">
        <x:v>3790.44</x:v>
      </x:c>
      <x:c r="E1425" s="50" t="n">
        <x:v>116</x:v>
      </x:c>
      <x:c r="F1425" s="46" t="n">
        <x:v>5.2727272727272725</x:v>
      </x:c>
      <x:c r="G1425" s="46" t="n">
        <x:v>1</x:v>
      </x:c>
      <x:c r="H1425" s="61" t="n">
        <x:v>32.676206896551726</x:v>
      </x:c>
      <x:c r="I1425" s="52" t="n">
        <x:v>0.896551724137931</x:v>
      </x:c>
      <x:c r="J1425" s="52" t="n">
        <x:v>0.5107850275957408</x:v>
      </x:c>
      <x:c r="K1425" s="60" t="n">
        <x:v>3657.42</x:v>
      </x:c>
      <x:c r="L1425" s="60" t="n">
        <x:v>133.02</x:v>
      </x:c>
      <x:c r="M1425" s="50" t="n">
        <x:v>104</x:v>
      </x:c>
      <x:c r="N1425" s="50" t="n">
        <x:v>12</x:v>
      </x:c>
      <x:c r="O1425" s="50" t="n">
        <x:v>162</x:v>
      </x:c>
      <x:c r="P1425" s="50" t="n">
        <x:v>22</x:v>
      </x:c>
    </x:row>
    <x:row r="1426" ht="36" customHeight="1">
      <x:c r="A1426" s="53" t="n">
        <x:v>1407</x:v>
      </x:c>
      <x:c r="B1426" s="53" t="n">
        <x:v>2</x:v>
      </x:c>
      <x:c r="C1426" s="40" t="str">
        <x:v>Large-Basket Occasional Shoppers</x:v>
      </x:c>
      <x:c r="D1426" s="60" t="n">
        <x:v>1615.94</x:v>
      </x:c>
      <x:c r="E1426" s="50" t="n">
        <x:v>35</x:v>
      </x:c>
      <x:c r="F1426" s="46" t="n">
        <x:v>2.6923076923076925</x:v>
      </x:c>
      <x:c r="G1426" s="46" t="n">
        <x:v>6</x:v>
      </x:c>
      <x:c r="H1426" s="61" t="n">
        <x:v>46.169714285714285</x:v>
      </x:c>
      <x:c r="I1426" s="52" t="n">
        <x:v>0.7714285714285714</x:v>
      </x:c>
      <x:c r="J1426" s="52" t="n">
        <x:v>0.3600071784843496</x:v>
      </x:c>
      <x:c r="K1426" s="60" t="n">
        <x:v>1562.8</x:v>
      </x:c>
      <x:c r="L1426" s="60" t="n">
        <x:v>53.14</x:v>
      </x:c>
      <x:c r="M1426" s="50" t="n">
        <x:v>27</x:v>
      </x:c>
      <x:c r="N1426" s="50" t="n">
        <x:v>8</x:v>
      </x:c>
      <x:c r="O1426" s="50" t="n">
        <x:v>123</x:v>
      </x:c>
      <x:c r="P1426" s="50" t="n">
        <x:v>13</x:v>
      </x:c>
    </x:row>
    <x:row r="1427" ht="36" customHeight="1">
      <x:c r="A1427" s="53" t="n">
        <x:v>1408</x:v>
      </x:c>
      <x:c r="B1427" s="53" t="n">
        <x:v>3</x:v>
      </x:c>
      <x:c r="C1427" s="40" t="str">
        <x:v>Low-Value Low-Engagement Shoppers</x:v>
      </x:c>
      <x:c r="D1427" s="60" t="n">
        <x:v>1055.29</x:v>
      </x:c>
      <x:c r="E1427" s="50" t="n">
        <x:v>57</x:v>
      </x:c>
      <x:c r="F1427" s="46" t="n">
        <x:v>3</x:v>
      </x:c>
      <x:c r="G1427" s="46" t="n">
        <x:v>20</x:v>
      </x:c>
      <x:c r="H1427" s="61" t="n">
        <x:v>18.513859649122807</x:v>
      </x:c>
      <x:c r="I1427" s="52" t="n">
        <x:v>0.8070175438596491</x:v>
      </x:c>
      <x:c r="J1427" s="52" t="n">
        <x:v>0.3960522699921348</x:v>
      </x:c>
      <x:c r="K1427" s="60" t="n">
        <x:v>970.42</x:v>
      </x:c>
      <x:c r="L1427" s="60" t="n">
        <x:v>84.87</x:v>
      </x:c>
      <x:c r="M1427" s="50" t="n">
        <x:v>46</x:v>
      </x:c>
      <x:c r="N1427" s="50" t="n">
        <x:v>11</x:v>
      </x:c>
      <x:c r="O1427" s="50" t="n">
        <x:v>74</x:v>
      </x:c>
      <x:c r="P1427" s="50" t="n">
        <x:v>19</x:v>
      </x:c>
    </x:row>
    <x:row r="1428" ht="36" customHeight="1">
      <x:c r="A1428" s="53" t="n">
        <x:v>1409</x:v>
      </x:c>
      <x:c r="B1428" s="53" t="n">
        <x:v>1</x:v>
      </x:c>
      <x:c r="C1428" s="40" t="str">
        <x:v>High-Value Frequent Shoppers</x:v>
      </x:c>
      <x:c r="D1428" s="60" t="n">
        <x:v>4324.03</x:v>
      </x:c>
      <x:c r="E1428" s="50" t="n">
        <x:v>87</x:v>
      </x:c>
      <x:c r="F1428" s="46" t="n">
        <x:v>3.954545454545455</x:v>
      </x:c>
      <x:c r="G1428" s="46" t="n">
        <x:v>5</x:v>
      </x:c>
      <x:c r="H1428" s="61" t="n">
        <x:v>49.70149425287356</x:v>
      </x:c>
      <x:c r="I1428" s="52" t="n">
        <x:v>0.7471264367816091</x:v>
      </x:c>
      <x:c r="J1428" s="52" t="n">
        <x:v>0.3886652035254149</x:v>
      </x:c>
      <x:c r="K1428" s="60" t="n">
        <x:v>3972</x:v>
      </x:c>
      <x:c r="L1428" s="60" t="n">
        <x:v>352.03</x:v>
      </x:c>
      <x:c r="M1428" s="50" t="n">
        <x:v>65</x:v>
      </x:c>
      <x:c r="N1428" s="50" t="n">
        <x:v>22</x:v>
      </x:c>
      <x:c r="O1428" s="50" t="n">
        <x:v>122</x:v>
      </x:c>
      <x:c r="P1428" s="50" t="n">
        <x:v>22</x:v>
      </x:c>
    </x:row>
    <x:row r="1429" ht="36" customHeight="1">
      <x:c r="A1429" s="53" t="n">
        <x:v>1410</x:v>
      </x:c>
      <x:c r="B1429" s="53" t="n">
        <x:v>2</x:v>
      </x:c>
      <x:c r="C1429" s="40" t="str">
        <x:v>Large-Basket Occasional Shoppers</x:v>
      </x:c>
      <x:c r="D1429" s="60" t="n">
        <x:v>2525.94</x:v>
      </x:c>
      <x:c r="E1429" s="50" t="n">
        <x:v>45</x:v>
      </x:c>
      <x:c r="F1429" s="46" t="n">
        <x:v>2.8125</x:v>
      </x:c>
      <x:c r="G1429" s="46" t="n">
        <x:v>17</x:v>
      </x:c>
      <x:c r="H1429" s="61" t="n">
        <x:v>56.132</x:v>
      </x:c>
      <x:c r="I1429" s="52" t="n">
        <x:v>0.9777777777777776</x:v>
      </x:c>
      <x:c r="J1429" s="52" t="n">
        <x:v>0.5969262927860519</x:v>
      </x:c>
      <x:c r="K1429" s="60" t="n">
        <x:v>2504.95</x:v>
      </x:c>
      <x:c r="L1429" s="60" t="n">
        <x:v>20.99</x:v>
      </x:c>
      <x:c r="M1429" s="50" t="n">
        <x:v>44</x:v>
      </x:c>
      <x:c r="N1429" s="50" t="n">
        <x:v>1</x:v>
      </x:c>
      <x:c r="O1429" s="50" t="n">
        <x:v>144</x:v>
      </x:c>
      <x:c r="P1429" s="50" t="n">
        <x:v>16</x:v>
      </x:c>
    </x:row>
    <x:row r="1430" ht="36" customHeight="1">
      <x:c r="A1430" s="53" t="n">
        <x:v>1411</x:v>
      </x:c>
      <x:c r="B1430" s="53" t="n">
        <x:v>3</x:v>
      </x:c>
      <x:c r="C1430" s="40" t="str">
        <x:v>Low-Value Low-Engagement Shoppers</x:v>
      </x:c>
      <x:c r="D1430" s="60" t="n">
        <x:v>131.52</x:v>
      </x:c>
      <x:c r="E1430" s="50" t="n">
        <x:v>6</x:v>
      </x:c>
      <x:c r="F1430" s="46" t="n">
        <x:v>1.5</x:v>
      </x:c>
      <x:c r="G1430" s="46" t="n">
        <x:v>268</x:v>
      </x:c>
      <x:c r="H1430" s="61" t="n">
        <x:v>21.92</x:v>
      </x:c>
      <x:c r="I1430" s="52" t="n">
        <x:v>0.8333333333333333</x:v>
      </x:c>
      <x:c r="J1430" s="52" t="n">
        <x:v>0.5648570559610705</x:v>
      </x:c>
      <x:c r="K1430" s="60" t="n">
        <x:v>122</x:v>
      </x:c>
      <x:c r="L1430" s="60" t="n">
        <x:v>9.52</x:v>
      </x:c>
      <x:c r="M1430" s="50" t="n">
        <x:v>5</x:v>
      </x:c>
      <x:c r="N1430" s="50" t="n">
        <x:v>1</x:v>
      </x:c>
      <x:c r="O1430" s="50" t="n">
        <x:v>20</x:v>
      </x:c>
      <x:c r="P1430" s="50" t="n">
        <x:v>4</x:v>
      </x:c>
    </x:row>
    <x:row r="1431" ht="36" customHeight="1">
      <x:c r="A1431" s="53" t="n">
        <x:v>1412</x:v>
      </x:c>
      <x:c r="B1431" s="53" t="n">
        <x:v>2</x:v>
      </x:c>
      <x:c r="C1431" s="40" t="str">
        <x:v>Large-Basket Occasional Shoppers</x:v>
      </x:c>
      <x:c r="D1431" s="60" t="n">
        <x:v>4053.15</x:v>
      </x:c>
      <x:c r="E1431" s="50" t="n">
        <x:v>77</x:v>
      </x:c>
      <x:c r="F1431" s="46" t="n">
        <x:v>3.6666666666666665</x:v>
      </x:c>
      <x:c r="G1431" s="46" t="n">
        <x:v>6</x:v>
      </x:c>
      <x:c r="H1431" s="61" t="n">
        <x:v>52.63831168831169</x:v>
      </x:c>
      <x:c r="I1431" s="52" t="n">
        <x:v>0.8571428571428571</x:v>
      </x:c>
      <x:c r="J1431" s="52" t="n">
        <x:v>0.442189408238037</x:v>
      </x:c>
      <x:c r="K1431" s="60" t="n">
        <x:v>3977.23</x:v>
      </x:c>
      <x:c r="L1431" s="60" t="n">
        <x:v>75.92</x:v>
      </x:c>
      <x:c r="M1431" s="50" t="n">
        <x:v>66</x:v>
      </x:c>
      <x:c r="N1431" s="50" t="n">
        <x:v>11</x:v>
      </x:c>
      <x:c r="O1431" s="50" t="n">
        <x:v>130</x:v>
      </x:c>
      <x:c r="P1431" s="50" t="n">
        <x:v>21</x:v>
      </x:c>
    </x:row>
    <x:row r="1432" ht="36" customHeight="1">
      <x:c r="A1432" s="53" t="n">
        <x:v>1413</x:v>
      </x:c>
      <x:c r="B1432" s="53" t="n">
        <x:v>3</x:v>
      </x:c>
      <x:c r="C1432" s="40" t="str">
        <x:v>Low-Value Low-Engagement Shoppers</x:v>
      </x:c>
      <x:c r="D1432" s="60" t="n">
        <x:v>344.06</x:v>
      </x:c>
      <x:c r="E1432" s="50" t="n">
        <x:v>27</x:v>
      </x:c>
      <x:c r="F1432" s="46" t="n">
        <x:v>2.4545454545454546</x:v>
      </x:c>
      <x:c r="G1432" s="46" t="n">
        <x:v>11</x:v>
      </x:c>
      <x:c r="H1432" s="61" t="n">
        <x:v>12.742962962962965</x:v>
      </x:c>
      <x:c r="I1432" s="52" t="n">
        <x:v>0.6296296296296297</x:v>
      </x:c>
      <x:c r="J1432" s="52" t="n">
        <x:v>0.3185200255769342</x:v>
      </x:c>
      <x:c r="K1432" s="60" t="n">
        <x:v>244.42</x:v>
      </x:c>
      <x:c r="L1432" s="60" t="n">
        <x:v>99.64</x:v>
      </x:c>
      <x:c r="M1432" s="50" t="n">
        <x:v>17</x:v>
      </x:c>
      <x:c r="N1432" s="50" t="n">
        <x:v>10</x:v>
      </x:c>
      <x:c r="O1432" s="50" t="n">
        <x:v>62</x:v>
      </x:c>
      <x:c r="P1432" s="50" t="n">
        <x:v>11</x:v>
      </x:c>
    </x:row>
    <x:row r="1433" ht="36" customHeight="1">
      <x:c r="A1433" s="53" t="n">
        <x:v>1414</x:v>
      </x:c>
      <x:c r="B1433" s="53" t="n">
        <x:v>3</x:v>
      </x:c>
      <x:c r="C1433" s="40" t="str">
        <x:v>Low-Value Low-Engagement Shoppers</x:v>
      </x:c>
      <x:c r="D1433" s="60" t="n">
        <x:v>274.03</x:v>
      </x:c>
      <x:c r="E1433" s="50" t="n">
        <x:v>17</x:v>
      </x:c>
      <x:c r="F1433" s="46" t="n">
        <x:v>1.7</x:v>
      </x:c>
      <x:c r="G1433" s="46" t="n">
        <x:v>0</x:v>
      </x:c>
      <x:c r="H1433" s="61" t="n">
        <x:v>16.11941176470588</x:v>
      </x:c>
      <x:c r="I1433" s="52" t="n">
        <x:v>0.7058823529411764</x:v>
      </x:c>
      <x:c r="J1433" s="52" t="n">
        <x:v>0.4572492062912819</x:v>
      </x:c>
      <x:c r="K1433" s="60" t="n">
        <x:v>227.47</x:v>
      </x:c>
      <x:c r="L1433" s="60" t="n">
        <x:v>46.56</x:v>
      </x:c>
      <x:c r="M1433" s="50" t="n">
        <x:v>12</x:v>
      </x:c>
      <x:c r="N1433" s="50" t="n">
        <x:v>5</x:v>
      </x:c>
      <x:c r="O1433" s="50" t="n">
        <x:v>42</x:v>
      </x:c>
      <x:c r="P1433" s="50" t="n">
        <x:v>10</x:v>
      </x:c>
    </x:row>
    <x:row r="1434" ht="36" customHeight="1">
      <x:c r="A1434" s="53" t="n">
        <x:v>1415</x:v>
      </x:c>
      <x:c r="B1434" s="53" t="n">
        <x:v>3</x:v>
      </x:c>
      <x:c r="C1434" s="40" t="str">
        <x:v>Low-Value Low-Engagement Shoppers</x:v>
      </x:c>
      <x:c r="D1434" s="60" t="n">
        <x:v>271.41</x:v>
      </x:c>
      <x:c r="E1434" s="50" t="n">
        <x:v>27</x:v>
      </x:c>
      <x:c r="F1434" s="46" t="n">
        <x:v>1.9285714285714288</x:v>
      </x:c>
      <x:c r="G1434" s="46" t="n">
        <x:v>8</x:v>
      </x:c>
      <x:c r="H1434" s="61" t="n">
        <x:v>10.052222222222222</x:v>
      </x:c>
      <x:c r="I1434" s="52" t="n">
        <x:v>0.5555555555555555</x:v>
      </x:c>
      <x:c r="J1434" s="52" t="n">
        <x:v>0.4724954865332891</x:v>
      </x:c>
      <x:c r="K1434" s="60" t="n">
        <x:v>195.98</x:v>
      </x:c>
      <x:c r="L1434" s="60" t="n">
        <x:v>75.43</x:v>
      </x:c>
      <x:c r="M1434" s="50" t="n">
        <x:v>15</x:v>
      </x:c>
      <x:c r="N1434" s="50" t="n">
        <x:v>12</x:v>
      </x:c>
      <x:c r="O1434" s="50" t="n">
        <x:v>41</x:v>
      </x:c>
      <x:c r="P1434" s="50" t="n">
        <x:v>14</x:v>
      </x:c>
    </x:row>
    <x:row r="1435" ht="36" customHeight="1">
      <x:c r="A1435" s="53" t="n">
        <x:v>1416</x:v>
      </x:c>
      <x:c r="B1435" s="53" t="n">
        <x:v>3</x:v>
      </x:c>
      <x:c r="C1435" s="40" t="str">
        <x:v>Low-Value Low-Engagement Shoppers</x:v>
      </x:c>
      <x:c r="D1435" s="60" t="n">
        <x:v>91.65</x:v>
      </x:c>
      <x:c r="E1435" s="50" t="n">
        <x:v>6</x:v>
      </x:c>
      <x:c r="F1435" s="46" t="n">
        <x:v>1.5</x:v>
      </x:c>
      <x:c r="G1435" s="46" t="n">
        <x:v>23</x:v>
      </x:c>
      <x:c r="H1435" s="61" t="n">
        <x:v>15.275</x:v>
      </x:c>
      <x:c r="I1435" s="52" t="n">
        <x:v>0.8333333333333333</x:v>
      </x:c>
      <x:c r="J1435" s="52" t="n">
        <x:v>0.7947626841243862</x:v>
      </x:c>
      <x:c r="K1435" s="60" t="n">
        <x:v>83.67</x:v>
      </x:c>
      <x:c r="L1435" s="60" t="n">
        <x:v>7.98</x:v>
      </x:c>
      <x:c r="M1435" s="50" t="n">
        <x:v>5</x:v>
      </x:c>
      <x:c r="N1435" s="50" t="n">
        <x:v>1</x:v>
      </x:c>
      <x:c r="O1435" s="50" t="n">
        <x:v>13</x:v>
      </x:c>
      <x:c r="P1435" s="50" t="n">
        <x:v>4</x:v>
      </x:c>
    </x:row>
    <x:row r="1436" ht="36" customHeight="1">
      <x:c r="A1436" s="53" t="n">
        <x:v>1417</x:v>
      </x:c>
      <x:c r="B1436" s="53" t="n">
        <x:v>2</x:v>
      </x:c>
      <x:c r="C1436" s="40" t="str">
        <x:v>Large-Basket Occasional Shoppers</x:v>
      </x:c>
      <x:c r="D1436" s="60" t="n">
        <x:v>3703.93</x:v>
      </x:c>
      <x:c r="E1436" s="50" t="n">
        <x:v>75</x:v>
      </x:c>
      <x:c r="F1436" s="46" t="n">
        <x:v>4.6875</x:v>
      </x:c>
      <x:c r="G1436" s="46" t="n">
        <x:v>1</x:v>
      </x:c>
      <x:c r="H1436" s="61" t="n">
        <x:v>49.38573333333333</x:v>
      </x:c>
      <x:c r="I1436" s="52" t="n">
        <x:v>0.92</x:v>
      </x:c>
      <x:c r="J1436" s="52" t="n">
        <x:v>0.5993984767530703</x:v>
      </x:c>
      <x:c r="K1436" s="60" t="n">
        <x:v>3672.58</x:v>
      </x:c>
      <x:c r="L1436" s="60" t="n">
        <x:v>31.35</x:v>
      </x:c>
      <x:c r="M1436" s="50" t="n">
        <x:v>69</x:v>
      </x:c>
      <x:c r="N1436" s="50" t="n">
        <x:v>6</x:v>
      </x:c>
      <x:c r="O1436" s="50" t="n">
        <x:v>99</x:v>
      </x:c>
      <x:c r="P1436" s="50" t="n">
        <x:v>16</x:v>
      </x:c>
    </x:row>
    <x:row r="1437" ht="36" customHeight="1">
      <x:c r="A1437" s="53" t="n">
        <x:v>1418</x:v>
      </x:c>
      <x:c r="B1437" s="53" t="n">
        <x:v>2</x:v>
      </x:c>
      <x:c r="C1437" s="40" t="str">
        <x:v>Large-Basket Occasional Shoppers</x:v>
      </x:c>
      <x:c r="D1437" s="60" t="n">
        <x:v>2735.2</x:v>
      </x:c>
      <x:c r="E1437" s="50" t="n">
        <x:v>78</x:v>
      </x:c>
      <x:c r="F1437" s="46" t="n">
        <x:v>3.391304347826088</x:v>
      </x:c>
      <x:c r="G1437" s="46" t="n">
        <x:v>4</x:v>
      </x:c>
      <x:c r="H1437" s="61" t="n">
        <x:v>35.06666666666666</x:v>
      </x:c>
      <x:c r="I1437" s="52" t="n">
        <x:v>0.9487179487179488</x:v>
      </x:c>
      <x:c r="J1437" s="52" t="n">
        <x:v>0.4839280491371746</x:v>
      </x:c>
      <x:c r="K1437" s="60" t="n">
        <x:v>2688.31</x:v>
      </x:c>
      <x:c r="L1437" s="60" t="n">
        <x:v>46.89</x:v>
      </x:c>
      <x:c r="M1437" s="50" t="n">
        <x:v>74</x:v>
      </x:c>
      <x:c r="N1437" s="50" t="n">
        <x:v>4</x:v>
      </x:c>
      <x:c r="O1437" s="50" t="n">
        <x:v>139</x:v>
      </x:c>
      <x:c r="P1437" s="50" t="n">
        <x:v>23</x:v>
      </x:c>
    </x:row>
    <x:row r="1438" ht="36" customHeight="1">
      <x:c r="A1438" s="53" t="n">
        <x:v>1419</x:v>
      </x:c>
      <x:c r="B1438" s="53" t="n">
        <x:v>1</x:v>
      </x:c>
      <x:c r="C1438" s="40" t="str">
        <x:v>High-Value Frequent Shoppers</x:v>
      </x:c>
      <x:c r="D1438" s="60" t="n">
        <x:v>7634.56</x:v>
      </x:c>
      <x:c r="E1438" s="50" t="n">
        <x:v>524</x:v>
      </x:c>
      <x:c r="F1438" s="46" t="n">
        <x:v>23.818181818181817</x:v>
      </x:c>
      <x:c r="G1438" s="46" t="n">
        <x:v>0</x:v>
      </x:c>
      <x:c r="H1438" s="61" t="n">
        <x:v>14.569770992366411</x:v>
      </x:c>
      <x:c r="I1438" s="52" t="n">
        <x:v>0.8912213740458015</x:v>
      </x:c>
      <x:c r="J1438" s="52" t="n">
        <x:v>0.6355415374297929</x:v>
      </x:c>
      <x:c r="K1438" s="60" t="n">
        <x:v>7384.35</x:v>
      </x:c>
      <x:c r="L1438" s="60" t="n">
        <x:v>250.21</x:v>
      </x:c>
      <x:c r="M1438" s="50" t="n">
        <x:v>467</x:v>
      </x:c>
      <x:c r="N1438" s="50" t="n">
        <x:v>57</x:v>
      </x:c>
      <x:c r="O1438" s="50" t="n">
        <x:v>172</x:v>
      </x:c>
      <x:c r="P1438" s="50" t="n">
        <x:v>22</x:v>
      </x:c>
    </x:row>
    <x:row r="1439" ht="36" customHeight="1">
      <x:c r="A1439" s="53" t="n">
        <x:v>1420</x:v>
      </x:c>
      <x:c r="B1439" s="53" t="n">
        <x:v>2</x:v>
      </x:c>
      <x:c r="C1439" s="40" t="str">
        <x:v>Large-Basket Occasional Shoppers</x:v>
      </x:c>
      <x:c r="D1439" s="60" t="n">
        <x:v>3891.97</x:v>
      </x:c>
      <x:c r="E1439" s="50" t="n">
        <x:v>78</x:v>
      </x:c>
      <x:c r="F1439" s="46" t="n">
        <x:v>4.105263157894737</x:v>
      </x:c>
      <x:c r="G1439" s="46" t="n">
        <x:v>57</x:v>
      </x:c>
      <x:c r="H1439" s="61" t="n">
        <x:v>49.89705128205128</x:v>
      </x:c>
      <x:c r="I1439" s="52" t="n">
        <x:v>0.9487179487179488</x:v>
      </x:c>
      <x:c r="J1439" s="52" t="n">
        <x:v>0.5845214634234076</x:v>
      </x:c>
      <x:c r="K1439" s="60" t="n">
        <x:v>3875.81</x:v>
      </x:c>
      <x:c r="L1439" s="60" t="n">
        <x:v>16.16</x:v>
      </x:c>
      <x:c r="M1439" s="50" t="n">
        <x:v>74</x:v>
      </x:c>
      <x:c r="N1439" s="50" t="n">
        <x:v>4</x:v>
      </x:c>
      <x:c r="O1439" s="50" t="n">
        <x:v>136</x:v>
      </x:c>
      <x:c r="P1439" s="50" t="n">
        <x:v>19</x:v>
      </x:c>
    </x:row>
    <x:row r="1440" ht="36" customHeight="1">
      <x:c r="A1440" s="53" t="n">
        <x:v>1421</x:v>
      </x:c>
      <x:c r="B1440" s="53" t="n">
        <x:v>1</x:v>
      </x:c>
      <x:c r="C1440" s="40" t="str">
        <x:v>High-Value Frequent Shoppers</x:v>
      </x:c>
      <x:c r="D1440" s="60" t="n">
        <x:v>5535.2</x:v>
      </x:c>
      <x:c r="E1440" s="50" t="n">
        <x:v>218</x:v>
      </x:c>
      <x:c r="F1440" s="46" t="n">
        <x:v>9.08333333333333</x:v>
      </x:c>
      <x:c r="G1440" s="46" t="n">
        <x:v>0</x:v>
      </x:c>
      <x:c r="H1440" s="61" t="n">
        <x:v>25.390825688073395</x:v>
      </x:c>
      <x:c r="I1440" s="52" t="n">
        <x:v>0.9862385321100916</x:v>
      </x:c>
      <x:c r="J1440" s="52" t="n">
        <x:v>0.7825426362191068</x:v>
      </x:c>
      <x:c r="K1440" s="60" t="n">
        <x:v>5510.73</x:v>
      </x:c>
      <x:c r="L1440" s="60" t="n">
        <x:v>24.47</x:v>
      </x:c>
      <x:c r="M1440" s="50" t="n">
        <x:v>215</x:v>
      </x:c>
      <x:c r="N1440" s="50" t="n">
        <x:v>3</x:v>
      </x:c>
      <x:c r="O1440" s="50" t="n">
        <x:v>127</x:v>
      </x:c>
      <x:c r="P1440" s="50" t="n">
        <x:v>24</x:v>
      </x:c>
    </x:row>
    <x:row r="1441" ht="36" customHeight="1">
      <x:c r="A1441" s="53" t="n">
        <x:v>1422</x:v>
      </x:c>
      <x:c r="B1441" s="53" t="n">
        <x:v>2</x:v>
      </x:c>
      <x:c r="C1441" s="40" t="str">
        <x:v>Large-Basket Occasional Shoppers</x:v>
      </x:c>
      <x:c r="D1441" s="60" t="n">
        <x:v>481.77</x:v>
      </x:c>
      <x:c r="E1441" s="50" t="n">
        <x:v>11</x:v>
      </x:c>
      <x:c r="F1441" s="46" t="n">
        <x:v>1.5714285714285714</x:v>
      </x:c>
      <x:c r="G1441" s="46" t="n">
        <x:v>4</x:v>
      </x:c>
      <x:c r="H1441" s="61" t="n">
        <x:v>43.79727272727273</x:v>
      </x:c>
      <x:c r="I1441" s="52" t="n">
        <x:v>0.909090909090909</x:v>
      </x:c>
      <x:c r="J1441" s="52" t="n">
        <x:v>0.6671233161051954</x:v>
      </x:c>
      <x:c r="K1441" s="60" t="n">
        <x:v>478.18</x:v>
      </x:c>
      <x:c r="L1441" s="60" t="n">
        <x:v>3.59</x:v>
      </x:c>
      <x:c r="M1441" s="50" t="n">
        <x:v>10</x:v>
      </x:c>
      <x:c r="N1441" s="50" t="n">
        <x:v>1</x:v>
      </x:c>
      <x:c r="O1441" s="50" t="n">
        <x:v>57</x:v>
      </x:c>
      <x:c r="P1441" s="50" t="n">
        <x:v>7</x:v>
      </x:c>
    </x:row>
    <x:row r="1442" ht="36" customHeight="1">
      <x:c r="A1442" s="53" t="n">
        <x:v>1423</x:v>
      </x:c>
      <x:c r="B1442" s="53" t="n">
        <x:v>3</x:v>
      </x:c>
      <x:c r="C1442" s="40" t="str">
        <x:v>Low-Value Low-Engagement Shoppers</x:v>
      </x:c>
      <x:c r="D1442" s="60" t="n">
        <x:v>1695.76</x:v>
      </x:c>
      <x:c r="E1442" s="50" t="n">
        <x:v>188</x:v>
      </x:c>
      <x:c r="F1442" s="46" t="n">
        <x:v>9.4</x:v>
      </x:c>
      <x:c r="G1442" s="46" t="n">
        <x:v>13</x:v>
      </x:c>
      <x:c r="H1442" s="61" t="n">
        <x:v>9.02</x:v>
      </x:c>
      <x:c r="I1442" s="52" t="n">
        <x:v>0.6063829787234042</x:v>
      </x:c>
      <x:c r="J1442" s="52" t="n">
        <x:v>0.5629098457328867</x:v>
      </x:c>
      <x:c r="K1442" s="60" t="n">
        <x:v>1483.05</x:v>
      </x:c>
      <x:c r="L1442" s="60" t="n">
        <x:v>212.71</x:v>
      </x:c>
      <x:c r="M1442" s="50" t="n">
        <x:v>114</x:v>
      </x:c>
      <x:c r="N1442" s="50" t="n">
        <x:v>74</x:v>
      </x:c>
      <x:c r="O1442" s="50" t="n">
        <x:v>82</x:v>
      </x:c>
      <x:c r="P1442" s="50" t="n">
        <x:v>20</x:v>
      </x:c>
    </x:row>
    <x:row r="1443" ht="36" customHeight="1">
      <x:c r="A1443" s="53" t="n">
        <x:v>1424</x:v>
      </x:c>
      <x:c r="B1443" s="53" t="n">
        <x:v>3</x:v>
      </x:c>
      <x:c r="C1443" s="40" t="str">
        <x:v>Low-Value Low-Engagement Shoppers</x:v>
      </x:c>
      <x:c r="D1443" s="60" t="n">
        <x:v>595.22</x:v>
      </x:c>
      <x:c r="E1443" s="50" t="n">
        <x:v>57</x:v>
      </x:c>
      <x:c r="F1443" s="46" t="n">
        <x:v>3.166666666666667</x:v>
      </x:c>
      <x:c r="G1443" s="46" t="n">
        <x:v>60</x:v>
      </x:c>
      <x:c r="H1443" s="61" t="n">
        <x:v>10.442456140350876</x:v>
      </x:c>
      <x:c r="I1443" s="52" t="n">
        <x:v>0.8245614035087719</x:v>
      </x:c>
      <x:c r="J1443" s="52" t="n">
        <x:v>0.5201774133933671</x:v>
      </x:c>
      <x:c r="K1443" s="60" t="n">
        <x:v>537.4</x:v>
      </x:c>
      <x:c r="L1443" s="60" t="n">
        <x:v>57.82</x:v>
      </x:c>
      <x:c r="M1443" s="50" t="n">
        <x:v>47</x:v>
      </x:c>
      <x:c r="N1443" s="50" t="n">
        <x:v>10</x:v>
      </x:c>
      <x:c r="O1443" s="50" t="n">
        <x:v>89</x:v>
      </x:c>
      <x:c r="P1443" s="50" t="n">
        <x:v>18</x:v>
      </x:c>
    </x:row>
    <x:row r="1444" ht="36" customHeight="1">
      <x:c r="A1444" s="53" t="n">
        <x:v>1425</x:v>
      </x:c>
      <x:c r="B1444" s="53" t="n">
        <x:v>1</x:v>
      </x:c>
      <x:c r="C1444" s="40" t="str">
        <x:v>High-Value Frequent Shoppers</x:v>
      </x:c>
      <x:c r="D1444" s="60" t="n">
        <x:v>3828.6</x:v>
      </x:c>
      <x:c r="E1444" s="50" t="n">
        <x:v>131</x:v>
      </x:c>
      <x:c r="F1444" s="46" t="n">
        <x:v>6.238095238095238</x:v>
      </x:c>
      <x:c r="G1444" s="46" t="n">
        <x:v>2</x:v>
      </x:c>
      <x:c r="H1444" s="61" t="n">
        <x:v>29.22595419847328</x:v>
      </x:c>
      <x:c r="I1444" s="52" t="n">
        <x:v>0.8931297709923663</x:v>
      </x:c>
      <x:c r="J1444" s="52" t="n">
        <x:v>0.6456198088073969</x:v>
      </x:c>
      <x:c r="K1444" s="60" t="n">
        <x:v>3685.26</x:v>
      </x:c>
      <x:c r="L1444" s="60" t="n">
        <x:v>143.34</x:v>
      </x:c>
      <x:c r="M1444" s="50" t="n">
        <x:v>117</x:v>
      </x:c>
      <x:c r="N1444" s="50" t="n">
        <x:v>14</x:v>
      </x:c>
      <x:c r="O1444" s="50" t="n">
        <x:v>155</x:v>
      </x:c>
      <x:c r="P1444" s="50" t="n">
        <x:v>21</x:v>
      </x:c>
    </x:row>
    <x:row r="1445" ht="36" customHeight="1">
      <x:c r="A1445" s="53" t="n">
        <x:v>1426</x:v>
      </x:c>
      <x:c r="B1445" s="53" t="n">
        <x:v>2</x:v>
      </x:c>
      <x:c r="C1445" s="40" t="str">
        <x:v>Large-Basket Occasional Shoppers</x:v>
      </x:c>
      <x:c r="D1445" s="60" t="n">
        <x:v>2330.87</x:v>
      </x:c>
      <x:c r="E1445" s="50" t="n">
        <x:v>65</x:v>
      </x:c>
      <x:c r="F1445" s="46" t="n">
        <x:v>3.421052631578948</x:v>
      </x:c>
      <x:c r="G1445" s="46" t="n">
        <x:v>10</x:v>
      </x:c>
      <x:c r="H1445" s="61" t="n">
        <x:v>35.85953846153846</x:v>
      </x:c>
      <x:c r="I1445" s="52" t="n">
        <x:v>0.923076923076923</x:v>
      </x:c>
      <x:c r="J1445" s="52" t="n">
        <x:v>0.4485278029233719</x:v>
      </x:c>
      <x:c r="K1445" s="60" t="n">
        <x:v>2151.23</x:v>
      </x:c>
      <x:c r="L1445" s="60" t="n">
        <x:v>179.64</x:v>
      </x:c>
      <x:c r="M1445" s="50" t="n">
        <x:v>60</x:v>
      </x:c>
      <x:c r="N1445" s="50" t="n">
        <x:v>5</x:v>
      </x:c>
      <x:c r="O1445" s="50" t="n">
        <x:v>125</x:v>
      </x:c>
      <x:c r="P1445" s="50" t="n">
        <x:v>19</x:v>
      </x:c>
    </x:row>
    <x:row r="1446" ht="36" customHeight="1">
      <x:c r="A1446" s="53" t="n">
        <x:v>1427</x:v>
      </x:c>
      <x:c r="B1446" s="53" t="n">
        <x:v>1</x:v>
      </x:c>
      <x:c r="C1446" s="40" t="str">
        <x:v>High-Value Frequent Shoppers</x:v>
      </x:c>
      <x:c r="D1446" s="60" t="n">
        <x:v>2640.47</x:v>
      </x:c>
      <x:c r="E1446" s="50" t="n">
        <x:v>83</x:v>
      </x:c>
      <x:c r="F1446" s="46" t="n">
        <x:v>4.368421052631579</x:v>
      </x:c>
      <x:c r="G1446" s="46" t="n">
        <x:v>5</x:v>
      </x:c>
      <x:c r="H1446" s="61" t="n">
        <x:v>31.81289156626506</x:v>
      </x:c>
      <x:c r="I1446" s="52" t="n">
        <x:v>0.8674698795180722</x:v>
      </x:c>
      <x:c r="J1446" s="52" t="n">
        <x:v>0.5364613118119121</x:v>
      </x:c>
      <x:c r="K1446" s="60" t="n">
        <x:v>2552.88</x:v>
      </x:c>
      <x:c r="L1446" s="60" t="n">
        <x:v>87.59</x:v>
      </x:c>
      <x:c r="M1446" s="50" t="n">
        <x:v>72</x:v>
      </x:c>
      <x:c r="N1446" s="50" t="n">
        <x:v>11</x:v>
      </x:c>
      <x:c r="O1446" s="50" t="n">
        <x:v>152</x:v>
      </x:c>
      <x:c r="P1446" s="50" t="n">
        <x:v>19</x:v>
      </x:c>
    </x:row>
    <x:row r="1447" ht="36" customHeight="1">
      <x:c r="A1447" s="53" t="n">
        <x:v>1428</x:v>
      </x:c>
      <x:c r="B1447" s="53" t="n">
        <x:v>1</x:v>
      </x:c>
      <x:c r="C1447" s="40" t="str">
        <x:v>High-Value Frequent Shoppers</x:v>
      </x:c>
      <x:c r="D1447" s="60" t="n">
        <x:v>4911.53</x:v>
      </x:c>
      <x:c r="E1447" s="50" t="n">
        <x:v>163</x:v>
      </x:c>
      <x:c r="F1447" s="46" t="n">
        <x:v>7.761904761904764</x:v>
      </x:c>
      <x:c r="G1447" s="46" t="n">
        <x:v>9</x:v>
      </x:c>
      <x:c r="H1447" s="61" t="n">
        <x:v>30.13208588957055</x:v>
      </x:c>
      <x:c r="I1447" s="52" t="n">
        <x:v>0.8282208588957055</x:v>
      </x:c>
      <x:c r="J1447" s="52" t="n">
        <x:v>0.618513986476719</x:v>
      </x:c>
      <x:c r="K1447" s="60" t="n">
        <x:v>4559.33</x:v>
      </x:c>
      <x:c r="L1447" s="60" t="n">
        <x:v>352.2</x:v>
      </x:c>
      <x:c r="M1447" s="50" t="n">
        <x:v>135</x:v>
      </x:c>
      <x:c r="N1447" s="50" t="n">
        <x:v>28</x:v>
      </x:c>
      <x:c r="O1447" s="50" t="n">
        <x:v>173</x:v>
      </x:c>
      <x:c r="P1447" s="50" t="n">
        <x:v>21</x:v>
      </x:c>
    </x:row>
    <x:row r="1448" ht="36" customHeight="1">
      <x:c r="A1448" s="53" t="n">
        <x:v>1429</x:v>
      </x:c>
      <x:c r="B1448" s="53" t="n">
        <x:v>3</x:v>
      </x:c>
      <x:c r="C1448" s="40" t="str">
        <x:v>Low-Value Low-Engagement Shoppers</x:v>
      </x:c>
      <x:c r="D1448" s="60" t="n">
        <x:v>818.56</x:v>
      </x:c>
      <x:c r="E1448" s="50" t="n">
        <x:v>83</x:v>
      </x:c>
      <x:c r="F1448" s="46" t="n">
        <x:v>3.952380952380952</x:v>
      </x:c>
      <x:c r="G1448" s="46" t="n">
        <x:v>1</x:v>
      </x:c>
      <x:c r="H1448" s="61" t="n">
        <x:v>9.862168674698797</x:v>
      </x:c>
      <x:c r="I1448" s="52" t="n">
        <x:v>0.891566265060241</x:v>
      </x:c>
      <x:c r="J1448" s="52" t="n">
        <x:v>0.7286942924159499</x:v>
      </x:c>
      <x:c r="K1448" s="60" t="n">
        <x:v>775.59</x:v>
      </x:c>
      <x:c r="L1448" s="60" t="n">
        <x:v>42.97</x:v>
      </x:c>
      <x:c r="M1448" s="50" t="n">
        <x:v>74</x:v>
      </x:c>
      <x:c r="N1448" s="50" t="n">
        <x:v>9</x:v>
      </x:c>
      <x:c r="O1448" s="50" t="n">
        <x:v>50</x:v>
      </x:c>
      <x:c r="P1448" s="50" t="n">
        <x:v>21</x:v>
      </x:c>
    </x:row>
    <x:row r="1449" ht="36" customHeight="1">
      <x:c r="A1449" s="53" t="n">
        <x:v>1430</x:v>
      </x:c>
      <x:c r="B1449" s="53" t="n">
        <x:v>1</x:v>
      </x:c>
      <x:c r="C1449" s="40" t="str">
        <x:v>High-Value Frequent Shoppers</x:v>
      </x:c>
      <x:c r="D1449" s="60" t="n">
        <x:v>20352.99</x:v>
      </x:c>
      <x:c r="E1449" s="50" t="n">
        <x:v>344</x:v>
      </x:c>
      <x:c r="F1449" s="46" t="n">
        <x:v>15.636363636363637</x:v>
      </x:c>
      <x:c r="G1449" s="46" t="n">
        <x:v>0</x:v>
      </x:c>
      <x:c r="H1449" s="61" t="n">
        <x:v>59.16566860465116</x:v>
      </x:c>
      <x:c r="I1449" s="52" t="n">
        <x:v>0.8633720930232558</x:v>
      </x:c>
      <x:c r="J1449" s="52" t="n">
        <x:v>0.5382020037350776</x:v>
      </x:c>
      <x:c r="K1449" s="60" t="n">
        <x:v>19869.65</x:v>
      </x:c>
      <x:c r="L1449" s="60" t="n">
        <x:v>483.34</x:v>
      </x:c>
      <x:c r="M1449" s="50" t="n">
        <x:v>297</x:v>
      </x:c>
      <x:c r="N1449" s="50" t="n">
        <x:v>47</x:v>
      </x:c>
      <x:c r="O1449" s="50" t="n">
        <x:v>188</x:v>
      </x:c>
      <x:c r="P1449" s="50" t="n">
        <x:v>22</x:v>
      </x:c>
    </x:row>
    <x:row r="1450" ht="36" customHeight="1">
      <x:c r="A1450" s="53" t="n">
        <x:v>1431</x:v>
      </x:c>
      <x:c r="B1450" s="53" t="n">
        <x:v>1</x:v>
      </x:c>
      <x:c r="C1450" s="40" t="str">
        <x:v>High-Value Frequent Shoppers</x:v>
      </x:c>
      <x:c r="D1450" s="60" t="n">
        <x:v>2718.4</x:v>
      </x:c>
      <x:c r="E1450" s="50" t="n">
        <x:v>155</x:v>
      </x:c>
      <x:c r="F1450" s="46" t="n">
        <x:v>7.3809523809523805</x:v>
      </x:c>
      <x:c r="G1450" s="46" t="n">
        <x:v>1</x:v>
      </x:c>
      <x:c r="H1450" s="61" t="n">
        <x:v>17.538064516129033</x:v>
      </x:c>
      <x:c r="I1450" s="52" t="n">
        <x:v>0.6838709677419355</x:v>
      </x:c>
      <x:c r="J1450" s="52" t="n">
        <x:v>0.3473734549735138</x:v>
      </x:c>
      <x:c r="K1450" s="60" t="n">
        <x:v>2148.21</x:v>
      </x:c>
      <x:c r="L1450" s="60" t="n">
        <x:v>570.19</x:v>
      </x:c>
      <x:c r="M1450" s="50" t="n">
        <x:v>106</x:v>
      </x:c>
      <x:c r="N1450" s="50" t="n">
        <x:v>49</x:v>
      </x:c>
      <x:c r="O1450" s="50" t="n">
        <x:v>129</x:v>
      </x:c>
      <x:c r="P1450" s="50" t="n">
        <x:v>21</x:v>
      </x:c>
    </x:row>
    <x:row r="1451" ht="36" customHeight="1">
      <x:c r="A1451" s="53" t="n">
        <x:v>1432</x:v>
      </x:c>
      <x:c r="B1451" s="53" t="n">
        <x:v>2</x:v>
      </x:c>
      <x:c r="C1451" s="40" t="str">
        <x:v>Large-Basket Occasional Shoppers</x:v>
      </x:c>
      <x:c r="D1451" s="60" t="n">
        <x:v>336.95</x:v>
      </x:c>
      <x:c r="E1451" s="50" t="n">
        <x:v>9</x:v>
      </x:c>
      <x:c r="F1451" s="46" t="n">
        <x:v>1.2857142857142856</x:v>
      </x:c>
      <x:c r="G1451" s="46" t="n">
        <x:v>0</x:v>
      </x:c>
      <x:c r="H1451" s="61" t="n">
        <x:v>37.43888888888889</x:v>
      </x:c>
      <x:c r="I1451" s="52" t="n">
        <x:v>1</x:v>
      </x:c>
      <x:c r="J1451" s="52" t="n">
        <x:v>0.6297076717613889</x:v>
      </x:c>
      <x:c r="K1451" s="60" t="n">
        <x:v>336.95</x:v>
      </x:c>
      <x:c r="L1451" s="60" t="n">
        <x:v>0</x:v>
      </x:c>
      <x:c r="M1451" s="50" t="n">
        <x:v>9</x:v>
      </x:c>
      <x:c r="N1451" s="50" t="n">
        <x:v>0</x:v>
      </x:c>
      <x:c r="O1451" s="50" t="n">
        <x:v>77</x:v>
      </x:c>
      <x:c r="P1451" s="50" t="n">
        <x:v>7</x:v>
      </x:c>
    </x:row>
    <x:row r="1452" ht="36" customHeight="1">
      <x:c r="A1452" s="53" t="n">
        <x:v>1433</x:v>
      </x:c>
      <x:c r="B1452" s="53" t="n">
        <x:v>3</x:v>
      </x:c>
      <x:c r="C1452" s="40" t="str">
        <x:v>Low-Value Low-Engagement Shoppers</x:v>
      </x:c>
      <x:c r="D1452" s="60" t="n">
        <x:v>70.04</x:v>
      </x:c>
      <x:c r="E1452" s="50" t="n">
        <x:v>8</x:v>
      </x:c>
      <x:c r="F1452" s="46" t="n">
        <x:v>1.6</x:v>
      </x:c>
      <x:c r="G1452" s="46" t="n">
        <x:v>24</x:v>
      </x:c>
      <x:c r="H1452" s="61" t="n">
        <x:v>8.755</x:v>
      </x:c>
      <x:c r="I1452" s="52" t="n">
        <x:v>0.75</x:v>
      </x:c>
      <x:c r="J1452" s="52" t="n">
        <x:v>0.3539406053683609</x:v>
      </x:c>
      <x:c r="K1452" s="60" t="n">
        <x:v>49.46</x:v>
      </x:c>
      <x:c r="L1452" s="60" t="n">
        <x:v>20.58</x:v>
      </x:c>
      <x:c r="M1452" s="50" t="n">
        <x:v>6</x:v>
      </x:c>
      <x:c r="N1452" s="50" t="n">
        <x:v>2</x:v>
      </x:c>
      <x:c r="O1452" s="50" t="n">
        <x:v>22</x:v>
      </x:c>
      <x:c r="P1452" s="50" t="n">
        <x:v>5</x:v>
      </x:c>
    </x:row>
    <x:row r="1453" ht="36" customHeight="1">
      <x:c r="A1453" s="53" t="n">
        <x:v>1434</x:v>
      </x:c>
      <x:c r="B1453" s="53" t="n">
        <x:v>1</x:v>
      </x:c>
      <x:c r="C1453" s="40" t="str">
        <x:v>High-Value Frequent Shoppers</x:v>
      </x:c>
      <x:c r="D1453" s="60" t="n">
        <x:v>4160.33</x:v>
      </x:c>
      <x:c r="E1453" s="50" t="n">
        <x:v>220</x:v>
      </x:c>
      <x:c r="F1453" s="46" t="n">
        <x:v>10.476190476190476</x:v>
      </x:c>
      <x:c r="G1453" s="46" t="n">
        <x:v>2</x:v>
      </x:c>
      <x:c r="H1453" s="61" t="n">
        <x:v>18.910590909090907</x:v>
      </x:c>
      <x:c r="I1453" s="52" t="n">
        <x:v>0.8363636363636363</x:v>
      </x:c>
      <x:c r="J1453" s="52" t="n">
        <x:v>0.4297207192698656</x:v>
      </x:c>
      <x:c r="K1453" s="60" t="n">
        <x:v>3829.87</x:v>
      </x:c>
      <x:c r="L1453" s="60" t="n">
        <x:v>330.46</x:v>
      </x:c>
      <x:c r="M1453" s="50" t="n">
        <x:v>184</x:v>
      </x:c>
      <x:c r="N1453" s="50" t="n">
        <x:v>36</x:v>
      </x:c>
      <x:c r="O1453" s="50" t="n">
        <x:v>170</x:v>
      </x:c>
      <x:c r="P1453" s="50" t="n">
        <x:v>21</x:v>
      </x:c>
    </x:row>
    <x:row r="1454" ht="36" customHeight="1">
      <x:c r="A1454" s="53" t="n">
        <x:v>1435</x:v>
      </x:c>
      <x:c r="B1454" s="53" t="n">
        <x:v>2</x:v>
      </x:c>
      <x:c r="C1454" s="40" t="str">
        <x:v>Large-Basket Occasional Shoppers</x:v>
      </x:c>
      <x:c r="D1454" s="60" t="n">
        <x:v>511.78</x:v>
      </x:c>
      <x:c r="E1454" s="50" t="n">
        <x:v>13</x:v>
      </x:c>
      <x:c r="F1454" s="46" t="n">
        <x:v>1.3</x:v>
      </x:c>
      <x:c r="G1454" s="46" t="n">
        <x:v>91</x:v>
      </x:c>
      <x:c r="H1454" s="61" t="n">
        <x:v>39.36769230769231</x:v>
      </x:c>
      <x:c r="I1454" s="52" t="n">
        <x:v>0.8461538461538461</x:v>
      </x:c>
      <x:c r="J1454" s="52" t="n">
        <x:v>0.5387080386103403</x:v>
      </x:c>
      <x:c r="K1454" s="60" t="n">
        <x:v>462.53</x:v>
      </x:c>
      <x:c r="L1454" s="60" t="n">
        <x:v>49.25</x:v>
      </x:c>
      <x:c r="M1454" s="50" t="n">
        <x:v>11</x:v>
      </x:c>
      <x:c r="N1454" s="50" t="n">
        <x:v>2</x:v>
      </x:c>
      <x:c r="O1454" s="50" t="n">
        <x:v>59</x:v>
      </x:c>
      <x:c r="P1454" s="50" t="n">
        <x:v>10</x:v>
      </x:c>
    </x:row>
    <x:row r="1455" ht="36" customHeight="1">
      <x:c r="A1455" s="53" t="n">
        <x:v>1436</x:v>
      </x:c>
      <x:c r="B1455" s="53" t="n">
        <x:v>3</x:v>
      </x:c>
      <x:c r="C1455" s="40" t="str">
        <x:v>Low-Value Low-Engagement Shoppers</x:v>
      </x:c>
      <x:c r="D1455" s="60" t="n">
        <x:v>134.89</x:v>
      </x:c>
      <x:c r="E1455" s="50" t="n">
        <x:v>8</x:v>
      </x:c>
      <x:c r="F1455" s="46" t="n">
        <x:v>2</x:v>
      </x:c>
      <x:c r="G1455" s="46" t="n">
        <x:v>115</x:v>
      </x:c>
      <x:c r="H1455" s="61" t="n">
        <x:v>16.86125</x:v>
      </x:c>
      <x:c r="I1455" s="52" t="n">
        <x:v>0.875</x:v>
      </x:c>
      <x:c r="J1455" s="52" t="n">
        <x:v>0.4454740899992586</x:v>
      </x:c>
      <x:c r="K1455" s="60" t="n">
        <x:v>130</x:v>
      </x:c>
      <x:c r="L1455" s="60" t="n">
        <x:v>4.89</x:v>
      </x:c>
      <x:c r="M1455" s="50" t="n">
        <x:v>7</x:v>
      </x:c>
      <x:c r="N1455" s="50" t="n">
        <x:v>1</x:v>
      </x:c>
      <x:c r="O1455" s="50" t="n">
        <x:v>31</x:v>
      </x:c>
      <x:c r="P1455" s="50" t="n">
        <x:v>4</x:v>
      </x:c>
    </x:row>
    <x:row r="1456" ht="36" customHeight="1">
      <x:c r="A1456" s="53" t="n">
        <x:v>1437</x:v>
      </x:c>
      <x:c r="B1456" s="53" t="n">
        <x:v>1</x:v>
      </x:c>
      <x:c r="C1456" s="40" t="str">
        <x:v>High-Value Frequent Shoppers</x:v>
      </x:c>
      <x:c r="D1456" s="60" t="n">
        <x:v>4775.56</x:v>
      </x:c>
      <x:c r="E1456" s="50" t="n">
        <x:v>99</x:v>
      </x:c>
      <x:c r="F1456" s="46" t="n">
        <x:v>4.304347826086957</x:v>
      </x:c>
      <x:c r="G1456" s="46" t="n">
        <x:v>21</x:v>
      </x:c>
      <x:c r="H1456" s="61" t="n">
        <x:v>48.2379797979798</x:v>
      </x:c>
      <x:c r="I1456" s="52" t="n">
        <x:v>0.7777777777777777</x:v>
      </x:c>
      <x:c r="J1456" s="52" t="n">
        <x:v>0.6254198460494685</x:v>
      </x:c>
      <x:c r="K1456" s="60" t="n">
        <x:v>4607.57</x:v>
      </x:c>
      <x:c r="L1456" s="60" t="n">
        <x:v>167.99</x:v>
      </x:c>
      <x:c r="M1456" s="50" t="n">
        <x:v>77</x:v>
      </x:c>
      <x:c r="N1456" s="50" t="n">
        <x:v>22</x:v>
      </x:c>
      <x:c r="O1456" s="50" t="n">
        <x:v>159</x:v>
      </x:c>
      <x:c r="P1456" s="50" t="n">
        <x:v>23</x:v>
      </x:c>
    </x:row>
    <x:row r="1457" ht="36" customHeight="1">
      <x:c r="A1457" s="53" t="n">
        <x:v>1438</x:v>
      </x:c>
      <x:c r="B1457" s="53" t="n">
        <x:v>2</x:v>
      </x:c>
      <x:c r="C1457" s="40" t="str">
        <x:v>Large-Basket Occasional Shoppers</x:v>
      </x:c>
      <x:c r="D1457" s="60" t="n">
        <x:v>2130.77</x:v>
      </x:c>
      <x:c r="E1457" s="50" t="n">
        <x:v>41</x:v>
      </x:c>
      <x:c r="F1457" s="46" t="n">
        <x:v>2.5625</x:v>
      </x:c>
      <x:c r="G1457" s="46" t="n">
        <x:v>6</x:v>
      </x:c>
      <x:c r="H1457" s="61" t="n">
        <x:v>51.97</x:v>
      </x:c>
      <x:c r="I1457" s="52" t="n">
        <x:v>0.9268292682926828</x:v>
      </x:c>
      <x:c r="J1457" s="52" t="n">
        <x:v>0.2540302332020818</x:v>
      </x:c>
      <x:c r="K1457" s="60" t="n">
        <x:v>2073.66</x:v>
      </x:c>
      <x:c r="L1457" s="60" t="n">
        <x:v>57.11</x:v>
      </x:c>
      <x:c r="M1457" s="50" t="n">
        <x:v>38</x:v>
      </x:c>
      <x:c r="N1457" s="50" t="n">
        <x:v>3</x:v>
      </x:c>
      <x:c r="O1457" s="50" t="n">
        <x:v>134</x:v>
      </x:c>
      <x:c r="P1457" s="50" t="n">
        <x:v>16</x:v>
      </x:c>
    </x:row>
    <x:row r="1458" ht="36" customHeight="1">
      <x:c r="A1458" s="53" t="n">
        <x:v>1439</x:v>
      </x:c>
      <x:c r="B1458" s="53" t="n">
        <x:v>3</x:v>
      </x:c>
      <x:c r="C1458" s="40" t="str">
        <x:v>Low-Value Low-Engagement Shoppers</x:v>
      </x:c>
      <x:c r="D1458" s="60" t="n">
        <x:v>555.56</x:v>
      </x:c>
      <x:c r="E1458" s="50" t="n">
        <x:v>32</x:v>
      </x:c>
      <x:c r="F1458" s="46" t="n">
        <x:v>2.1333333333333333</x:v>
      </x:c>
      <x:c r="G1458" s="46" t="n">
        <x:v>52</x:v>
      </x:c>
      <x:c r="H1458" s="61" t="n">
        <x:v>17.36125</x:v>
      </x:c>
      <x:c r="I1458" s="52" t="n">
        <x:v>0.78125</x:v>
      </x:c>
      <x:c r="J1458" s="52" t="n">
        <x:v>0.638562891496868</x:v>
      </x:c>
      <x:c r="K1458" s="60" t="n">
        <x:v>525.06</x:v>
      </x:c>
      <x:c r="L1458" s="60" t="n">
        <x:v>30.5</x:v>
      </x:c>
      <x:c r="M1458" s="50" t="n">
        <x:v>25</x:v>
      </x:c>
      <x:c r="N1458" s="50" t="n">
        <x:v>7</x:v>
      </x:c>
      <x:c r="O1458" s="50" t="n">
        <x:v>65</x:v>
      </x:c>
      <x:c r="P1458" s="50" t="n">
        <x:v>15</x:v>
      </x:c>
    </x:row>
    <x:row r="1459" ht="36" customHeight="1">
      <x:c r="A1459" s="53" t="n">
        <x:v>1440</x:v>
      </x:c>
      <x:c r="B1459" s="53" t="n">
        <x:v>1</x:v>
      </x:c>
      <x:c r="C1459" s="40" t="str">
        <x:v>High-Value Frequent Shoppers</x:v>
      </x:c>
      <x:c r="D1459" s="60" t="n">
        <x:v>2551.58</x:v>
      </x:c>
      <x:c r="E1459" s="50" t="n">
        <x:v>100</x:v>
      </x:c>
      <x:c r="F1459" s="46" t="n">
        <x:v>5</x:v>
      </x:c>
      <x:c r="G1459" s="46" t="n">
        <x:v>0</x:v>
      </x:c>
      <x:c r="H1459" s="61" t="n">
        <x:v>25.5158</x:v>
      </x:c>
      <x:c r="I1459" s="52" t="n">
        <x:v>0.89</x:v>
      </x:c>
      <x:c r="J1459" s="52" t="n">
        <x:v>0.6694401116171156</x:v>
      </x:c>
      <x:c r="K1459" s="60" t="n">
        <x:v>2469.88</x:v>
      </x:c>
      <x:c r="L1459" s="60" t="n">
        <x:v>81.7</x:v>
      </x:c>
      <x:c r="M1459" s="50" t="n">
        <x:v>89</x:v>
      </x:c>
      <x:c r="N1459" s="50" t="n">
        <x:v>11</x:v>
      </x:c>
      <x:c r="O1459" s="50" t="n">
        <x:v>135</x:v>
      </x:c>
      <x:c r="P1459" s="50" t="n">
        <x:v>20</x:v>
      </x:c>
    </x:row>
    <x:row r="1460" ht="36" customHeight="1">
      <x:c r="A1460" s="53" t="n">
        <x:v>1441</x:v>
      </x:c>
      <x:c r="B1460" s="53" t="n">
        <x:v>2</x:v>
      </x:c>
      <x:c r="C1460" s="40" t="str">
        <x:v>Large-Basket Occasional Shoppers</x:v>
      </x:c>
      <x:c r="D1460" s="60" t="n">
        <x:v>401.47</x:v>
      </x:c>
      <x:c r="E1460" s="50" t="n">
        <x:v>13</x:v>
      </x:c>
      <x:c r="F1460" s="46" t="n">
        <x:v>1.181818181818182</x:v>
      </x:c>
      <x:c r="G1460" s="46" t="n">
        <x:v>77</x:v>
      </x:c>
      <x:c r="H1460" s="61" t="n">
        <x:v>30.882307692307688</x:v>
      </x:c>
      <x:c r="I1460" s="52" t="n">
        <x:v>0.923076923076923</x:v>
      </x:c>
      <x:c r="J1460" s="52" t="n">
        <x:v>0.4524622014098189</x:v>
      </x:c>
      <x:c r="K1460" s="60" t="n">
        <x:v>398.79</x:v>
      </x:c>
      <x:c r="L1460" s="60" t="n">
        <x:v>2.68</x:v>
      </x:c>
      <x:c r="M1460" s="50" t="n">
        <x:v>12</x:v>
      </x:c>
      <x:c r="N1460" s="50" t="n">
        <x:v>1</x:v>
      </x:c>
      <x:c r="O1460" s="50" t="n">
        <x:v>59</x:v>
      </x:c>
      <x:c r="P1460" s="50" t="n">
        <x:v>11</x:v>
      </x:c>
    </x:row>
    <x:row r="1461" ht="36" customHeight="1">
      <x:c r="A1461" s="53" t="n">
        <x:v>1442</x:v>
      </x:c>
      <x:c r="B1461" s="53" t="n">
        <x:v>3</x:v>
      </x:c>
      <x:c r="C1461" s="40" t="str">
        <x:v>Low-Value Low-Engagement Shoppers</x:v>
      </x:c>
      <x:c r="D1461" s="60" t="n">
        <x:v>312.5</x:v>
      </x:c>
      <x:c r="E1461" s="50" t="n">
        <x:v>29</x:v>
      </x:c>
      <x:c r="F1461" s="46" t="n">
        <x:v>3.2222222222222223</x:v>
      </x:c>
      <x:c r="G1461" s="46" t="n">
        <x:v>22</x:v>
      </x:c>
      <x:c r="H1461" s="61" t="n">
        <x:v>10.775862068965516</x:v>
      </x:c>
      <x:c r="I1461" s="52" t="n">
        <x:v>0.8620689655172413</x:v>
      </x:c>
      <x:c r="J1461" s="52" t="n">
        <x:v>0.483104</x:v>
      </x:c>
      <x:c r="K1461" s="60" t="n">
        <x:v>303.34</x:v>
      </x:c>
      <x:c r="L1461" s="60" t="n">
        <x:v>9.16</x:v>
      </x:c>
      <x:c r="M1461" s="50" t="n">
        <x:v>25</x:v>
      </x:c>
      <x:c r="N1461" s="50" t="n">
        <x:v>4</x:v>
      </x:c>
      <x:c r="O1461" s="50" t="n">
        <x:v>60</x:v>
      </x:c>
      <x:c r="P1461" s="50" t="n">
        <x:v>9</x:v>
      </x:c>
    </x:row>
    <x:row r="1462" ht="36" customHeight="1">
      <x:c r="A1462" s="53" t="n">
        <x:v>1443</x:v>
      </x:c>
      <x:c r="B1462" s="53" t="n">
        <x:v>3</x:v>
      </x:c>
      <x:c r="C1462" s="40" t="str">
        <x:v>Low-Value Low-Engagement Shoppers</x:v>
      </x:c>
      <x:c r="D1462" s="60" t="n">
        <x:v>2221.48</x:v>
      </x:c>
      <x:c r="E1462" s="50" t="n">
        <x:v>182</x:v>
      </x:c>
      <x:c r="F1462" s="46" t="n">
        <x:v>8.272727272727272</x:v>
      </x:c>
      <x:c r="G1462" s="46" t="n">
        <x:v>1</x:v>
      </x:c>
      <x:c r="H1462" s="61" t="n">
        <x:v>12.205934065934064</x:v>
      </x:c>
      <x:c r="I1462" s="52" t="n">
        <x:v>0.6593406593406593</x:v>
      </x:c>
      <x:c r="J1462" s="52" t="n">
        <x:v>0.2850126942398761</x:v>
      </x:c>
      <x:c r="K1462" s="60" t="n">
        <x:v>1581.02</x:v>
      </x:c>
      <x:c r="L1462" s="60" t="n">
        <x:v>640.46</x:v>
      </x:c>
      <x:c r="M1462" s="50" t="n">
        <x:v>120</x:v>
      </x:c>
      <x:c r="N1462" s="50" t="n">
        <x:v>62</x:v>
      </x:c>
      <x:c r="O1462" s="50" t="n">
        <x:v>87</x:v>
      </x:c>
      <x:c r="P1462" s="50" t="n">
        <x:v>22</x:v>
      </x:c>
    </x:row>
    <x:row r="1463" ht="36" customHeight="1">
      <x:c r="A1463" s="53" t="n">
        <x:v>1444</x:v>
      </x:c>
      <x:c r="B1463" s="53" t="n">
        <x:v>3</x:v>
      </x:c>
      <x:c r="C1463" s="40" t="str">
        <x:v>Low-Value Low-Engagement Shoppers</x:v>
      </x:c>
      <x:c r="D1463" s="60" t="n">
        <x:v>323.99</x:v>
      </x:c>
      <x:c r="E1463" s="50" t="n">
        <x:v>23</x:v>
      </x:c>
      <x:c r="F1463" s="46" t="n">
        <x:v>2.555555555555556</x:v>
      </x:c>
      <x:c r="G1463" s="46" t="n">
        <x:v>93</x:v>
      </x:c>
      <x:c r="H1463" s="61" t="n">
        <x:v>14.086521739130434</x:v>
      </x:c>
      <x:c r="I1463" s="52" t="n">
        <x:v>0.7391304347826086</x:v>
      </x:c>
      <x:c r="J1463" s="52" t="n">
        <x:v>0.3301336461001882</x:v>
      </x:c>
      <x:c r="K1463" s="60" t="n">
        <x:v>276.31</x:v>
      </x:c>
      <x:c r="L1463" s="60" t="n">
        <x:v>47.68</x:v>
      </x:c>
      <x:c r="M1463" s="50" t="n">
        <x:v>17</x:v>
      </x:c>
      <x:c r="N1463" s="50" t="n">
        <x:v>6</x:v>
      </x:c>
      <x:c r="O1463" s="50" t="n">
        <x:v>52</x:v>
      </x:c>
      <x:c r="P1463" s="50" t="n">
        <x:v>9</x:v>
      </x:c>
    </x:row>
    <x:row r="1464" ht="36" customHeight="1">
      <x:c r="A1464" s="53" t="n">
        <x:v>1445</x:v>
      </x:c>
      <x:c r="B1464" s="53" t="n">
        <x:v>1</x:v>
      </x:c>
      <x:c r="C1464" s="40" t="str">
        <x:v>High-Value Frequent Shoppers</x:v>
      </x:c>
      <x:c r="D1464" s="60" t="n">
        <x:v>5130.59</x:v>
      </x:c>
      <x:c r="E1464" s="50" t="n">
        <x:v>178</x:v>
      </x:c>
      <x:c r="F1464" s="46" t="n">
        <x:v>8.476190476190476</x:v>
      </x:c>
      <x:c r="G1464" s="46" t="n">
        <x:v>3</x:v>
      </x:c>
      <x:c r="H1464" s="61" t="n">
        <x:v>28.82353932584269</x:v>
      </x:c>
      <x:c r="I1464" s="52" t="n">
        <x:v>0.8202247191011235</x:v>
      </x:c>
      <x:c r="J1464" s="52" t="n">
        <x:v>0.4876222812581009</x:v>
      </x:c>
      <x:c r="K1464" s="60" t="n">
        <x:v>4853.84</x:v>
      </x:c>
      <x:c r="L1464" s="60" t="n">
        <x:v>276.75</x:v>
      </x:c>
      <x:c r="M1464" s="50" t="n">
        <x:v>146</x:v>
      </x:c>
      <x:c r="N1464" s="50" t="n">
        <x:v>32</x:v>
      </x:c>
      <x:c r="O1464" s="50" t="n">
        <x:v>165</x:v>
      </x:c>
      <x:c r="P1464" s="50" t="n">
        <x:v>21</x:v>
      </x:c>
    </x:row>
    <x:row r="1465" ht="36" customHeight="1">
      <x:c r="A1465" s="53" t="n">
        <x:v>1446</x:v>
      </x:c>
      <x:c r="B1465" s="53" t="n">
        <x:v>2</x:v>
      </x:c>
      <x:c r="C1465" s="40" t="str">
        <x:v>Large-Basket Occasional Shoppers</x:v>
      </x:c>
      <x:c r="D1465" s="60" t="n">
        <x:v>2095.83</x:v>
      </x:c>
      <x:c r="E1465" s="50" t="n">
        <x:v>44</x:v>
      </x:c>
      <x:c r="F1465" s="46" t="n">
        <x:v>2.3157894736842106</x:v>
      </x:c>
      <x:c r="G1465" s="46" t="n">
        <x:v>8</x:v>
      </x:c>
      <x:c r="H1465" s="61" t="n">
        <x:v>47.6325</x:v>
      </x:c>
      <x:c r="I1465" s="52" t="n">
        <x:v>0.9545454545454544</x:v>
      </x:c>
      <x:c r="J1465" s="52" t="n">
        <x:v>0.598569540468454</x:v>
      </x:c>
      <x:c r="K1465" s="60" t="n">
        <x:v>2076.86</x:v>
      </x:c>
      <x:c r="L1465" s="60" t="n">
        <x:v>18.97</x:v>
      </x:c>
      <x:c r="M1465" s="50" t="n">
        <x:v>42</x:v>
      </x:c>
      <x:c r="N1465" s="50" t="n">
        <x:v>2</x:v>
      </x:c>
      <x:c r="O1465" s="50" t="n">
        <x:v>115</x:v>
      </x:c>
      <x:c r="P1465" s="50" t="n">
        <x:v>19</x:v>
      </x:c>
    </x:row>
    <x:row r="1466" ht="36" customHeight="1">
      <x:c r="A1466" s="53" t="n">
        <x:v>1447</x:v>
      </x:c>
      <x:c r="B1466" s="53" t="n">
        <x:v>3</x:v>
      </x:c>
      <x:c r="C1466" s="40" t="str">
        <x:v>Low-Value Low-Engagement Shoppers</x:v>
      </x:c>
      <x:c r="D1466" s="60" t="n">
        <x:v>604.95</x:v>
      </x:c>
      <x:c r="E1466" s="50" t="n">
        <x:v>40</x:v>
      </x:c>
      <x:c r="F1466" s="46" t="n">
        <x:v>2.2222222222222223</x:v>
      </x:c>
      <x:c r="G1466" s="46" t="n">
        <x:v>5</x:v>
      </x:c>
      <x:c r="H1466" s="61" t="n">
        <x:v>15.12375</x:v>
      </x:c>
      <x:c r="I1466" s="52" t="n">
        <x:v>0.725</x:v>
      </x:c>
      <x:c r="J1466" s="52" t="n">
        <x:v>0.5573353169683444</x:v>
      </x:c>
      <x:c r="K1466" s="60" t="n">
        <x:v>507.2</x:v>
      </x:c>
      <x:c r="L1466" s="60" t="n">
        <x:v>97.75</x:v>
      </x:c>
      <x:c r="M1466" s="50" t="n">
        <x:v>29</x:v>
      </x:c>
      <x:c r="N1466" s="50" t="n">
        <x:v>11</x:v>
      </x:c>
      <x:c r="O1466" s="50" t="n">
        <x:v>66</x:v>
      </x:c>
      <x:c r="P1466" s="50" t="n">
        <x:v>18</x:v>
      </x:c>
    </x:row>
    <x:row r="1467" ht="36" customHeight="1">
      <x:c r="A1467" s="53" t="n">
        <x:v>1448</x:v>
      </x:c>
      <x:c r="B1467" s="53" t="n">
        <x:v>3</x:v>
      </x:c>
      <x:c r="C1467" s="40" t="str">
        <x:v>Low-Value Low-Engagement Shoppers</x:v>
      </x:c>
      <x:c r="D1467" s="60" t="n">
        <x:v>1927.33</x:v>
      </x:c>
      <x:c r="E1467" s="50" t="n">
        <x:v>80</x:v>
      </x:c>
      <x:c r="F1467" s="46" t="n">
        <x:v>6.666666666666666</x:v>
      </x:c>
      <x:c r="G1467" s="46" t="n">
        <x:v>60</x:v>
      </x:c>
      <x:c r="H1467" s="61" t="n">
        <x:v>24.091625</x:v>
      </x:c>
      <x:c r="I1467" s="52" t="n">
        <x:v>0.5375</x:v>
      </x:c>
      <x:c r="J1467" s="52" t="n">
        <x:v>0.2603342447842351</x:v>
      </x:c>
      <x:c r="K1467" s="60" t="n">
        <x:v>1470.78</x:v>
      </x:c>
      <x:c r="L1467" s="60" t="n">
        <x:v>456.55</x:v>
      </x:c>
      <x:c r="M1467" s="50" t="n">
        <x:v>43</x:v>
      </x:c>
      <x:c r="N1467" s="50" t="n">
        <x:v>37</x:v>
      </x:c>
      <x:c r="O1467" s="50" t="n">
        <x:v>51</x:v>
      </x:c>
      <x:c r="P1467" s="50" t="n">
        <x:v>12</x:v>
      </x:c>
    </x:row>
    <x:row r="1468" ht="36" customHeight="1">
      <x:c r="A1468" s="53" t="n">
        <x:v>1449</x:v>
      </x:c>
      <x:c r="B1468" s="53" t="n">
        <x:v>3</x:v>
      </x:c>
      <x:c r="C1468" s="40" t="str">
        <x:v>Low-Value Low-Engagement Shoppers</x:v>
      </x:c>
      <x:c r="D1468" s="60" t="n">
        <x:v>405.83</x:v>
      </x:c>
      <x:c r="E1468" s="50" t="n">
        <x:v>39</x:v>
      </x:c>
      <x:c r="F1468" s="46" t="n">
        <x:v>2.294117647058824</x:v>
      </x:c>
      <x:c r="G1468" s="46" t="n">
        <x:v>86</x:v>
      </x:c>
      <x:c r="H1468" s="61" t="n">
        <x:v>10.405897435897437</x:v>
      </x:c>
      <x:c r="I1468" s="52" t="n">
        <x:v>0.6666666666666666</x:v>
      </x:c>
      <x:c r="J1468" s="52" t="n">
        <x:v>0.5047187245891136</x:v>
      </x:c>
      <x:c r="K1468" s="60" t="n">
        <x:v>362.13</x:v>
      </x:c>
      <x:c r="L1468" s="60" t="n">
        <x:v>43.7</x:v>
      </x:c>
      <x:c r="M1468" s="50" t="n">
        <x:v>26</x:v>
      </x:c>
      <x:c r="N1468" s="50" t="n">
        <x:v>13</x:v>
      </x:c>
      <x:c r="O1468" s="50" t="n">
        <x:v>55</x:v>
      </x:c>
      <x:c r="P1468" s="50" t="n">
        <x:v>17</x:v>
      </x:c>
    </x:row>
    <x:row r="1469" ht="36" customHeight="1">
      <x:c r="A1469" s="53" t="n">
        <x:v>1450</x:v>
      </x:c>
      <x:c r="B1469" s="53" t="n">
        <x:v>3</x:v>
      </x:c>
      <x:c r="C1469" s="40" t="str">
        <x:v>Low-Value Low-Engagement Shoppers</x:v>
      </x:c>
      <x:c r="D1469" s="60" t="n">
        <x:v>1647.2</x:v>
      </x:c>
      <x:c r="E1469" s="50" t="n">
        <x:v>89</x:v>
      </x:c>
      <x:c r="F1469" s="46" t="n">
        <x:v>4.944444444444445</x:v>
      </x:c>
      <x:c r="G1469" s="46" t="n">
        <x:v>25</x:v>
      </x:c>
      <x:c r="H1469" s="61" t="n">
        <x:v>18.507865168539325</x:v>
      </x:c>
      <x:c r="I1469" s="52" t="n">
        <x:v>0.7415730337078651</x:v>
      </x:c>
      <x:c r="J1469" s="52" t="n">
        <x:v>0.4988283147158814</x:v>
      </x:c>
      <x:c r="K1469" s="60" t="n">
        <x:v>1437.6</x:v>
      </x:c>
      <x:c r="L1469" s="60" t="n">
        <x:v>209.6</x:v>
      </x:c>
      <x:c r="M1469" s="50" t="n">
        <x:v>66</x:v>
      </x:c>
      <x:c r="N1469" s="50" t="n">
        <x:v>23</x:v>
      </x:c>
      <x:c r="O1469" s="50" t="n">
        <x:v>114</x:v>
      </x:c>
      <x:c r="P1469" s="50" t="n">
        <x:v>18</x:v>
      </x:c>
    </x:row>
    <x:row r="1470" ht="36" customHeight="1">
      <x:c r="A1470" s="53" t="n">
        <x:v>1451</x:v>
      </x:c>
      <x:c r="B1470" s="53" t="n">
        <x:v>1</x:v>
      </x:c>
      <x:c r="C1470" s="40" t="str">
        <x:v>High-Value Frequent Shoppers</x:v>
      </x:c>
      <x:c r="D1470" s="60" t="n">
        <x:v>6700.05</x:v>
      </x:c>
      <x:c r="E1470" s="50" t="n">
        <x:v>260</x:v>
      </x:c>
      <x:c r="F1470" s="46" t="n">
        <x:v>12.38095238095238</x:v>
      </x:c>
      <x:c r="G1470" s="46" t="n">
        <x:v>1</x:v>
      </x:c>
      <x:c r="H1470" s="61" t="n">
        <x:v>25.76942307692308</x:v>
      </x:c>
      <x:c r="I1470" s="52" t="n">
        <x:v>0.8384615384615384</x:v>
      </x:c>
      <x:c r="J1470" s="52" t="n">
        <x:v>0.670053208558145</x:v>
      </x:c>
      <x:c r="K1470" s="60" t="n">
        <x:v>6331.11</x:v>
      </x:c>
      <x:c r="L1470" s="60" t="n">
        <x:v>368.94</x:v>
      </x:c>
      <x:c r="M1470" s="50" t="n">
        <x:v>218</x:v>
      </x:c>
      <x:c r="N1470" s="50" t="n">
        <x:v>42</x:v>
      </x:c>
      <x:c r="O1470" s="50" t="n">
        <x:v>176</x:v>
      </x:c>
      <x:c r="P1470" s="50" t="n">
        <x:v>21</x:v>
      </x:c>
    </x:row>
    <x:row r="1471" ht="36" customHeight="1">
      <x:c r="A1471" s="53" t="n">
        <x:v>1452</x:v>
      </x:c>
      <x:c r="B1471" s="53" t="n">
        <x:v>3</x:v>
      </x:c>
      <x:c r="C1471" s="40" t="str">
        <x:v>Low-Value Low-Engagement Shoppers</x:v>
      </x:c>
      <x:c r="D1471" s="60" t="n">
        <x:v>1884.05</x:v>
      </x:c>
      <x:c r="E1471" s="50" t="n">
        <x:v>374</x:v>
      </x:c>
      <x:c r="F1471" s="46" t="n">
        <x:v>17</x:v>
      </x:c>
      <x:c r="G1471" s="46" t="n">
        <x:v>12</x:v>
      </x:c>
      <x:c r="H1471" s="61" t="n">
        <x:v>5.037566844919786</x:v>
      </x:c>
      <x:c r="I1471" s="52" t="n">
        <x:v>0.462566844919786</x:v>
      </x:c>
      <x:c r="J1471" s="52" t="n">
        <x:v>0.3207929725856532</x:v>
      </x:c>
      <x:c r="K1471" s="60" t="n">
        <x:v>1233.62</x:v>
      </x:c>
      <x:c r="L1471" s="60" t="n">
        <x:v>650.43</x:v>
      </x:c>
      <x:c r="M1471" s="50" t="n">
        <x:v>173</x:v>
      </x:c>
      <x:c r="N1471" s="50" t="n">
        <x:v>201</x:v>
      </x:c>
      <x:c r="O1471" s="50" t="n">
        <x:v>102</x:v>
      </x:c>
      <x:c r="P1471" s="50" t="n">
        <x:v>22</x:v>
      </x:c>
    </x:row>
    <x:row r="1472" ht="36" customHeight="1">
      <x:c r="A1472" s="53" t="n">
        <x:v>1453</x:v>
      </x:c>
      <x:c r="B1472" s="53" t="n">
        <x:v>1</x:v>
      </x:c>
      <x:c r="C1472" s="40" t="str">
        <x:v>High-Value Frequent Shoppers</x:v>
      </x:c>
      <x:c r="D1472" s="60" t="n">
        <x:v>21661.29</x:v>
      </x:c>
      <x:c r="E1472" s="50" t="n">
        <x:v>761</x:v>
      </x:c>
      <x:c r="F1472" s="46" t="n">
        <x:v>36.23809523809524</x:v>
      </x:c>
      <x:c r="G1472" s="46" t="n">
        <x:v>1</x:v>
      </x:c>
      <x:c r="H1472" s="61" t="n">
        <x:v>28.4642444152431</x:v>
      </x:c>
      <x:c r="I1472" s="52" t="n">
        <x:v>0.5216819973718791</x:v>
      </x:c>
      <x:c r="J1472" s="52" t="n">
        <x:v>0.3906858732790152</x:v>
      </x:c>
      <x:c r="K1472" s="60" t="n">
        <x:v>19715.02</x:v>
      </x:c>
      <x:c r="L1472" s="60" t="n">
        <x:v>1946.27</x:v>
      </x:c>
      <x:c r="M1472" s="50" t="n">
        <x:v>397</x:v>
      </x:c>
      <x:c r="N1472" s="50" t="n">
        <x:v>364</x:v>
      </x:c>
      <x:c r="O1472" s="50" t="n">
        <x:v>236</x:v>
      </x:c>
      <x:c r="P1472" s="50" t="n">
        <x:v>21</x:v>
      </x:c>
    </x:row>
    <x:row r="1473" ht="36" customHeight="1">
      <x:c r="A1473" s="53" t="n">
        <x:v>1454</x:v>
      </x:c>
      <x:c r="B1473" s="53" t="n">
        <x:v>1</x:v>
      </x:c>
      <x:c r="C1473" s="40" t="str">
        <x:v>High-Value Frequent Shoppers</x:v>
      </x:c>
      <x:c r="D1473" s="60" t="n">
        <x:v>4934</x:v>
      </x:c>
      <x:c r="E1473" s="50" t="n">
        <x:v>153</x:v>
      </x:c>
      <x:c r="F1473" s="46" t="n">
        <x:v>7.285714285714285</x:v>
      </x:c>
      <x:c r="G1473" s="46" t="n">
        <x:v>0</x:v>
      </x:c>
      <x:c r="H1473" s="61" t="n">
        <x:v>32.248366013071895</x:v>
      </x:c>
      <x:c r="I1473" s="52" t="n">
        <x:v>0.849673202614379</x:v>
      </x:c>
      <x:c r="J1473" s="52" t="n">
        <x:v>0.4922679367653019</x:v>
      </x:c>
      <x:c r="K1473" s="60" t="n">
        <x:v>4639.74</x:v>
      </x:c>
      <x:c r="L1473" s="60" t="n">
        <x:v>294.26</x:v>
      </x:c>
      <x:c r="M1473" s="50" t="n">
        <x:v>130</x:v>
      </x:c>
      <x:c r="N1473" s="50" t="n">
        <x:v>23</x:v>
      </x:c>
      <x:c r="O1473" s="50" t="n">
        <x:v>146</x:v>
      </x:c>
      <x:c r="P1473" s="50" t="n">
        <x:v>21</x:v>
      </x:c>
    </x:row>
    <x:row r="1474" ht="36" customHeight="1">
      <x:c r="A1474" s="53" t="n">
        <x:v>1455</x:v>
      </x:c>
      <x:c r="B1474" s="53" t="n">
        <x:v>2</x:v>
      </x:c>
      <x:c r="C1474" s="40" t="str">
        <x:v>Large-Basket Occasional Shoppers</x:v>
      </x:c>
      <x:c r="D1474" s="60" t="n">
        <x:v>820.18</x:v>
      </x:c>
      <x:c r="E1474" s="50" t="n">
        <x:v>14</x:v>
      </x:c>
      <x:c r="F1474" s="46" t="n">
        <x:v>2</x:v>
      </x:c>
      <x:c r="G1474" s="46" t="n">
        <x:v>451</x:v>
      </x:c>
      <x:c r="H1474" s="61" t="n">
        <x:v>58.58428571428571</x:v>
      </x:c>
      <x:c r="I1474" s="52" t="n">
        <x:v>0.8571428571428571</x:v>
      </x:c>
      <x:c r="J1474" s="52" t="n">
        <x:v>0.5064863810383086</x:v>
      </x:c>
      <x:c r="K1474" s="60" t="n">
        <x:v>775.15</x:v>
      </x:c>
      <x:c r="L1474" s="60" t="n">
        <x:v>45.03</x:v>
      </x:c>
      <x:c r="M1474" s="50" t="n">
        <x:v>12</x:v>
      </x:c>
      <x:c r="N1474" s="50" t="n">
        <x:v>2</x:v>
      </x:c>
      <x:c r="O1474" s="50" t="n">
        <x:v>93</x:v>
      </x:c>
      <x:c r="P1474" s="50" t="n">
        <x:v>7</x:v>
      </x:c>
    </x:row>
    <x:row r="1475" ht="36" customHeight="1">
      <x:c r="A1475" s="53" t="n">
        <x:v>1456</x:v>
      </x:c>
      <x:c r="B1475" s="53" t="n">
        <x:v>2</x:v>
      </x:c>
      <x:c r="C1475" s="40" t="str">
        <x:v>Large-Basket Occasional Shoppers</x:v>
      </x:c>
      <x:c r="D1475" s="60" t="n">
        <x:v>1506.5</x:v>
      </x:c>
      <x:c r="E1475" s="50" t="n">
        <x:v>68</x:v>
      </x:c>
      <x:c r="F1475" s="46" t="n">
        <x:v>4.25</x:v>
      </x:c>
      <x:c r="G1475" s="46" t="n">
        <x:v>26</x:v>
      </x:c>
      <x:c r="H1475" s="61" t="n">
        <x:v>22.15441176470588</x:v>
      </x:c>
      <x:c r="I1475" s="52" t="n">
        <x:v>0.7941176470588235</x:v>
      </x:c>
      <x:c r="J1475" s="52" t="n">
        <x:v>0.4964553601062064</x:v>
      </x:c>
      <x:c r="K1475" s="60" t="n">
        <x:v>1382.82</x:v>
      </x:c>
      <x:c r="L1475" s="60" t="n">
        <x:v>123.68</x:v>
      </x:c>
      <x:c r="M1475" s="50" t="n">
        <x:v>54</x:v>
      </x:c>
      <x:c r="N1475" s="50" t="n">
        <x:v>14</x:v>
      </x:c>
      <x:c r="O1475" s="50" t="n">
        <x:v>119</x:v>
      </x:c>
      <x:c r="P1475" s="50" t="n">
        <x:v>16</x:v>
      </x:c>
    </x:row>
    <x:row r="1476" ht="36" customHeight="1">
      <x:c r="A1476" s="53" t="n">
        <x:v>1457</x:v>
      </x:c>
      <x:c r="B1476" s="53" t="n">
        <x:v>2</x:v>
      </x:c>
      <x:c r="C1476" s="40" t="str">
        <x:v>Large-Basket Occasional Shoppers</x:v>
      </x:c>
      <x:c r="D1476" s="60" t="n">
        <x:v>2667.34</x:v>
      </x:c>
      <x:c r="E1476" s="50" t="n">
        <x:v>39</x:v>
      </x:c>
      <x:c r="F1476" s="46" t="n">
        <x:v>2.6</x:v>
      </x:c>
      <x:c r="G1476" s="46" t="n">
        <x:v>19</x:v>
      </x:c>
      <x:c r="H1476" s="61" t="n">
        <x:v>68.39333333333333</x:v>
      </x:c>
      <x:c r="I1476" s="52" t="n">
        <x:v>0.923076923076923</x:v>
      </x:c>
      <x:c r="J1476" s="52" t="n">
        <x:v>0.5254373270749135</x:v>
      </x:c>
      <x:c r="K1476" s="60" t="n">
        <x:v>2649.32</x:v>
      </x:c>
      <x:c r="L1476" s="60" t="n">
        <x:v>18.02</x:v>
      </x:c>
      <x:c r="M1476" s="50" t="n">
        <x:v>36</x:v>
      </x:c>
      <x:c r="N1476" s="50" t="n">
        <x:v>3</x:v>
      </x:c>
      <x:c r="O1476" s="50" t="n">
        <x:v>107</x:v>
      </x:c>
      <x:c r="P1476" s="50" t="n">
        <x:v>15</x:v>
      </x:c>
    </x:row>
    <x:row r="1477" ht="36" customHeight="1">
      <x:c r="A1477" s="53" t="n">
        <x:v>1458</x:v>
      </x:c>
      <x:c r="B1477" s="53" t="n">
        <x:v>1</x:v>
      </x:c>
      <x:c r="C1477" s="40" t="str">
        <x:v>High-Value Frequent Shoppers</x:v>
      </x:c>
      <x:c r="D1477" s="60" t="n">
        <x:v>3480.63</x:v>
      </x:c>
      <x:c r="E1477" s="50" t="n">
        <x:v>126</x:v>
      </x:c>
      <x:c r="F1477" s="46" t="n">
        <x:v>6</x:v>
      </x:c>
      <x:c r="G1477" s="46" t="n">
        <x:v>6</x:v>
      </x:c>
      <x:c r="H1477" s="61" t="n">
        <x:v>27.624047619047616</x:v>
      </x:c>
      <x:c r="I1477" s="52" t="n">
        <x:v>0.873015873015873</x:v>
      </x:c>
      <x:c r="J1477" s="52" t="n">
        <x:v>0.5878906979483599</x:v>
      </x:c>
      <x:c r="K1477" s="60" t="n">
        <x:v>3310.07</x:v>
      </x:c>
      <x:c r="L1477" s="60" t="n">
        <x:v>170.56</x:v>
      </x:c>
      <x:c r="M1477" s="50" t="n">
        <x:v>110</x:v>
      </x:c>
      <x:c r="N1477" s="50" t="n">
        <x:v>16</x:v>
      </x:c>
      <x:c r="O1477" s="50" t="n">
        <x:v>160</x:v>
      </x:c>
      <x:c r="P1477" s="50" t="n">
        <x:v>21</x:v>
      </x:c>
    </x:row>
    <x:row r="1478" ht="36" customHeight="1">
      <x:c r="A1478" s="53" t="n">
        <x:v>1459</x:v>
      </x:c>
      <x:c r="B1478" s="53" t="n">
        <x:v>2</x:v>
      </x:c>
      <x:c r="C1478" s="40" t="str">
        <x:v>Large-Basket Occasional Shoppers</x:v>
      </x:c>
      <x:c r="D1478" s="60" t="n">
        <x:v>4769.04</x:v>
      </x:c>
      <x:c r="E1478" s="50" t="n">
        <x:v>79</x:v>
      </x:c>
      <x:c r="F1478" s="46" t="n">
        <x:v>3.95</x:v>
      </x:c>
      <x:c r="G1478" s="46" t="n">
        <x:v>9</x:v>
      </x:c>
      <x:c r="H1478" s="61" t="n">
        <x:v>60.36759493670886</x:v>
      </x:c>
      <x:c r="I1478" s="52" t="n">
        <x:v>0.8987341772151898</x:v>
      </x:c>
      <x:c r="J1478" s="52" t="n">
        <x:v>0.4769576266921644</x:v>
      </x:c>
      <x:c r="K1478" s="60" t="n">
        <x:v>4668.69</x:v>
      </x:c>
      <x:c r="L1478" s="60" t="n">
        <x:v>100.35</x:v>
      </x:c>
      <x:c r="M1478" s="50" t="n">
        <x:v>71</x:v>
      </x:c>
      <x:c r="N1478" s="50" t="n">
        <x:v>8</x:v>
      </x:c>
      <x:c r="O1478" s="50" t="n">
        <x:v>149</x:v>
      </x:c>
      <x:c r="P1478" s="50" t="n">
        <x:v>20</x:v>
      </x:c>
    </x:row>
    <x:row r="1479" ht="36" customHeight="1">
      <x:c r="A1479" s="53" t="n">
        <x:v>1460</x:v>
      </x:c>
      <x:c r="B1479" s="53" t="n">
        <x:v>2</x:v>
      </x:c>
      <x:c r="C1479" s="40" t="str">
        <x:v>Large-Basket Occasional Shoppers</x:v>
      </x:c>
      <x:c r="D1479" s="60" t="n">
        <x:v>2455.68</x:v>
      </x:c>
      <x:c r="E1479" s="50" t="n">
        <x:v>57</x:v>
      </x:c>
      <x:c r="F1479" s="46" t="n">
        <x:v>3.166666666666667</x:v>
      </x:c>
      <x:c r="G1479" s="46" t="n">
        <x:v>59</x:v>
      </x:c>
      <x:c r="H1479" s="61" t="n">
        <x:v>43.082105263157885</x:v>
      </x:c>
      <x:c r="I1479" s="52" t="n">
        <x:v>0.8070175438596491</x:v>
      </x:c>
      <x:c r="J1479" s="52" t="n">
        <x:v>0.4701752671357831</x:v>
      </x:c>
      <x:c r="K1479" s="60" t="n">
        <x:v>2341.08</x:v>
      </x:c>
      <x:c r="L1479" s="60" t="n">
        <x:v>114.6</x:v>
      </x:c>
      <x:c r="M1479" s="50" t="n">
        <x:v>46</x:v>
      </x:c>
      <x:c r="N1479" s="50" t="n">
        <x:v>11</x:v>
      </x:c>
      <x:c r="O1479" s="50" t="n">
        <x:v>142</x:v>
      </x:c>
      <x:c r="P1479" s="50" t="n">
        <x:v>18</x:v>
      </x:c>
    </x:row>
    <x:row r="1480" ht="36" customHeight="1">
      <x:c r="A1480" s="53" t="n">
        <x:v>1461</x:v>
      </x:c>
      <x:c r="B1480" s="53" t="n">
        <x:v>1</x:v>
      </x:c>
      <x:c r="C1480" s="40" t="str">
        <x:v>High-Value Frequent Shoppers</x:v>
      </x:c>
      <x:c r="D1480" s="60" t="n">
        <x:v>7246.2</x:v>
      </x:c>
      <x:c r="E1480" s="50" t="n">
        <x:v>289</x:v>
      </x:c>
      <x:c r="F1480" s="46" t="n">
        <x:v>12.041666666666666</x:v>
      </x:c>
      <x:c r="G1480" s="46" t="n">
        <x:v>2</x:v>
      </x:c>
      <x:c r="H1480" s="61" t="n">
        <x:v>25.07335640138409</x:v>
      </x:c>
      <x:c r="I1480" s="52" t="n">
        <x:v>0.7750865051903114</x:v>
      </x:c>
      <x:c r="J1480" s="52" t="n">
        <x:v>0.5281181860837404</x:v>
      </x:c>
      <x:c r="K1480" s="60" t="n">
        <x:v>6639</x:v>
      </x:c>
      <x:c r="L1480" s="60" t="n">
        <x:v>607.2</x:v>
      </x:c>
      <x:c r="M1480" s="50" t="n">
        <x:v>224</x:v>
      </x:c>
      <x:c r="N1480" s="50" t="n">
        <x:v>65</x:v>
      </x:c>
      <x:c r="O1480" s="50" t="n">
        <x:v>174</x:v>
      </x:c>
      <x:c r="P1480" s="50" t="n">
        <x:v>24</x:v>
      </x:c>
    </x:row>
    <x:row r="1481" ht="36" customHeight="1">
      <x:c r="A1481" s="53" t="n">
        <x:v>1462</x:v>
      </x:c>
      <x:c r="B1481" s="53" t="n">
        <x:v>1</x:v>
      </x:c>
      <x:c r="C1481" s="40" t="str">
        <x:v>High-Value Frequent Shoppers</x:v>
      </x:c>
      <x:c r="D1481" s="60" t="n">
        <x:v>4830</x:v>
      </x:c>
      <x:c r="E1481" s="50" t="n">
        <x:v>120</x:v>
      </x:c>
      <x:c r="F1481" s="46" t="n">
        <x:v>5.454545454545455</x:v>
      </x:c>
      <x:c r="G1481" s="46" t="n">
        <x:v>7</x:v>
      </x:c>
      <x:c r="H1481" s="61" t="n">
        <x:v>40.25</x:v>
      </x:c>
      <x:c r="I1481" s="52" t="n">
        <x:v>0.8333333333333333</x:v>
      </x:c>
      <x:c r="J1481" s="52" t="n">
        <x:v>0.5302173913043478</x:v>
      </x:c>
      <x:c r="K1481" s="60" t="n">
        <x:v>4678.67</x:v>
      </x:c>
      <x:c r="L1481" s="60" t="n">
        <x:v>151.33</x:v>
      </x:c>
      <x:c r="M1481" s="50" t="n">
        <x:v>100</x:v>
      </x:c>
      <x:c r="N1481" s="50" t="n">
        <x:v>20</x:v>
      </x:c>
      <x:c r="O1481" s="50" t="n">
        <x:v>156</x:v>
      </x:c>
      <x:c r="P1481" s="50" t="n">
        <x:v>22</x:v>
      </x:c>
    </x:row>
    <x:row r="1482" ht="36" customHeight="1">
      <x:c r="A1482" s="53" t="n">
        <x:v>1463</x:v>
      </x:c>
      <x:c r="B1482" s="53" t="n">
        <x:v>1</x:v>
      </x:c>
      <x:c r="C1482" s="40" t="str">
        <x:v>High-Value Frequent Shoppers</x:v>
      </x:c>
      <x:c r="D1482" s="60" t="n">
        <x:v>3460.15</x:v>
      </x:c>
      <x:c r="E1482" s="50" t="n">
        <x:v>139</x:v>
      </x:c>
      <x:c r="F1482" s="46" t="n">
        <x:v>5.791666666666666</x:v>
      </x:c>
      <x:c r="G1482" s="46" t="n">
        <x:v>4</x:v>
      </x:c>
      <x:c r="H1482" s="61" t="n">
        <x:v>24.89316546762589</x:v>
      </x:c>
      <x:c r="I1482" s="52" t="n">
        <x:v>0.8992805755395683</x:v>
      </x:c>
      <x:c r="J1482" s="52" t="n">
        <x:v>0.6867332341083479</x:v>
      </x:c>
      <x:c r="K1482" s="60" t="n">
        <x:v>3320.06</x:v>
      </x:c>
      <x:c r="L1482" s="60" t="n">
        <x:v>140.09</x:v>
      </x:c>
      <x:c r="M1482" s="50" t="n">
        <x:v>125</x:v>
      </x:c>
      <x:c r="N1482" s="50" t="n">
        <x:v>14</x:v>
      </x:c>
      <x:c r="O1482" s="50" t="n">
        <x:v>132</x:v>
      </x:c>
      <x:c r="P1482" s="50" t="n">
        <x:v>24</x:v>
      </x:c>
    </x:row>
    <x:row r="1483" ht="36" customHeight="1">
      <x:c r="A1483" s="53" t="n">
        <x:v>1464</x:v>
      </x:c>
      <x:c r="B1483" s="53" t="n">
        <x:v>2</x:v>
      </x:c>
      <x:c r="C1483" s="40" t="str">
        <x:v>Large-Basket Occasional Shoppers</x:v>
      </x:c>
      <x:c r="D1483" s="60" t="n">
        <x:v>2474.4</x:v>
      </x:c>
      <x:c r="E1483" s="50" t="n">
        <x:v>75</x:v>
      </x:c>
      <x:c r="F1483" s="46" t="n">
        <x:v>3.571428571428572</x:v>
      </x:c>
      <x:c r="G1483" s="46" t="n">
        <x:v>35</x:v>
      </x:c>
      <x:c r="H1483" s="61" t="n">
        <x:v>32.992</x:v>
      </x:c>
      <x:c r="I1483" s="52" t="n">
        <x:v>0.92</x:v>
      </x:c>
      <x:c r="J1483" s="52" t="n">
        <x:v>0.642398157129001</x:v>
      </x:c>
      <x:c r="K1483" s="60" t="n">
        <x:v>2442.33</x:v>
      </x:c>
      <x:c r="L1483" s="60" t="n">
        <x:v>32.07</x:v>
      </x:c>
      <x:c r="M1483" s="50" t="n">
        <x:v>69</x:v>
      </x:c>
      <x:c r="N1483" s="50" t="n">
        <x:v>6</x:v>
      </x:c>
      <x:c r="O1483" s="50" t="n">
        <x:v>117</x:v>
      </x:c>
      <x:c r="P1483" s="50" t="n">
        <x:v>21</x:v>
      </x:c>
    </x:row>
    <x:row r="1484" ht="36" customHeight="1">
      <x:c r="A1484" s="53" t="n">
        <x:v>1465</x:v>
      </x:c>
      <x:c r="B1484" s="53" t="n">
        <x:v>2</x:v>
      </x:c>
      <x:c r="C1484" s="40" t="str">
        <x:v>Large-Basket Occasional Shoppers</x:v>
      </x:c>
      <x:c r="D1484" s="60" t="n">
        <x:v>1038.52</x:v>
      </x:c>
      <x:c r="E1484" s="50" t="n">
        <x:v>56</x:v>
      </x:c>
      <x:c r="F1484" s="46" t="n">
        <x:v>2.434782608695652</x:v>
      </x:c>
      <x:c r="G1484" s="46" t="n">
        <x:v>7</x:v>
      </x:c>
      <x:c r="H1484" s="61" t="n">
        <x:v>18.545</x:v>
      </x:c>
      <x:c r="I1484" s="52" t="n">
        <x:v>0.8392857142857142</x:v>
      </x:c>
      <x:c r="J1484" s="52" t="n">
        <x:v>0.45420405962331</x:v>
      </x:c>
      <x:c r="K1484" s="60" t="n">
        <x:v>966.67</x:v>
      </x:c>
      <x:c r="L1484" s="60" t="n">
        <x:v>71.85</x:v>
      </x:c>
      <x:c r="M1484" s="50" t="n">
        <x:v>47</x:v>
      </x:c>
      <x:c r="N1484" s="50" t="n">
        <x:v>9</x:v>
      </x:c>
      <x:c r="O1484" s="50" t="n">
        <x:v>106</x:v>
      </x:c>
      <x:c r="P1484" s="50" t="n">
        <x:v>23</x:v>
      </x:c>
    </x:row>
    <x:row r="1485" ht="36" customHeight="1">
      <x:c r="A1485" s="53" t="n">
        <x:v>1466</x:v>
      </x:c>
      <x:c r="B1485" s="53" t="n">
        <x:v>3</x:v>
      </x:c>
      <x:c r="C1485" s="40" t="str">
        <x:v>Low-Value Low-Engagement Shoppers</x:v>
      </x:c>
      <x:c r="D1485" s="60" t="n">
        <x:v>1029.47</x:v>
      </x:c>
      <x:c r="E1485" s="50" t="n">
        <x:v>38</x:v>
      </x:c>
      <x:c r="F1485" s="46" t="n">
        <x:v>2.533333333333333</x:v>
      </x:c>
      <x:c r="G1485" s="46" t="n">
        <x:v>11</x:v>
      </x:c>
      <x:c r="H1485" s="61" t="n">
        <x:v>27.091315789473683</x:v>
      </x:c>
      <x:c r="I1485" s="52" t="n">
        <x:v>0.7105263157894736</x:v>
      </x:c>
      <x:c r="J1485" s="52" t="n">
        <x:v>0.4194682700807211</x:v>
      </x:c>
      <x:c r="K1485" s="60" t="n">
        <x:v>887.52</x:v>
      </x:c>
      <x:c r="L1485" s="60" t="n">
        <x:v>141.95</x:v>
      </x:c>
      <x:c r="M1485" s="50" t="n">
        <x:v>27</x:v>
      </x:c>
      <x:c r="N1485" s="50" t="n">
        <x:v>11</x:v>
      </x:c>
      <x:c r="O1485" s="50" t="n">
        <x:v>83</x:v>
      </x:c>
      <x:c r="P1485" s="50" t="n">
        <x:v>15</x:v>
      </x:c>
    </x:row>
    <x:row r="1486" ht="36" customHeight="1">
      <x:c r="A1486" s="53" t="n">
        <x:v>1467</x:v>
      </x:c>
      <x:c r="B1486" s="53" t="n">
        <x:v>1</x:v>
      </x:c>
      <x:c r="C1486" s="40" t="str">
        <x:v>High-Value Frequent Shoppers</x:v>
      </x:c>
      <x:c r="D1486" s="60" t="n">
        <x:v>2957.82</x:v>
      </x:c>
      <x:c r="E1486" s="50" t="n">
        <x:v>835</x:v>
      </x:c>
      <x:c r="F1486" s="46" t="n">
        <x:v>37.95454545454545</x:v>
      </x:c>
      <x:c r="G1486" s="46" t="n">
        <x:v>0</x:v>
      </x:c>
      <x:c r="H1486" s="61" t="n">
        <x:v>3.542299401197605</x:v>
      </x:c>
      <x:c r="I1486" s="52" t="n">
        <x:v>0.6526946107784432</x:v>
      </x:c>
      <x:c r="J1486" s="52" t="n">
        <x:v>0.5288421878275216</x:v>
      </x:c>
      <x:c r="K1486" s="60" t="n">
        <x:v>2316.91</x:v>
      </x:c>
      <x:c r="L1486" s="60" t="n">
        <x:v>640.91</x:v>
      </x:c>
      <x:c r="M1486" s="50" t="n">
        <x:v>545</x:v>
      </x:c>
      <x:c r="N1486" s="50" t="n">
        <x:v>290</x:v>
      </x:c>
      <x:c r="O1486" s="50" t="n">
        <x:v>94</x:v>
      </x:c>
      <x:c r="P1486" s="50" t="n">
        <x:v>22</x:v>
      </x:c>
    </x:row>
    <x:row r="1487" ht="36" customHeight="1">
      <x:c r="A1487" s="53" t="n">
        <x:v>1468</x:v>
      </x:c>
      <x:c r="B1487" s="53" t="n">
        <x:v>2</x:v>
      </x:c>
      <x:c r="C1487" s="40" t="str">
        <x:v>Large-Basket Occasional Shoppers</x:v>
      </x:c>
      <x:c r="D1487" s="60" t="n">
        <x:v>4131.73</x:v>
      </x:c>
      <x:c r="E1487" s="50" t="n">
        <x:v>79</x:v>
      </x:c>
      <x:c r="F1487" s="46" t="n">
        <x:v>5.642857142857143</x:v>
      </x:c>
      <x:c r="G1487" s="46" t="n">
        <x:v>143</x:v>
      </x:c>
      <x:c r="H1487" s="61" t="n">
        <x:v>52.30037974683544</x:v>
      </x:c>
      <x:c r="I1487" s="52" t="n">
        <x:v>0.8860759493670886</x:v>
      </x:c>
      <x:c r="J1487" s="52" t="n">
        <x:v>0.4061688445275949</x:v>
      </x:c>
      <x:c r="K1487" s="60" t="n">
        <x:v>4079.32</x:v>
      </x:c>
      <x:c r="L1487" s="60" t="n">
        <x:v>52.41</x:v>
      </x:c>
      <x:c r="M1487" s="50" t="n">
        <x:v>70</x:v>
      </x:c>
      <x:c r="N1487" s="50" t="n">
        <x:v>9</x:v>
      </x:c>
      <x:c r="O1487" s="50" t="n">
        <x:v>152</x:v>
      </x:c>
      <x:c r="P1487" s="50" t="n">
        <x:v>14</x:v>
      </x:c>
    </x:row>
    <x:row r="1488" ht="36" customHeight="1">
      <x:c r="A1488" s="53" t="n">
        <x:v>1469</x:v>
      </x:c>
      <x:c r="B1488" s="53" t="n">
        <x:v>2</x:v>
      </x:c>
      <x:c r="C1488" s="40" t="str">
        <x:v>Large-Basket Occasional Shoppers</x:v>
      </x:c>
      <x:c r="D1488" s="60" t="n">
        <x:v>1160</x:v>
      </x:c>
      <x:c r="E1488" s="50" t="n">
        <x:v>44</x:v>
      </x:c>
      <x:c r="F1488" s="46" t="n">
        <x:v>2.933333333333333</x:v>
      </x:c>
      <x:c r="G1488" s="46" t="n">
        <x:v>161</x:v>
      </x:c>
      <x:c r="H1488" s="61" t="n">
        <x:v>26.363636363636363</x:v>
      </x:c>
      <x:c r="I1488" s="52" t="n">
        <x:v>0.8636363636363636</x:v>
      </x:c>
      <x:c r="J1488" s="52" t="n">
        <x:v>0.4416637931034482</x:v>
      </x:c>
      <x:c r="K1488" s="60" t="n">
        <x:v>1125.41</x:v>
      </x:c>
      <x:c r="L1488" s="60" t="n">
        <x:v>34.59</x:v>
      </x:c>
      <x:c r="M1488" s="50" t="n">
        <x:v>38</x:v>
      </x:c>
      <x:c r="N1488" s="50" t="n">
        <x:v>6</x:v>
      </x:c>
      <x:c r="O1488" s="50" t="n">
        <x:v>91</x:v>
      </x:c>
      <x:c r="P1488" s="50" t="n">
        <x:v>15</x:v>
      </x:c>
    </x:row>
    <x:row r="1489" ht="36" customHeight="1">
      <x:c r="A1489" s="53" t="n">
        <x:v>1470</x:v>
      </x:c>
      <x:c r="B1489" s="53" t="n">
        <x:v>1</x:v>
      </x:c>
      <x:c r="C1489" s="40" t="str">
        <x:v>High-Value Frequent Shoppers</x:v>
      </x:c>
      <x:c r="D1489" s="60" t="n">
        <x:v>1991.33</x:v>
      </x:c>
      <x:c r="E1489" s="50" t="n">
        <x:v>133</x:v>
      </x:c>
      <x:c r="F1489" s="46" t="n">
        <x:v>6.333333333333333</x:v>
      </x:c>
      <x:c r="G1489" s="46" t="n">
        <x:v>3</x:v>
      </x:c>
      <x:c r="H1489" s="61" t="n">
        <x:v>14.972406015037594</x:v>
      </x:c>
      <x:c r="I1489" s="52" t="n">
        <x:v>0.7142857142857142</x:v>
      </x:c>
      <x:c r="J1489" s="52" t="n">
        <x:v>0.5400460998428186</x:v>
      </x:c>
      <x:c r="K1489" s="60" t="n">
        <x:v>1672.61</x:v>
      </x:c>
      <x:c r="L1489" s="60" t="n">
        <x:v>318.72</x:v>
      </x:c>
      <x:c r="M1489" s="50" t="n">
        <x:v>95</x:v>
      </x:c>
      <x:c r="N1489" s="50" t="n">
        <x:v>38</x:v>
      </x:c>
      <x:c r="O1489" s="50" t="n">
        <x:v>124</x:v>
      </x:c>
      <x:c r="P1489" s="50" t="n">
        <x:v>21</x:v>
      </x:c>
    </x:row>
    <x:row r="1490" ht="36" customHeight="1">
      <x:c r="A1490" s="53" t="n">
        <x:v>1471</x:v>
      </x:c>
      <x:c r="B1490" s="53" t="n">
        <x:v>3</x:v>
      </x:c>
      <x:c r="C1490" s="40" t="str">
        <x:v>Low-Value Low-Engagement Shoppers</x:v>
      </x:c>
      <x:c r="D1490" s="60" t="n">
        <x:v>486.72</x:v>
      </x:c>
      <x:c r="E1490" s="50" t="n">
        <x:v>32</x:v>
      </x:c>
      <x:c r="F1490" s="46" t="n">
        <x:v>1.777777777777778</x:v>
      </x:c>
      <x:c r="G1490" s="46" t="n">
        <x:v>44</x:v>
      </x:c>
      <x:c r="H1490" s="61" t="n">
        <x:v>15.21</x:v>
      </x:c>
      <x:c r="I1490" s="52" t="n">
        <x:v>0.78125</x:v>
      </x:c>
      <x:c r="J1490" s="52" t="n">
        <x:v>0.7546638724523339</x:v>
      </x:c>
      <x:c r="K1490" s="60" t="n">
        <x:v>431.31</x:v>
      </x:c>
      <x:c r="L1490" s="60" t="n">
        <x:v>55.41</x:v>
      </x:c>
      <x:c r="M1490" s="50" t="n">
        <x:v>25</x:v>
      </x:c>
      <x:c r="N1490" s="50" t="n">
        <x:v>7</x:v>
      </x:c>
      <x:c r="O1490" s="50" t="n">
        <x:v>32</x:v>
      </x:c>
      <x:c r="P1490" s="50" t="n">
        <x:v>18</x:v>
      </x:c>
    </x:row>
    <x:row r="1491" ht="36" customHeight="1">
      <x:c r="A1491" s="53" t="n">
        <x:v>1472</x:v>
      </x:c>
      <x:c r="B1491" s="53" t="n">
        <x:v>3</x:v>
      </x:c>
      <x:c r="C1491" s="40" t="str">
        <x:v>Low-Value Low-Engagement Shoppers</x:v>
      </x:c>
      <x:c r="D1491" s="60" t="n">
        <x:v>269.54</x:v>
      </x:c>
      <x:c r="E1491" s="50" t="n">
        <x:v>4</x:v>
      </x:c>
      <x:c r="F1491" s="46" t="n">
        <x:v>1.3333333333333333</x:v>
      </x:c>
      <x:c r="G1491" s="46" t="n">
        <x:v>294</x:v>
      </x:c>
      <x:c r="H1491" s="61" t="n">
        <x:v>67.385</x:v>
      </x:c>
      <x:c r="I1491" s="52" t="n">
        <x:v>0.75</x:v>
      </x:c>
      <x:c r="J1491" s="52" t="n">
        <x:v>0.7023818357201157</x:v>
      </x:c>
      <x:c r="K1491" s="60" t="n">
        <x:v>264.77</x:v>
      </x:c>
      <x:c r="L1491" s="60" t="n">
        <x:v>4.77</x:v>
      </x:c>
      <x:c r="M1491" s="50" t="n">
        <x:v>3</x:v>
      </x:c>
      <x:c r="N1491" s="50" t="n">
        <x:v>1</x:v>
      </x:c>
      <x:c r="O1491" s="50" t="n">
        <x:v>41</x:v>
      </x:c>
      <x:c r="P1491" s="50" t="n">
        <x:v>3</x:v>
      </x:c>
    </x:row>
    <x:row r="1492" ht="36" customHeight="1">
      <x:c r="A1492" s="53" t="n">
        <x:v>1473</x:v>
      </x:c>
      <x:c r="B1492" s="53" t="n">
        <x:v>1</x:v>
      </x:c>
      <x:c r="C1492" s="40" t="str">
        <x:v>High-Value Frequent Shoppers</x:v>
      </x:c>
      <x:c r="D1492" s="60" t="n">
        <x:v>4339.15</x:v>
      </x:c>
      <x:c r="E1492" s="50" t="n">
        <x:v>118</x:v>
      </x:c>
      <x:c r="F1492" s="46" t="n">
        <x:v>5.9</x:v>
      </x:c>
      <x:c r="G1492" s="46" t="n">
        <x:v>3</x:v>
      </x:c>
      <x:c r="H1492" s="61" t="n">
        <x:v>36.77245762711864</x:v>
      </x:c>
      <x:c r="I1492" s="52" t="n">
        <x:v>0.8813559322033898</x:v>
      </x:c>
      <x:c r="J1492" s="52" t="n">
        <x:v>0.3904243918739845</x:v>
      </x:c>
      <x:c r="K1492" s="60" t="n">
        <x:v>4212.98</x:v>
      </x:c>
      <x:c r="L1492" s="60" t="n">
        <x:v>126.17</x:v>
      </x:c>
      <x:c r="M1492" s="50" t="n">
        <x:v>104</x:v>
      </x:c>
      <x:c r="N1492" s="50" t="n">
        <x:v>14</x:v>
      </x:c>
      <x:c r="O1492" s="50" t="n">
        <x:v>171</x:v>
      </x:c>
      <x:c r="P1492" s="50" t="n">
        <x:v>20</x:v>
      </x:c>
    </x:row>
    <x:row r="1493" ht="36" customHeight="1">
      <x:c r="A1493" s="53" t="n">
        <x:v>1474</x:v>
      </x:c>
      <x:c r="B1493" s="53" t="n">
        <x:v>2</x:v>
      </x:c>
      <x:c r="C1493" s="40" t="str">
        <x:v>Large-Basket Occasional Shoppers</x:v>
      </x:c>
      <x:c r="D1493" s="60" t="n">
        <x:v>2445.87</x:v>
      </x:c>
      <x:c r="E1493" s="50" t="n">
        <x:v>71</x:v>
      </x:c>
      <x:c r="F1493" s="46" t="n">
        <x:v>3.9444444444444446</x:v>
      </x:c>
      <x:c r="G1493" s="46" t="n">
        <x:v>4</x:v>
      </x:c>
      <x:c r="H1493" s="61" t="n">
        <x:v>34.448873239436615</x:v>
      </x:c>
      <x:c r="I1493" s="52" t="n">
        <x:v>0.9718309859154928</x:v>
      </x:c>
      <x:c r="J1493" s="52" t="n">
        <x:v>0.5301303830538826</x:v>
      </x:c>
      <x:c r="K1493" s="60" t="n">
        <x:v>2402.33</x:v>
      </x:c>
      <x:c r="L1493" s="60" t="n">
        <x:v>43.54</x:v>
      </x:c>
      <x:c r="M1493" s="50" t="n">
        <x:v>69</x:v>
      </x:c>
      <x:c r="N1493" s="50" t="n">
        <x:v>2</x:v>
      </x:c>
      <x:c r="O1493" s="50" t="n">
        <x:v>110</x:v>
      </x:c>
      <x:c r="P1493" s="50" t="n">
        <x:v>18</x:v>
      </x:c>
    </x:row>
    <x:row r="1494" ht="36" customHeight="1">
      <x:c r="A1494" s="53" t="n">
        <x:v>1475</x:v>
      </x:c>
      <x:c r="B1494" s="53" t="n">
        <x:v>1</x:v>
      </x:c>
      <x:c r="C1494" s="40" t="str">
        <x:v>High-Value Frequent Shoppers</x:v>
      </x:c>
      <x:c r="D1494" s="60" t="n">
        <x:v>14855.21</x:v>
      </x:c>
      <x:c r="E1494" s="50" t="n">
        <x:v>339</x:v>
      </x:c>
      <x:c r="F1494" s="46" t="n">
        <x:v>16.142857142857142</x:v>
      </x:c>
      <x:c r="G1494" s="46" t="n">
        <x:v>1</x:v>
      </x:c>
      <x:c r="H1494" s="61" t="n">
        <x:v>43.82067846607669</x:v>
      </x:c>
      <x:c r="I1494" s="52" t="n">
        <x:v>0.8230088495575221</x:v>
      </x:c>
      <x:c r="J1494" s="52" t="n">
        <x:v>0.5332829357511607</x:v>
      </x:c>
      <x:c r="K1494" s="60" t="n">
        <x:v>14193.05</x:v>
      </x:c>
      <x:c r="L1494" s="60" t="n">
        <x:v>662.16</x:v>
      </x:c>
      <x:c r="M1494" s="50" t="n">
        <x:v>279</x:v>
      </x:c>
      <x:c r="N1494" s="50" t="n">
        <x:v>60</x:v>
      </x:c>
      <x:c r="O1494" s="50" t="n">
        <x:v>169</x:v>
      </x:c>
      <x:c r="P1494" s="50" t="n">
        <x:v>21</x:v>
      </x:c>
    </x:row>
    <x:row r="1495" ht="36" customHeight="1">
      <x:c r="A1495" s="53" t="n">
        <x:v>1476</x:v>
      </x:c>
      <x:c r="B1495" s="53" t="n">
        <x:v>1</x:v>
      </x:c>
      <x:c r="C1495" s="40" t="str">
        <x:v>High-Value Frequent Shoppers</x:v>
      </x:c>
      <x:c r="D1495" s="60" t="n">
        <x:v>9481.75</x:v>
      </x:c>
      <x:c r="E1495" s="50" t="n">
        <x:v>356</x:v>
      </x:c>
      <x:c r="F1495" s="46" t="n">
        <x:v>15.478260869565217</x:v>
      </x:c>
      <x:c r="G1495" s="46" t="n">
        <x:v>1</x:v>
      </x:c>
      <x:c r="H1495" s="61" t="n">
        <x:v>26.634129213483146</x:v>
      </x:c>
      <x:c r="I1495" s="52" t="n">
        <x:v>0.896067415730337</x:v>
      </x:c>
      <x:c r="J1495" s="52" t="n">
        <x:v>0.6091322804334642</x:v>
      </x:c>
      <x:c r="K1495" s="60" t="n">
        <x:v>9001.04</x:v>
      </x:c>
      <x:c r="L1495" s="60" t="n">
        <x:v>480.71</x:v>
      </x:c>
      <x:c r="M1495" s="50" t="n">
        <x:v>319</x:v>
      </x:c>
      <x:c r="N1495" s="50" t="n">
        <x:v>37</x:v>
      </x:c>
      <x:c r="O1495" s="50" t="n">
        <x:v>133</x:v>
      </x:c>
      <x:c r="P1495" s="50" t="n">
        <x:v>23</x:v>
      </x:c>
    </x:row>
    <x:row r="1496" ht="36" customHeight="1">
      <x:c r="A1496" s="53" t="n">
        <x:v>1477</x:v>
      </x:c>
      <x:c r="B1496" s="53" t="n">
        <x:v>3</x:v>
      </x:c>
      <x:c r="C1496" s="40" t="str">
        <x:v>Low-Value Low-Engagement Shoppers</x:v>
      </x:c>
      <x:c r="D1496" s="60" t="n">
        <x:v>279.2</x:v>
      </x:c>
      <x:c r="E1496" s="50" t="n">
        <x:v>15</x:v>
      </x:c>
      <x:c r="F1496" s="46" t="n">
        <x:v>1.3636363636363635</x:v>
      </x:c>
      <x:c r="G1496" s="46" t="n">
        <x:v>50</x:v>
      </x:c>
      <x:c r="H1496" s="61" t="n">
        <x:v>18.613333333333333</x:v>
      </x:c>
      <x:c r="I1496" s="52" t="n">
        <x:v>0.8666666666666666</x:v>
      </x:c>
      <x:c r="J1496" s="52" t="n">
        <x:v>0.4535816618911174</x:v>
      </x:c>
      <x:c r="K1496" s="60" t="n">
        <x:v>270.22</x:v>
      </x:c>
      <x:c r="L1496" s="60" t="n">
        <x:v>8.98</x:v>
      </x:c>
      <x:c r="M1496" s="50" t="n">
        <x:v>13</x:v>
      </x:c>
      <x:c r="N1496" s="50" t="n">
        <x:v>2</x:v>
      </x:c>
      <x:c r="O1496" s="50" t="n">
        <x:v>35</x:v>
      </x:c>
      <x:c r="P1496" s="50" t="n">
        <x:v>11</x:v>
      </x:c>
    </x:row>
    <x:row r="1497" ht="36" customHeight="1">
      <x:c r="A1497" s="53" t="n">
        <x:v>1478</x:v>
      </x:c>
      <x:c r="B1497" s="53" t="n">
        <x:v>3</x:v>
      </x:c>
      <x:c r="C1497" s="40" t="str">
        <x:v>Low-Value Low-Engagement Shoppers</x:v>
      </x:c>
      <x:c r="D1497" s="60" t="n">
        <x:v>88.59</x:v>
      </x:c>
      <x:c r="E1497" s="50" t="n">
        <x:v>6</x:v>
      </x:c>
      <x:c r="F1497" s="46" t="n">
        <x:v>1.2</x:v>
      </x:c>
      <x:c r="G1497" s="46" t="n">
        <x:v>198</x:v>
      </x:c>
      <x:c r="H1497" s="61" t="n">
        <x:v>14.765</x:v>
      </x:c>
      <x:c r="I1497" s="52" t="n">
        <x:v>0.8333333333333333</x:v>
      </x:c>
      <x:c r="J1497" s="52" t="n">
        <x:v>0.7243481205553673</x:v>
      </x:c>
      <x:c r="K1497" s="60" t="n">
        <x:v>82.01</x:v>
      </x:c>
      <x:c r="L1497" s="60" t="n">
        <x:v>6.58</x:v>
      </x:c>
      <x:c r="M1497" s="50" t="n">
        <x:v>5</x:v>
      </x:c>
      <x:c r="N1497" s="50" t="n">
        <x:v>1</x:v>
      </x:c>
      <x:c r="O1497" s="50" t="n">
        <x:v>19</x:v>
      </x:c>
      <x:c r="P1497" s="50" t="n">
        <x:v>5</x:v>
      </x:c>
    </x:row>
    <x:row r="1498" ht="36" customHeight="1">
      <x:c r="A1498" s="53" t="n">
        <x:v>1479</x:v>
      </x:c>
      <x:c r="B1498" s="53" t="n">
        <x:v>1</x:v>
      </x:c>
      <x:c r="C1498" s="40" t="str">
        <x:v>High-Value Frequent Shoppers</x:v>
      </x:c>
      <x:c r="D1498" s="60" t="n">
        <x:v>9129.23</x:v>
      </x:c>
      <x:c r="E1498" s="50" t="n">
        <x:v>716</x:v>
      </x:c>
      <x:c r="F1498" s="46" t="n">
        <x:v>29.83333333333333</x:v>
      </x:c>
      <x:c r="G1498" s="46" t="n">
        <x:v>2</x:v>
      </x:c>
      <x:c r="H1498" s="61" t="n">
        <x:v>12.75032122905028</x:v>
      </x:c>
      <x:c r="I1498" s="52" t="n">
        <x:v>0.7192737430167597</x:v>
      </x:c>
      <x:c r="J1498" s="52" t="n">
        <x:v>0.3763022730285029</x:v>
      </x:c>
      <x:c r="K1498" s="60" t="n">
        <x:v>7552.71</x:v>
      </x:c>
      <x:c r="L1498" s="60" t="n">
        <x:v>1576.52</x:v>
      </x:c>
      <x:c r="M1498" s="50" t="n">
        <x:v>515</x:v>
      </x:c>
      <x:c r="N1498" s="50" t="n">
        <x:v>201</x:v>
      </x:c>
      <x:c r="O1498" s="50" t="n">
        <x:v>196</x:v>
      </x:c>
      <x:c r="P1498" s="50" t="n">
        <x:v>24</x:v>
      </x:c>
    </x:row>
    <x:row r="1499" ht="36" customHeight="1">
      <x:c r="A1499" s="53" t="n">
        <x:v>1480</x:v>
      </x:c>
      <x:c r="B1499" s="53" t="n">
        <x:v>3</x:v>
      </x:c>
      <x:c r="C1499" s="40" t="str">
        <x:v>Low-Value Low-Engagement Shoppers</x:v>
      </x:c>
      <x:c r="D1499" s="60" t="n">
        <x:v>152.21</x:v>
      </x:c>
      <x:c r="E1499" s="50" t="n">
        <x:v>26</x:v>
      </x:c>
      <x:c r="F1499" s="46" t="n">
        <x:v>1.8571428571428568</x:v>
      </x:c>
      <x:c r="G1499" s="46" t="n">
        <x:v>43</x:v>
      </x:c>
      <x:c r="H1499" s="61" t="n">
        <x:v>5.854230769230769</x:v>
      </x:c>
      <x:c r="I1499" s="52" t="n">
        <x:v>0.9615384615384616</x:v>
      </x:c>
      <x:c r="J1499" s="52" t="n">
        <x:v>0.7616450955916167</x:v>
      </x:c>
      <x:c r="K1499" s="60" t="n">
        <x:v>145.22</x:v>
      </x:c>
      <x:c r="L1499" s="60" t="n">
        <x:v>6.99</x:v>
      </x:c>
      <x:c r="M1499" s="50" t="n">
        <x:v>25</x:v>
      </x:c>
      <x:c r="N1499" s="50" t="n">
        <x:v>1</x:v>
      </x:c>
      <x:c r="O1499" s="50" t="n">
        <x:v>12</x:v>
      </x:c>
      <x:c r="P1499" s="50" t="n">
        <x:v>14</x:v>
      </x:c>
    </x:row>
    <x:row r="1500" ht="36" customHeight="1">
      <x:c r="A1500" s="53" t="n">
        <x:v>1481</x:v>
      </x:c>
      <x:c r="B1500" s="53" t="n">
        <x:v>1</x:v>
      </x:c>
      <x:c r="C1500" s="40" t="str">
        <x:v>High-Value Frequent Shoppers</x:v>
      </x:c>
      <x:c r="D1500" s="60" t="n">
        <x:v>3298.77</x:v>
      </x:c>
      <x:c r="E1500" s="50" t="n">
        <x:v>164</x:v>
      </x:c>
      <x:c r="F1500" s="46" t="n">
        <x:v>7.454545454545454</x:v>
      </x:c>
      <x:c r="G1500" s="46" t="n">
        <x:v>3</x:v>
      </x:c>
      <x:c r="H1500" s="61" t="n">
        <x:v>20.1144512195122</x:v>
      </x:c>
      <x:c r="I1500" s="52" t="n">
        <x:v>0.7926829268292682</x:v>
      </x:c>
      <x:c r="J1500" s="52" t="n">
        <x:v>0.4810884056784801</x:v>
      </x:c>
      <x:c r="K1500" s="60" t="n">
        <x:v>2894.76</x:v>
      </x:c>
      <x:c r="L1500" s="60" t="n">
        <x:v>404.01</x:v>
      </x:c>
      <x:c r="M1500" s="50" t="n">
        <x:v>130</x:v>
      </x:c>
      <x:c r="N1500" s="50" t="n">
        <x:v>34</x:v>
      </x:c>
      <x:c r="O1500" s="50" t="n">
        <x:v>159</x:v>
      </x:c>
      <x:c r="P1500" s="50" t="n">
        <x:v>22</x:v>
      </x:c>
    </x:row>
    <x:row r="1501" ht="36" customHeight="1">
      <x:c r="A1501" s="53" t="n">
        <x:v>1482</x:v>
      </x:c>
      <x:c r="B1501" s="53" t="n">
        <x:v>2</x:v>
      </x:c>
      <x:c r="C1501" s="40" t="str">
        <x:v>Large-Basket Occasional Shoppers</x:v>
      </x:c>
      <x:c r="D1501" s="60" t="n">
        <x:v>1042.35</x:v>
      </x:c>
      <x:c r="E1501" s="50" t="n">
        <x:v>18</x:v>
      </x:c>
      <x:c r="F1501" s="46" t="n">
        <x:v>1.6363636363636365</x:v>
      </x:c>
      <x:c r="G1501" s="46" t="n">
        <x:v>116</x:v>
      </x:c>
      <x:c r="H1501" s="61" t="n">
        <x:v>57.90833333333333</x:v>
      </x:c>
      <x:c r="I1501" s="52" t="n">
        <x:v>0.9444444444444444</x:v>
      </x:c>
      <x:c r="J1501" s="52" t="n">
        <x:v>0.5788362833980908</x:v>
      </x:c>
      <x:c r="K1501" s="60" t="n">
        <x:v>1041.06</x:v>
      </x:c>
      <x:c r="L1501" s="60" t="n">
        <x:v>1.29</x:v>
      </x:c>
      <x:c r="M1501" s="50" t="n">
        <x:v>17</x:v>
      </x:c>
      <x:c r="N1501" s="50" t="n">
        <x:v>1</x:v>
      </x:c>
      <x:c r="O1501" s="50" t="n">
        <x:v>108</x:v>
      </x:c>
      <x:c r="P1501" s="50" t="n">
        <x:v>11</x:v>
      </x:c>
    </x:row>
    <x:row r="1502" ht="36" customHeight="1">
      <x:c r="A1502" s="53" t="n">
        <x:v>1483</x:v>
      </x:c>
      <x:c r="B1502" s="53" t="n">
        <x:v>1</x:v>
      </x:c>
      <x:c r="C1502" s="40" t="str">
        <x:v>High-Value Frequent Shoppers</x:v>
      </x:c>
      <x:c r="D1502" s="60" t="n">
        <x:v>4725.27</x:v>
      </x:c>
      <x:c r="E1502" s="50" t="n">
        <x:v>112</x:v>
      </x:c>
      <x:c r="F1502" s="46" t="n">
        <x:v>4.666666666666666</x:v>
      </x:c>
      <x:c r="G1502" s="46" t="n">
        <x:v>0</x:v>
      </x:c>
      <x:c r="H1502" s="61" t="n">
        <x:v>42.18991071428571</x:v>
      </x:c>
      <x:c r="I1502" s="52" t="n">
        <x:v>0.9375</x:v>
      </x:c>
      <x:c r="J1502" s="52" t="n">
        <x:v>0.5460111274064762</x:v>
      </x:c>
      <x:c r="K1502" s="60" t="n">
        <x:v>4650.02</x:v>
      </x:c>
      <x:c r="L1502" s="60" t="n">
        <x:v>75.25</x:v>
      </x:c>
      <x:c r="M1502" s="50" t="n">
        <x:v>105</x:v>
      </x:c>
      <x:c r="N1502" s="50" t="n">
        <x:v>7</x:v>
      </x:c>
      <x:c r="O1502" s="50" t="n">
        <x:v>150</x:v>
      </x:c>
      <x:c r="P1502" s="50" t="n">
        <x:v>24</x:v>
      </x:c>
    </x:row>
    <x:row r="1503" ht="36" customHeight="1">
      <x:c r="A1503" s="53" t="n">
        <x:v>1484</x:v>
      </x:c>
      <x:c r="B1503" s="53" t="n">
        <x:v>1</x:v>
      </x:c>
      <x:c r="C1503" s="40" t="str">
        <x:v>High-Value Frequent Shoppers</x:v>
      </x:c>
      <x:c r="D1503" s="60" t="n">
        <x:v>3209.39</x:v>
      </x:c>
      <x:c r="E1503" s="50" t="n">
        <x:v>106</x:v>
      </x:c>
      <x:c r="F1503" s="46" t="n">
        <x:v>5.047619047619048</x:v>
      </x:c>
      <x:c r="G1503" s="46" t="n">
        <x:v>3</x:v>
      </x:c>
      <x:c r="H1503" s="61" t="n">
        <x:v>30.2772641509434</x:v>
      </x:c>
      <x:c r="I1503" s="52" t="n">
        <x:v>0.8867924528301886</x:v>
      </x:c>
      <x:c r="J1503" s="52" t="n">
        <x:v>0.4801628969991182</x:v>
      </x:c>
      <x:c r="K1503" s="60" t="n">
        <x:v>3128.53</x:v>
      </x:c>
      <x:c r="L1503" s="60" t="n">
        <x:v>80.86</x:v>
      </x:c>
      <x:c r="M1503" s="50" t="n">
        <x:v>94</x:v>
      </x:c>
      <x:c r="N1503" s="50" t="n">
        <x:v>12</x:v>
      </x:c>
      <x:c r="O1503" s="50" t="n">
        <x:v>154</x:v>
      </x:c>
      <x:c r="P1503" s="50" t="n">
        <x:v>21</x:v>
      </x:c>
    </x:row>
    <x:row r="1504" ht="36" customHeight="1">
      <x:c r="A1504" s="53" t="n">
        <x:v>1485</x:v>
      </x:c>
      <x:c r="B1504" s="53" t="n">
        <x:v>2</x:v>
      </x:c>
      <x:c r="C1504" s="40" t="str">
        <x:v>Large-Basket Occasional Shoppers</x:v>
      </x:c>
      <x:c r="D1504" s="60" t="n">
        <x:v>2187.88</x:v>
      </x:c>
      <x:c r="E1504" s="50" t="n">
        <x:v>66</x:v>
      </x:c>
      <x:c r="F1504" s="46" t="n">
        <x:v>3</x:v>
      </x:c>
      <x:c r="G1504" s="46" t="n">
        <x:v>15</x:v>
      </x:c>
      <x:c r="H1504" s="61" t="n">
        <x:v>33.14969696969697</x:v>
      </x:c>
      <x:c r="I1504" s="52" t="n">
        <x:v>0.6515151515151515</x:v>
      </x:c>
      <x:c r="J1504" s="52" t="n">
        <x:v>0.2729354443570945</x:v>
      </x:c>
      <x:c r="K1504" s="60" t="n">
        <x:v>1755.24</x:v>
      </x:c>
      <x:c r="L1504" s="60" t="n">
        <x:v>432.64</x:v>
      </x:c>
      <x:c r="M1504" s="50" t="n">
        <x:v>43</x:v>
      </x:c>
      <x:c r="N1504" s="50" t="n">
        <x:v>23</x:v>
      </x:c>
      <x:c r="O1504" s="50" t="n">
        <x:v>116</x:v>
      </x:c>
      <x:c r="P1504" s="50" t="n">
        <x:v>22</x:v>
      </x:c>
    </x:row>
    <x:row r="1505" ht="36" customHeight="1">
      <x:c r="A1505" s="53" t="n">
        <x:v>1486</x:v>
      </x:c>
      <x:c r="B1505" s="53" t="n">
        <x:v>2</x:v>
      </x:c>
      <x:c r="C1505" s="40" t="str">
        <x:v>Large-Basket Occasional Shoppers</x:v>
      </x:c>
      <x:c r="D1505" s="60" t="n">
        <x:v>548.32</x:v>
      </x:c>
      <x:c r="E1505" s="50" t="n">
        <x:v>14</x:v>
      </x:c>
      <x:c r="F1505" s="46" t="n">
        <x:v>1.4</x:v>
      </x:c>
      <x:c r="G1505" s="46" t="n">
        <x:v>13</x:v>
      </x:c>
      <x:c r="H1505" s="61" t="n">
        <x:v>39.16571428571429</x:v>
      </x:c>
      <x:c r="I1505" s="52" t="n">
        <x:v>0.9285714285714284</x:v>
      </x:c>
      <x:c r="J1505" s="52" t="n">
        <x:v>0.3293332360665304</x:v>
      </x:c>
      <x:c r="K1505" s="60" t="n">
        <x:v>531.33</x:v>
      </x:c>
      <x:c r="L1505" s="60" t="n">
        <x:v>16.99</x:v>
      </x:c>
      <x:c r="M1505" s="50" t="n">
        <x:v>13</x:v>
      </x:c>
      <x:c r="N1505" s="50" t="n">
        <x:v>1</x:v>
      </x:c>
      <x:c r="O1505" s="50" t="n">
        <x:v>55</x:v>
      </x:c>
      <x:c r="P1505" s="50" t="n">
        <x:v>10</x:v>
      </x:c>
    </x:row>
    <x:row r="1506" ht="36" customHeight="1">
      <x:c r="A1506" s="53" t="n">
        <x:v>1487</x:v>
      </x:c>
      <x:c r="B1506" s="53" t="n">
        <x:v>2</x:v>
      </x:c>
      <x:c r="C1506" s="40" t="str">
        <x:v>Large-Basket Occasional Shoppers</x:v>
      </x:c>
      <x:c r="D1506" s="60" t="n">
        <x:v>1471.28</x:v>
      </x:c>
      <x:c r="E1506" s="50" t="n">
        <x:v>38</x:v>
      </x:c>
      <x:c r="F1506" s="46" t="n">
        <x:v>3.8</x:v>
      </x:c>
      <x:c r="G1506" s="46" t="n">
        <x:v>7</x:v>
      </x:c>
      <x:c r="H1506" s="61" t="n">
        <x:v>38.717894736842105</x:v>
      </x:c>
      <x:c r="I1506" s="52" t="n">
        <x:v>0.9210526315789472</x:v>
      </x:c>
      <x:c r="J1506" s="52" t="n">
        <x:v>0.3754146049698221</x:v>
      </x:c>
      <x:c r="K1506" s="60" t="n">
        <x:v>1439.53</x:v>
      </x:c>
      <x:c r="L1506" s="60" t="n">
        <x:v>31.75</x:v>
      </x:c>
      <x:c r="M1506" s="50" t="n">
        <x:v>35</x:v>
      </x:c>
      <x:c r="N1506" s="50" t="n">
        <x:v>3</x:v>
      </x:c>
      <x:c r="O1506" s="50" t="n">
        <x:v>112</x:v>
      </x:c>
      <x:c r="P1506" s="50" t="n">
        <x:v>10</x:v>
      </x:c>
    </x:row>
    <x:row r="1507" ht="36" customHeight="1">
      <x:c r="A1507" s="53" t="n">
        <x:v>1488</x:v>
      </x:c>
      <x:c r="B1507" s="53" t="n">
        <x:v>2</x:v>
      </x:c>
      <x:c r="C1507" s="40" t="str">
        <x:v>Large-Basket Occasional Shoppers</x:v>
      </x:c>
      <x:c r="D1507" s="60" t="n">
        <x:v>3246.92</x:v>
      </x:c>
      <x:c r="E1507" s="50" t="n">
        <x:v>76</x:v>
      </x:c>
      <x:c r="F1507" s="46" t="n">
        <x:v>4</x:v>
      </x:c>
      <x:c r="G1507" s="46" t="n">
        <x:v>19</x:v>
      </x:c>
      <x:c r="H1507" s="61" t="n">
        <x:v>42.722631578947365</x:v>
      </x:c>
      <x:c r="I1507" s="52" t="n">
        <x:v>0.9078947368421052</x:v>
      </x:c>
      <x:c r="J1507" s="52" t="n">
        <x:v>0.567011198304855</x:v>
      </x:c>
      <x:c r="K1507" s="60" t="n">
        <x:v>3143.55</x:v>
      </x:c>
      <x:c r="L1507" s="60" t="n">
        <x:v>103.37</x:v>
      </x:c>
      <x:c r="M1507" s="50" t="n">
        <x:v>69</x:v>
      </x:c>
      <x:c r="N1507" s="50" t="n">
        <x:v>7</x:v>
      </x:c>
      <x:c r="O1507" s="50" t="n">
        <x:v>152</x:v>
      </x:c>
      <x:c r="P1507" s="50" t="n">
        <x:v>19</x:v>
      </x:c>
    </x:row>
    <x:row r="1508" ht="36" customHeight="1">
      <x:c r="A1508" s="53" t="n">
        <x:v>1489</x:v>
      </x:c>
      <x:c r="B1508" s="53" t="n">
        <x:v>1</x:v>
      </x:c>
      <x:c r="C1508" s="40" t="str">
        <x:v>High-Value Frequent Shoppers</x:v>
      </x:c>
      <x:c r="D1508" s="60" t="n">
        <x:v>17251.53</x:v>
      </x:c>
      <x:c r="E1508" s="50" t="n">
        <x:v>536</x:v>
      </x:c>
      <x:c r="F1508" s="46" t="n">
        <x:v>24.363636363636363</x:v>
      </x:c>
      <x:c r="G1508" s="46" t="n">
        <x:v>1</x:v>
      </x:c>
      <x:c r="H1508" s="61" t="n">
        <x:v>32.18569029850747</x:v>
      </x:c>
      <x:c r="I1508" s="52" t="n">
        <x:v>0.8861940298507462</x:v>
      </x:c>
      <x:c r="J1508" s="52" t="n">
        <x:v>0.6207843594162372</x:v>
      </x:c>
      <x:c r="K1508" s="60" t="n">
        <x:v>16656.92</x:v>
      </x:c>
      <x:c r="L1508" s="60" t="n">
        <x:v>594.61</x:v>
      </x:c>
      <x:c r="M1508" s="50" t="n">
        <x:v>475</x:v>
      </x:c>
      <x:c r="N1508" s="50" t="n">
        <x:v>61</x:v>
      </x:c>
      <x:c r="O1508" s="50" t="n">
        <x:v>199</x:v>
      </x:c>
      <x:c r="P1508" s="50" t="n">
        <x:v>22</x:v>
      </x:c>
    </x:row>
    <x:row r="1509" ht="36" customHeight="1">
      <x:c r="A1509" s="53" t="n">
        <x:v>1490</x:v>
      </x:c>
      <x:c r="B1509" s="53" t="n">
        <x:v>1</x:v>
      </x:c>
      <x:c r="C1509" s="40" t="str">
        <x:v>High-Value Frequent Shoppers</x:v>
      </x:c>
      <x:c r="D1509" s="60" t="n">
        <x:v>5064.7</x:v>
      </x:c>
      <x:c r="E1509" s="50" t="n">
        <x:v>208</x:v>
      </x:c>
      <x:c r="F1509" s="46" t="n">
        <x:v>8.666666666666666</x:v>
      </x:c>
      <x:c r="G1509" s="46" t="n">
        <x:v>2</x:v>
      </x:c>
      <x:c r="H1509" s="61" t="n">
        <x:v>24.349519230769232</x:v>
      </x:c>
      <x:c r="I1509" s="52" t="n">
        <x:v>0.923076923076923</x:v>
      </x:c>
      <x:c r="J1509" s="52" t="n">
        <x:v>0.6370604379331452</x:v>
      </x:c>
      <x:c r="K1509" s="60" t="n">
        <x:v>4884.36</x:v>
      </x:c>
      <x:c r="L1509" s="60" t="n">
        <x:v>180.34</x:v>
      </x:c>
      <x:c r="M1509" s="50" t="n">
        <x:v>192</x:v>
      </x:c>
      <x:c r="N1509" s="50" t="n">
        <x:v>16</x:v>
      </x:c>
      <x:c r="O1509" s="50" t="n">
        <x:v>129</x:v>
      </x:c>
      <x:c r="P1509" s="50" t="n">
        <x:v>24</x:v>
      </x:c>
    </x:row>
    <x:row r="1510" ht="36" customHeight="1">
      <x:c r="A1510" s="53" t="n">
        <x:v>1491</x:v>
      </x:c>
      <x:c r="B1510" s="53" t="n">
        <x:v>1</x:v>
      </x:c>
      <x:c r="C1510" s="40" t="str">
        <x:v>High-Value Frequent Shoppers</x:v>
      </x:c>
      <x:c r="D1510" s="60" t="n">
        <x:v>5635.97</x:v>
      </x:c>
      <x:c r="E1510" s="50" t="n">
        <x:v>289</x:v>
      </x:c>
      <x:c r="F1510" s="46" t="n">
        <x:v>13.136363636363637</x:v>
      </x:c>
      <x:c r="G1510" s="46" t="n">
        <x:v>1</x:v>
      </x:c>
      <x:c r="H1510" s="61" t="n">
        <x:v>19.50162629757785</x:v>
      </x:c>
      <x:c r="I1510" s="52" t="n">
        <x:v>0.8062283737024221</x:v>
      </x:c>
      <x:c r="J1510" s="52" t="n">
        <x:v>0.4083591644384196</x:v>
      </x:c>
      <x:c r="K1510" s="60" t="n">
        <x:v>5280.44</x:v>
      </x:c>
      <x:c r="L1510" s="60" t="n">
        <x:v>355.53</x:v>
      </x:c>
      <x:c r="M1510" s="50" t="n">
        <x:v>233</x:v>
      </x:c>
      <x:c r="N1510" s="50" t="n">
        <x:v>56</x:v>
      </x:c>
      <x:c r="O1510" s="50" t="n">
        <x:v>166</x:v>
      </x:c>
      <x:c r="P1510" s="50" t="n">
        <x:v>22</x:v>
      </x:c>
    </x:row>
    <x:row r="1511" ht="36" customHeight="1">
      <x:c r="A1511" s="53" t="n">
        <x:v>1492</x:v>
      </x:c>
      <x:c r="B1511" s="53" t="n">
        <x:v>2</x:v>
      </x:c>
      <x:c r="C1511" s="40" t="str">
        <x:v>Large-Basket Occasional Shoppers</x:v>
      </x:c>
      <x:c r="D1511" s="60" t="n">
        <x:v>1226.29</x:v>
      </x:c>
      <x:c r="E1511" s="50" t="n">
        <x:v>95</x:v>
      </x:c>
      <x:c r="F1511" s="46" t="n">
        <x:v>3.9583333333333326</x:v>
      </x:c>
      <x:c r="G1511" s="46" t="n">
        <x:v>2</x:v>
      </x:c>
      <x:c r="H1511" s="61" t="n">
        <x:v>12.908315789473685</x:v>
      </x:c>
      <x:c r="I1511" s="52" t="n">
        <x:v>0.8526315789473684</x:v>
      </x:c>
      <x:c r="J1511" s="52" t="n">
        <x:v>0.4198354385993525</x:v>
      </x:c>
      <x:c r="K1511" s="60" t="n">
        <x:v>1107.85</x:v>
      </x:c>
      <x:c r="L1511" s="60" t="n">
        <x:v>118.44</x:v>
      </x:c>
      <x:c r="M1511" s="50" t="n">
        <x:v>81</x:v>
      </x:c>
      <x:c r="N1511" s="50" t="n">
        <x:v>14</x:v>
      </x:c>
      <x:c r="O1511" s="50" t="n">
        <x:v>116</x:v>
      </x:c>
      <x:c r="P1511" s="50" t="n">
        <x:v>24</x:v>
      </x:c>
    </x:row>
    <x:row r="1512" ht="36" customHeight="1">
      <x:c r="A1512" s="53" t="n">
        <x:v>1493</x:v>
      </x:c>
      <x:c r="B1512" s="53" t="n">
        <x:v>2</x:v>
      </x:c>
      <x:c r="C1512" s="40" t="str">
        <x:v>Large-Basket Occasional Shoppers</x:v>
      </x:c>
      <x:c r="D1512" s="60" t="n">
        <x:v>943.13</x:v>
      </x:c>
      <x:c r="E1512" s="50" t="n">
        <x:v>25</x:v>
      </x:c>
      <x:c r="F1512" s="46" t="n">
        <x:v>1.6666666666666667</x:v>
      </x:c>
      <x:c r="G1512" s="46" t="n">
        <x:v>7</x:v>
      </x:c>
      <x:c r="H1512" s="61" t="n">
        <x:v>37.7252</x:v>
      </x:c>
      <x:c r="I1512" s="52" t="n">
        <x:v>0.96</x:v>
      </x:c>
      <x:c r="J1512" s="52" t="n">
        <x:v>0.6343770211953813</x:v>
      </x:c>
      <x:c r="K1512" s="60" t="n">
        <x:v>934.85</x:v>
      </x:c>
      <x:c r="L1512" s="60" t="n">
        <x:v>8.28</x:v>
      </x:c>
      <x:c r="M1512" s="50" t="n">
        <x:v>24</x:v>
      </x:c>
      <x:c r="N1512" s="50" t="n">
        <x:v>1</x:v>
      </x:c>
      <x:c r="O1512" s="50" t="n">
        <x:v>72</x:v>
      </x:c>
      <x:c r="P1512" s="50" t="n">
        <x:v>15</x:v>
      </x:c>
    </x:row>
    <x:row r="1513" ht="36" customHeight="1">
      <x:c r="A1513" s="53" t="n">
        <x:v>1494</x:v>
      </x:c>
      <x:c r="B1513" s="53" t="n">
        <x:v>2</x:v>
      </x:c>
      <x:c r="C1513" s="40" t="str">
        <x:v>Large-Basket Occasional Shoppers</x:v>
      </x:c>
      <x:c r="D1513" s="60" t="n">
        <x:v>2595.09</x:v>
      </x:c>
      <x:c r="E1513" s="50" t="n">
        <x:v>85</x:v>
      </x:c>
      <x:c r="F1513" s="46" t="n">
        <x:v>4.047619047619048</x:v>
      </x:c>
      <x:c r="G1513" s="46" t="n">
        <x:v>11</x:v>
      </x:c>
      <x:c r="H1513" s="61" t="n">
        <x:v>30.530470588235293</x:v>
      </x:c>
      <x:c r="I1513" s="52" t="n">
        <x:v>0.8235294117647058</x:v>
      </x:c>
      <x:c r="J1513" s="52" t="n">
        <x:v>0.3954313723223472</x:v>
      </x:c>
      <x:c r="K1513" s="60" t="n">
        <x:v>2532.98</x:v>
      </x:c>
      <x:c r="L1513" s="60" t="n">
        <x:v>62.11</x:v>
      </x:c>
      <x:c r="M1513" s="50" t="n">
        <x:v>70</x:v>
      </x:c>
      <x:c r="N1513" s="50" t="n">
        <x:v>15</x:v>
      </x:c>
      <x:c r="O1513" s="50" t="n">
        <x:v>121</x:v>
      </x:c>
      <x:c r="P1513" s="50" t="n">
        <x:v>21</x:v>
      </x:c>
    </x:row>
    <x:row r="1514" ht="36" customHeight="1">
      <x:c r="A1514" s="53" t="n">
        <x:v>1495</x:v>
      </x:c>
      <x:c r="B1514" s="53" t="n">
        <x:v>1</x:v>
      </x:c>
      <x:c r="C1514" s="40" t="str">
        <x:v>High-Value Frequent Shoppers</x:v>
      </x:c>
      <x:c r="D1514" s="60" t="n">
        <x:v>1779.86</x:v>
      </x:c>
      <x:c r="E1514" s="50" t="n">
        <x:v>165</x:v>
      </x:c>
      <x:c r="F1514" s="46" t="n">
        <x:v>7.5</x:v>
      </x:c>
      <x:c r="G1514" s="46" t="n">
        <x:v>7</x:v>
      </x:c>
      <x:c r="H1514" s="61" t="n">
        <x:v>10.787030303030305</x:v>
      </x:c>
      <x:c r="I1514" s="52" t="n">
        <x:v>0.8727272727272727</x:v>
      </x:c>
      <x:c r="J1514" s="52" t="n">
        <x:v>0.3375377838706415</x:v>
      </x:c>
      <x:c r="K1514" s="60" t="n">
        <x:v>1672.75</x:v>
      </x:c>
      <x:c r="L1514" s="60" t="n">
        <x:v>107.11</x:v>
      </x:c>
      <x:c r="M1514" s="50" t="n">
        <x:v>144</x:v>
      </x:c>
      <x:c r="N1514" s="50" t="n">
        <x:v>21</x:v>
      </x:c>
      <x:c r="O1514" s="50" t="n">
        <x:v>102</x:v>
      </x:c>
      <x:c r="P1514" s="50" t="n">
        <x:v>22</x:v>
      </x:c>
    </x:row>
    <x:row r="1515" ht="36" customHeight="1">
      <x:c r="A1515" s="53" t="n">
        <x:v>1496</x:v>
      </x:c>
      <x:c r="B1515" s="53" t="n">
        <x:v>2</x:v>
      </x:c>
      <x:c r="C1515" s="40" t="str">
        <x:v>Large-Basket Occasional Shoppers</x:v>
      </x:c>
      <x:c r="D1515" s="60" t="n">
        <x:v>852.95</x:v>
      </x:c>
      <x:c r="E1515" s="50" t="n">
        <x:v>12</x:v>
      </x:c>
      <x:c r="F1515" s="46" t="n">
        <x:v>1.7142857142857144</x:v>
      </x:c>
      <x:c r="G1515" s="46" t="n">
        <x:v>54</x:v>
      </x:c>
      <x:c r="H1515" s="61" t="n">
        <x:v>71.07916666666667</x:v>
      </x:c>
      <x:c r="I1515" s="52" t="n">
        <x:v>0.6666666666666666</x:v>
      </x:c>
      <x:c r="J1515" s="52" t="n">
        <x:v>0.3851222228735564</x:v>
      </x:c>
      <x:c r="K1515" s="60" t="n">
        <x:v>782.98</x:v>
      </x:c>
      <x:c r="L1515" s="60" t="n">
        <x:v>69.97</x:v>
      </x:c>
      <x:c r="M1515" s="50" t="n">
        <x:v>8</x:v>
      </x:c>
      <x:c r="N1515" s="50" t="n">
        <x:v>4</x:v>
      </x:c>
      <x:c r="O1515" s="50" t="n">
        <x:v>93</x:v>
      </x:c>
      <x:c r="P1515" s="50" t="n">
        <x:v>7</x:v>
      </x:c>
    </x:row>
    <x:row r="1516" ht="36" customHeight="1">
      <x:c r="A1516" s="53" t="n">
        <x:v>1497</x:v>
      </x:c>
      <x:c r="B1516" s="53" t="n">
        <x:v>2</x:v>
      </x:c>
      <x:c r="C1516" s="40" t="str">
        <x:v>Large-Basket Occasional Shoppers</x:v>
      </x:c>
      <x:c r="D1516" s="60" t="n">
        <x:v>527.3</x:v>
      </x:c>
      <x:c r="E1516" s="50" t="n">
        <x:v>9</x:v>
      </x:c>
      <x:c r="F1516" s="46" t="n">
        <x:v>1.2857142857142856</x:v>
      </x:c>
      <x:c r="G1516" s="46" t="n">
        <x:v>19</x:v>
      </x:c>
      <x:c r="H1516" s="61" t="n">
        <x:v>58.58888888888889</x:v>
      </x:c>
      <x:c r="I1516" s="52" t="n">
        <x:v>0.8888888888888888</x:v>
      </x:c>
      <x:c r="J1516" s="52" t="n">
        <x:v>0.3334724065996586</x:v>
      </x:c>
      <x:c r="K1516" s="60" t="n">
        <x:v>487.05</x:v>
      </x:c>
      <x:c r="L1516" s="60" t="n">
        <x:v>40.25</x:v>
      </x:c>
      <x:c r="M1516" s="50" t="n">
        <x:v>8</x:v>
      </x:c>
      <x:c r="N1516" s="50" t="n">
        <x:v>1</x:v>
      </x:c>
      <x:c r="O1516" s="50" t="n">
        <x:v>76</x:v>
      </x:c>
      <x:c r="P1516" s="50" t="n">
        <x:v>7</x:v>
      </x:c>
    </x:row>
    <x:row r="1517" ht="36" customHeight="1">
      <x:c r="A1517" s="53" t="n">
        <x:v>1498</x:v>
      </x:c>
      <x:c r="B1517" s="53" t="n">
        <x:v>2</x:v>
      </x:c>
      <x:c r="C1517" s="40" t="str">
        <x:v>Large-Basket Occasional Shoppers</x:v>
      </x:c>
      <x:c r="D1517" s="60" t="n">
        <x:v>960.18</x:v>
      </x:c>
      <x:c r="E1517" s="50" t="n">
        <x:v>26</x:v>
      </x:c>
      <x:c r="F1517" s="46" t="n">
        <x:v>1.5294117647058825</x:v>
      </x:c>
      <x:c r="G1517" s="46" t="n">
        <x:v>53</x:v>
      </x:c>
      <x:c r="H1517" s="61" t="n">
        <x:v>36.93</x:v>
      </x:c>
      <x:c r="I1517" s="52" t="n">
        <x:v>1</x:v>
      </x:c>
      <x:c r="J1517" s="52" t="n">
        <x:v>0.395550834218584</x:v>
      </x:c>
      <x:c r="K1517" s="60" t="n">
        <x:v>960.18</x:v>
      </x:c>
      <x:c r="L1517" s="60" t="n">
        <x:v>0</x:v>
      </x:c>
      <x:c r="M1517" s="50" t="n">
        <x:v>26</x:v>
      </x:c>
      <x:c r="N1517" s="50" t="n">
        <x:v>0</x:v>
      </x:c>
      <x:c r="O1517" s="50" t="n">
        <x:v>93</x:v>
      </x:c>
      <x:c r="P1517" s="50" t="n">
        <x:v>17</x:v>
      </x:c>
    </x:row>
    <x:row r="1518" ht="36" customHeight="1">
      <x:c r="A1518" s="53" t="n">
        <x:v>1499</x:v>
      </x:c>
      <x:c r="B1518" s="53" t="n">
        <x:v>1</x:v>
      </x:c>
      <x:c r="C1518" s="40" t="str">
        <x:v>High-Value Frequent Shoppers</x:v>
      </x:c>
      <x:c r="D1518" s="60" t="n">
        <x:v>2106.09</x:v>
      </x:c>
      <x:c r="E1518" s="50" t="n">
        <x:v>88</x:v>
      </x:c>
      <x:c r="F1518" s="46" t="n">
        <x:v>4.190476190476192</x:v>
      </x:c>
      <x:c r="G1518" s="46" t="n">
        <x:v>0</x:v>
      </x:c>
      <x:c r="H1518" s="61" t="n">
        <x:v>23.93284090909091</x:v>
      </x:c>
      <x:c r="I1518" s="52" t="n">
        <x:v>0.8863636363636364</x:v>
      </x:c>
      <x:c r="J1518" s="52" t="n">
        <x:v>0.5752175832941612</x:v>
      </x:c>
      <x:c r="K1518" s="60" t="n">
        <x:v>1998.68</x:v>
      </x:c>
      <x:c r="L1518" s="60" t="n">
        <x:v>107.41</x:v>
      </x:c>
      <x:c r="M1518" s="50" t="n">
        <x:v>78</x:v>
      </x:c>
      <x:c r="N1518" s="50" t="n">
        <x:v>10</x:v>
      </x:c>
      <x:c r="O1518" s="50" t="n">
        <x:v>107</x:v>
      </x:c>
      <x:c r="P1518" s="50" t="n">
        <x:v>21</x:v>
      </x:c>
    </x:row>
    <x:row r="1519" ht="36" customHeight="1">
      <x:c r="A1519" s="53" t="n">
        <x:v>1500</x:v>
      </x:c>
      <x:c r="B1519" s="53" t="n">
        <x:v>3</x:v>
      </x:c>
      <x:c r="C1519" s="40" t="str">
        <x:v>Low-Value Low-Engagement Shoppers</x:v>
      </x:c>
      <x:c r="D1519" s="60" t="n">
        <x:v>1051.12</x:v>
      </x:c>
      <x:c r="E1519" s="50" t="n">
        <x:v>54</x:v>
      </x:c>
      <x:c r="F1519" s="46" t="n">
        <x:v>3.6</x:v>
      </x:c>
      <x:c r="G1519" s="46" t="n">
        <x:v>14</x:v>
      </x:c>
      <x:c r="H1519" s="61" t="n">
        <x:v>19.465185185185184</x:v>
      </x:c>
      <x:c r="I1519" s="52" t="n">
        <x:v>0.7592592592592592</x:v>
      </x:c>
      <x:c r="J1519" s="52" t="n">
        <x:v>0.4270397290509171</x:v>
      </x:c>
      <x:c r="K1519" s="60" t="n">
        <x:v>919.66</x:v>
      </x:c>
      <x:c r="L1519" s="60" t="n">
        <x:v>131.46</x:v>
      </x:c>
      <x:c r="M1519" s="50" t="n">
        <x:v>41</x:v>
      </x:c>
      <x:c r="N1519" s="50" t="n">
        <x:v>13</x:v>
      </x:c>
      <x:c r="O1519" s="50" t="n">
        <x:v>100</x:v>
      </x:c>
      <x:c r="P1519" s="50" t="n">
        <x:v>15</x:v>
      </x:c>
    </x:row>
    <x:row r="1520" ht="36" customHeight="1">
      <x:c r="A1520" s="53" t="n">
        <x:v>1501</x:v>
      </x:c>
      <x:c r="B1520" s="53" t="n">
        <x:v>1</x:v>
      </x:c>
      <x:c r="C1520" s="40" t="str">
        <x:v>High-Value Frequent Shoppers</x:v>
      </x:c>
      <x:c r="D1520" s="60" t="n">
        <x:v>8490.73</x:v>
      </x:c>
      <x:c r="E1520" s="50" t="n">
        <x:v>205</x:v>
      </x:c>
      <x:c r="F1520" s="46" t="n">
        <x:v>9.76190476190476</x:v>
      </x:c>
      <x:c r="G1520" s="46" t="n">
        <x:v>10</x:v>
      </x:c>
      <x:c r="H1520" s="61" t="n">
        <x:v>41.418195121951214</x:v>
      </x:c>
      <x:c r="I1520" s="52" t="n">
        <x:v>0.9170731707317072</x:v>
      </x:c>
      <x:c r="J1520" s="52" t="n">
        <x:v>0.5624722491470109</x:v>
      </x:c>
      <x:c r="K1520" s="60" t="n">
        <x:v>8070.79</x:v>
      </x:c>
      <x:c r="L1520" s="60" t="n">
        <x:v>419.94</x:v>
      </x:c>
      <x:c r="M1520" s="50" t="n">
        <x:v>188</x:v>
      </x:c>
      <x:c r="N1520" s="50" t="n">
        <x:v>17</x:v>
      </x:c>
      <x:c r="O1520" s="50" t="n">
        <x:v>169</x:v>
      </x:c>
      <x:c r="P1520" s="50" t="n">
        <x:v>21</x:v>
      </x:c>
    </x:row>
    <x:row r="1521" ht="36" customHeight="1">
      <x:c r="A1521" s="53" t="n">
        <x:v>1502</x:v>
      </x:c>
      <x:c r="B1521" s="53" t="n">
        <x:v>2</x:v>
      </x:c>
      <x:c r="C1521" s="40" t="str">
        <x:v>Large-Basket Occasional Shoppers</x:v>
      </x:c>
      <x:c r="D1521" s="60" t="n">
        <x:v>2160.82</x:v>
      </x:c>
      <x:c r="E1521" s="50" t="n">
        <x:v>46</x:v>
      </x:c>
      <x:c r="F1521" s="46" t="n">
        <x:v>2.421052631578948</x:v>
      </x:c>
      <x:c r="G1521" s="46" t="n">
        <x:v>31</x:v>
      </x:c>
      <x:c r="H1521" s="61" t="n">
        <x:v>46.97434782608696</x:v>
      </x:c>
      <x:c r="I1521" s="52" t="n">
        <x:v>0.8478260869565217</x:v>
      </x:c>
      <x:c r="J1521" s="52" t="n">
        <x:v>0.4508658749919012</x:v>
      </x:c>
      <x:c r="K1521" s="60" t="n">
        <x:v>2052.15</x:v>
      </x:c>
      <x:c r="L1521" s="60" t="n">
        <x:v>108.67</x:v>
      </x:c>
      <x:c r="M1521" s="50" t="n">
        <x:v>39</x:v>
      </x:c>
      <x:c r="N1521" s="50" t="n">
        <x:v>7</x:v>
      </x:c>
      <x:c r="O1521" s="50" t="n">
        <x:v>128</x:v>
      </x:c>
      <x:c r="P1521" s="50" t="n">
        <x:v>19</x:v>
      </x:c>
    </x:row>
    <x:row r="1522" ht="36" customHeight="1">
      <x:c r="A1522" s="53" t="n">
        <x:v>1503</x:v>
      </x:c>
      <x:c r="B1522" s="53" t="n">
        <x:v>3</x:v>
      </x:c>
      <x:c r="C1522" s="40" t="str">
        <x:v>Low-Value Low-Engagement Shoppers</x:v>
      </x:c>
      <x:c r="D1522" s="60" t="n">
        <x:v>117.69</x:v>
      </x:c>
      <x:c r="E1522" s="50" t="n">
        <x:v>17</x:v>
      </x:c>
      <x:c r="F1522" s="46" t="n">
        <x:v>1.7</x:v>
      </x:c>
      <x:c r="G1522" s="46" t="n">
        <x:v>51</x:v>
      </x:c>
      <x:c r="H1522" s="61" t="n">
        <x:v>6.922941176470588</x:v>
      </x:c>
      <x:c r="I1522" s="52" t="n">
        <x:v>0.8235294117647058</x:v>
      </x:c>
      <x:c r="J1522" s="52" t="n">
        <x:v>0.4510153793865239</x:v>
      </x:c>
      <x:c r="K1522" s="60" t="n">
        <x:v>104.64</x:v>
      </x:c>
      <x:c r="L1522" s="60" t="n">
        <x:v>13.05</x:v>
      </x:c>
      <x:c r="M1522" s="50" t="n">
        <x:v>14</x:v>
      </x:c>
      <x:c r="N1522" s="50" t="n">
        <x:v>3</x:v>
      </x:c>
      <x:c r="O1522" s="50" t="n">
        <x:v>38</x:v>
      </x:c>
      <x:c r="P1522" s="50" t="n">
        <x:v>10</x:v>
      </x:c>
    </x:row>
    <x:row r="1523" ht="36" customHeight="1">
      <x:c r="A1523" s="53" t="n">
        <x:v>1504</x:v>
      </x:c>
      <x:c r="B1523" s="53" t="n">
        <x:v>3</x:v>
      </x:c>
      <x:c r="C1523" s="40" t="str">
        <x:v>Low-Value Low-Engagement Shoppers</x:v>
      </x:c>
      <x:c r="D1523" s="60" t="n">
        <x:v>66.33</x:v>
      </x:c>
      <x:c r="E1523" s="50" t="n">
        <x:v>3</x:v>
      </x:c>
      <x:c r="F1523" s="46" t="n">
        <x:v>1</x:v>
      </x:c>
      <x:c r="G1523" s="46" t="n">
        <x:v>514</x:v>
      </x:c>
      <x:c r="H1523" s="61" t="n">
        <x:v>22.11</x:v>
      </x:c>
      <x:c r="I1523" s="52" t="n">
        <x:v>0.6666666666666666</x:v>
      </x:c>
      <x:c r="J1523" s="52" t="n">
        <x:v>0.8679330619629128</x:v>
      </x:c>
      <x:c r="K1523" s="60" t="n">
        <x:v>61.55</x:v>
      </x:c>
      <x:c r="L1523" s="60" t="n">
        <x:v>4.78</x:v>
      </x:c>
      <x:c r="M1523" s="50" t="n">
        <x:v>2</x:v>
      </x:c>
      <x:c r="N1523" s="50" t="n">
        <x:v>1</x:v>
      </x:c>
      <x:c r="O1523" s="50" t="n">
        <x:v>6</x:v>
      </x:c>
      <x:c r="P1523" s="50" t="n">
        <x:v>3</x:v>
      </x:c>
    </x:row>
    <x:row r="1524" ht="36" customHeight="1">
      <x:c r="A1524" s="53" t="n">
        <x:v>1505</x:v>
      </x:c>
      <x:c r="B1524" s="53" t="n">
        <x:v>2</x:v>
      </x:c>
      <x:c r="C1524" s="40" t="str">
        <x:v>Large-Basket Occasional Shoppers</x:v>
      </x:c>
      <x:c r="D1524" s="60" t="n">
        <x:v>4053.23</x:v>
      </x:c>
      <x:c r="E1524" s="50" t="n">
        <x:v>102</x:v>
      </x:c>
      <x:c r="F1524" s="46" t="n">
        <x:v>5.368421052631579</x:v>
      </x:c>
      <x:c r="G1524" s="46" t="n">
        <x:v>60</x:v>
      </x:c>
      <x:c r="H1524" s="61" t="n">
        <x:v>39.73754901960784</x:v>
      </x:c>
      <x:c r="I1524" s="52" t="n">
        <x:v>0.9215686274509804</x:v>
      </x:c>
      <x:c r="J1524" s="52" t="n">
        <x:v>0.4218783538067171</x:v>
      </x:c>
      <x:c r="K1524" s="60" t="n">
        <x:v>3926.34</x:v>
      </x:c>
      <x:c r="L1524" s="60" t="n">
        <x:v>126.89</x:v>
      </x:c>
      <x:c r="M1524" s="50" t="n">
        <x:v>94</x:v>
      </x:c>
      <x:c r="N1524" s="50" t="n">
        <x:v>8</x:v>
      </x:c>
      <x:c r="O1524" s="50" t="n">
        <x:v>160</x:v>
      </x:c>
      <x:c r="P1524" s="50" t="n">
        <x:v>19</x:v>
      </x:c>
    </x:row>
    <x:row r="1525" ht="36" customHeight="1">
      <x:c r="A1525" s="53" t="n">
        <x:v>1506</x:v>
      </x:c>
      <x:c r="B1525" s="53" t="n">
        <x:v>1</x:v>
      </x:c>
      <x:c r="C1525" s="40" t="str">
        <x:v>High-Value Frequent Shoppers</x:v>
      </x:c>
      <x:c r="D1525" s="60" t="n">
        <x:v>2387.73</x:v>
      </x:c>
      <x:c r="E1525" s="50" t="n">
        <x:v>144</x:v>
      </x:c>
      <x:c r="F1525" s="46" t="n">
        <x:v>6.260869565217392</x:v>
      </x:c>
      <x:c r="G1525" s="46" t="n">
        <x:v>1</x:v>
      </x:c>
      <x:c r="H1525" s="61" t="n">
        <x:v>16.58145833333333</x:v>
      </x:c>
      <x:c r="I1525" s="52" t="n">
        <x:v>0.9166666666666666</x:v>
      </x:c>
      <x:c r="J1525" s="52" t="n">
        <x:v>0.4643196676341127</x:v>
      </x:c>
      <x:c r="K1525" s="60" t="n">
        <x:v>2327.55</x:v>
      </x:c>
      <x:c r="L1525" s="60" t="n">
        <x:v>60.18</x:v>
      </x:c>
      <x:c r="M1525" s="50" t="n">
        <x:v>132</x:v>
      </x:c>
      <x:c r="N1525" s="50" t="n">
        <x:v>12</x:v>
      </x:c>
      <x:c r="O1525" s="50" t="n">
        <x:v>84</x:v>
      </x:c>
      <x:c r="P1525" s="50" t="n">
        <x:v>23</x:v>
      </x:c>
    </x:row>
    <x:row r="1526" ht="36" customHeight="1">
      <x:c r="A1526" s="53" t="n">
        <x:v>1507</x:v>
      </x:c>
      <x:c r="B1526" s="53" t="n">
        <x:v>2</x:v>
      </x:c>
      <x:c r="C1526" s="40" t="str">
        <x:v>Large-Basket Occasional Shoppers</x:v>
      </x:c>
      <x:c r="D1526" s="60" t="n">
        <x:v>1499.37</x:v>
      </x:c>
      <x:c r="E1526" s="50" t="n">
        <x:v>26</x:v>
      </x:c>
      <x:c r="F1526" s="46" t="n">
        <x:v>2.363636363636364</x:v>
      </x:c>
      <x:c r="G1526" s="46" t="n">
        <x:v>11</x:v>
      </x:c>
      <x:c r="H1526" s="61" t="n">
        <x:v>57.66807692307692</x:v>
      </x:c>
      <x:c r="I1526" s="52" t="n">
        <x:v>0.923076923076923</x:v>
      </x:c>
      <x:c r="J1526" s="52" t="n">
        <x:v>0.5193781388183036</x:v>
      </x:c>
      <x:c r="K1526" s="60" t="n">
        <x:v>1486.11</x:v>
      </x:c>
      <x:c r="L1526" s="60" t="n">
        <x:v>13.26</x:v>
      </x:c>
      <x:c r="M1526" s="50" t="n">
        <x:v>24</x:v>
      </x:c>
      <x:c r="N1526" s="50" t="n">
        <x:v>2</x:v>
      </x:c>
      <x:c r="O1526" s="50" t="n">
        <x:v>110</x:v>
      </x:c>
      <x:c r="P1526" s="50" t="n">
        <x:v>11</x:v>
      </x:c>
    </x:row>
    <x:row r="1527" ht="36" customHeight="1">
      <x:c r="A1527" s="53" t="n">
        <x:v>1508</x:v>
      </x:c>
      <x:c r="B1527" s="53" t="n">
        <x:v>2</x:v>
      </x:c>
      <x:c r="C1527" s="40" t="str">
        <x:v>Large-Basket Occasional Shoppers</x:v>
      </x:c>
      <x:c r="D1527" s="60" t="n">
        <x:v>1849.2</x:v>
      </x:c>
      <x:c r="E1527" s="50" t="n">
        <x:v>81</x:v>
      </x:c>
      <x:c r="F1527" s="46" t="n">
        <x:v>4.05</x:v>
      </x:c>
      <x:c r="G1527" s="46" t="n">
        <x:v>42</x:v>
      </x:c>
      <x:c r="H1527" s="61" t="n">
        <x:v>22.82962962962963</x:v>
      </x:c>
      <x:c r="I1527" s="52" t="n">
        <x:v>0.9629629629629628</x:v>
      </x:c>
      <x:c r="J1527" s="52" t="n">
        <x:v>0.6575924724205061</x:v>
      </x:c>
      <x:c r="K1527" s="60" t="n">
        <x:v>1826.54</x:v>
      </x:c>
      <x:c r="L1527" s="60" t="n">
        <x:v>22.66</x:v>
      </x:c>
      <x:c r="M1527" s="50" t="n">
        <x:v>78</x:v>
      </x:c>
      <x:c r="N1527" s="50" t="n">
        <x:v>3</x:v>
      </x:c>
      <x:c r="O1527" s="50" t="n">
        <x:v>85</x:v>
      </x:c>
      <x:c r="P1527" s="50" t="n">
        <x:v>20</x:v>
      </x:c>
    </x:row>
    <x:row r="1528" ht="36" customHeight="1">
      <x:c r="A1528" s="53" t="n">
        <x:v>1509</x:v>
      </x:c>
      <x:c r="B1528" s="53" t="n">
        <x:v>1</x:v>
      </x:c>
      <x:c r="C1528" s="40" t="str">
        <x:v>High-Value Frequent Shoppers</x:v>
      </x:c>
      <x:c r="D1528" s="60" t="n">
        <x:v>6452.83</x:v>
      </x:c>
      <x:c r="E1528" s="50" t="n">
        <x:v>204</x:v>
      </x:c>
      <x:c r="F1528" s="46" t="n">
        <x:v>8.869565217391305</x:v>
      </x:c>
      <x:c r="G1528" s="46" t="n">
        <x:v>1</x:v>
      </x:c>
      <x:c r="H1528" s="61" t="n">
        <x:v>31.63151960784313</x:v>
      </x:c>
      <x:c r="I1528" s="52" t="n">
        <x:v>0.8725490196078431</x:v>
      </x:c>
      <x:c r="J1528" s="52" t="n">
        <x:v>0.5130508629547035</x:v>
      </x:c>
      <x:c r="K1528" s="60" t="n">
        <x:v>6194.73</x:v>
      </x:c>
      <x:c r="L1528" s="60" t="n">
        <x:v>258.1</x:v>
      </x:c>
      <x:c r="M1528" s="50" t="n">
        <x:v>178</x:v>
      </x:c>
      <x:c r="N1528" s="50" t="n">
        <x:v>26</x:v>
      </x:c>
      <x:c r="O1528" s="50" t="n">
        <x:v>160</x:v>
      </x:c>
      <x:c r="P1528" s="50" t="n">
        <x:v>23</x:v>
      </x:c>
    </x:row>
    <x:row r="1529" ht="36" customHeight="1">
      <x:c r="A1529" s="53" t="n">
        <x:v>1510</x:v>
      </x:c>
      <x:c r="B1529" s="53" t="n">
        <x:v>1</x:v>
      </x:c>
      <x:c r="C1529" s="40" t="str">
        <x:v>High-Value Frequent Shoppers</x:v>
      </x:c>
      <x:c r="D1529" s="60" t="n">
        <x:v>11211.37</x:v>
      </x:c>
      <x:c r="E1529" s="50" t="n">
        <x:v>1298</x:v>
      </x:c>
      <x:c r="F1529" s="46" t="n">
        <x:v>59</x:v>
      </x:c>
      <x:c r="G1529" s="46" t="n">
        <x:v>0</x:v>
      </x:c>
      <x:c r="H1529" s="61" t="n">
        <x:v>8.637419106317411</x:v>
      </x:c>
      <x:c r="I1529" s="52" t="n">
        <x:v>0.610939907550077</x:v>
      </x:c>
      <x:c r="J1529" s="52" t="n">
        <x:v>0.4912798346678416</x:v>
      </x:c>
      <x:c r="K1529" s="60" t="n">
        <x:v>9401.97</x:v>
      </x:c>
      <x:c r="L1529" s="60" t="n">
        <x:v>1809.4</x:v>
      </x:c>
      <x:c r="M1529" s="50" t="n">
        <x:v>793</x:v>
      </x:c>
      <x:c r="N1529" s="50" t="n">
        <x:v>505</x:v>
      </x:c>
      <x:c r="O1529" s="50" t="n">
        <x:v>212</x:v>
      </x:c>
      <x:c r="P1529" s="50" t="n">
        <x:v>22</x:v>
      </x:c>
    </x:row>
    <x:row r="1530" ht="36" customHeight="1">
      <x:c r="A1530" s="53" t="n">
        <x:v>1511</x:v>
      </x:c>
      <x:c r="B1530" s="53" t="n">
        <x:v>1</x:v>
      </x:c>
      <x:c r="C1530" s="40" t="str">
        <x:v>High-Value Frequent Shoppers</x:v>
      </x:c>
      <x:c r="D1530" s="60" t="n">
        <x:v>3740.16</x:v>
      </x:c>
      <x:c r="E1530" s="50" t="n">
        <x:v>149</x:v>
      </x:c>
      <x:c r="F1530" s="46" t="n">
        <x:v>6.7727272727272725</x:v>
      </x:c>
      <x:c r="G1530" s="46" t="n">
        <x:v>6</x:v>
      </x:c>
      <x:c r="H1530" s="61" t="n">
        <x:v>25.10174496644296</x:v>
      </x:c>
      <x:c r="I1530" s="52" t="n">
        <x:v>0.8389261744966442</x:v>
      </x:c>
      <x:c r="J1530" s="52" t="n">
        <x:v>0.534463766255989</x:v>
      </x:c>
      <x:c r="K1530" s="60" t="n">
        <x:v>3584.51</x:v>
      </x:c>
      <x:c r="L1530" s="60" t="n">
        <x:v>155.65</x:v>
      </x:c>
      <x:c r="M1530" s="50" t="n">
        <x:v>125</x:v>
      </x:c>
      <x:c r="N1530" s="50" t="n">
        <x:v>24</x:v>
      </x:c>
      <x:c r="O1530" s="50" t="n">
        <x:v>142</x:v>
      </x:c>
      <x:c r="P1530" s="50" t="n">
        <x:v>22</x:v>
      </x:c>
    </x:row>
    <x:row r="1531" ht="36" customHeight="1">
      <x:c r="A1531" s="53" t="n">
        <x:v>1512</x:v>
      </x:c>
      <x:c r="B1531" s="53" t="n">
        <x:v>2</x:v>
      </x:c>
      <x:c r="C1531" s="40" t="str">
        <x:v>Large-Basket Occasional Shoppers</x:v>
      </x:c>
      <x:c r="D1531" s="60" t="n">
        <x:v>1674.23</x:v>
      </x:c>
      <x:c r="E1531" s="50" t="n">
        <x:v>93</x:v>
      </x:c>
      <x:c r="F1531" s="46" t="n">
        <x:v>4.428571428571429</x:v>
      </x:c>
      <x:c r="G1531" s="46" t="n">
        <x:v>4</x:v>
      </x:c>
      <x:c r="H1531" s="61" t="n">
        <x:v>18.002473118279568</x:v>
      </x:c>
      <x:c r="I1531" s="52" t="n">
        <x:v>0.8817204301075268</x:v>
      </x:c>
      <x:c r="J1531" s="52" t="n">
        <x:v>0.7081165670188683</x:v>
      </x:c>
      <x:c r="K1531" s="60" t="n">
        <x:v>1632.09</x:v>
      </x:c>
      <x:c r="L1531" s="60" t="n">
        <x:v>42.14</x:v>
      </x:c>
      <x:c r="M1531" s="50" t="n">
        <x:v>82</x:v>
      </x:c>
      <x:c r="N1531" s="50" t="n">
        <x:v>11</x:v>
      </x:c>
      <x:c r="O1531" s="50" t="n">
        <x:v>106</x:v>
      </x:c>
      <x:c r="P1531" s="50" t="n">
        <x:v>21</x:v>
      </x:c>
    </x:row>
    <x:row r="1532" ht="36" customHeight="1">
      <x:c r="A1532" s="53" t="n">
        <x:v>1513</x:v>
      </x:c>
      <x:c r="B1532" s="53" t="n">
        <x:v>3</x:v>
      </x:c>
      <x:c r="C1532" s="40" t="str">
        <x:v>Low-Value Low-Engagement Shoppers</x:v>
      </x:c>
      <x:c r="D1532" s="60" t="n">
        <x:v>931.89</x:v>
      </x:c>
      <x:c r="E1532" s="50" t="n">
        <x:v>63</x:v>
      </x:c>
      <x:c r="F1532" s="46" t="n">
        <x:v>2.863636363636364</x:v>
      </x:c>
      <x:c r="G1532" s="46" t="n">
        <x:v>4</x:v>
      </x:c>
      <x:c r="H1532" s="61" t="n">
        <x:v>14.79190476190476</x:v>
      </x:c>
      <x:c r="I1532" s="52" t="n">
        <x:v>0.7301587301587301</x:v>
      </x:c>
      <x:c r="J1532" s="52" t="n">
        <x:v>0.4507613559540289</x:v>
      </x:c>
      <x:c r="K1532" s="60" t="n">
        <x:v>692.06</x:v>
      </x:c>
      <x:c r="L1532" s="60" t="n">
        <x:v>239.83</x:v>
      </x:c>
      <x:c r="M1532" s="50" t="n">
        <x:v>46</x:v>
      </x:c>
      <x:c r="N1532" s="50" t="n">
        <x:v>17</x:v>
      </x:c>
      <x:c r="O1532" s="50" t="n">
        <x:v>81</x:v>
      </x:c>
      <x:c r="P1532" s="50" t="n">
        <x:v>22</x:v>
      </x:c>
    </x:row>
    <x:row r="1533" ht="36" customHeight="1">
      <x:c r="A1533" s="53" t="n">
        <x:v>1514</x:v>
      </x:c>
      <x:c r="B1533" s="53" t="n">
        <x:v>2</x:v>
      </x:c>
      <x:c r="C1533" s="40" t="str">
        <x:v>Large-Basket Occasional Shoppers</x:v>
      </x:c>
      <x:c r="D1533" s="60" t="n">
        <x:v>2355.31</x:v>
      </x:c>
      <x:c r="E1533" s="50" t="n">
        <x:v>57</x:v>
      </x:c>
      <x:c r="F1533" s="46" t="n">
        <x:v>2.85</x:v>
      </x:c>
      <x:c r="G1533" s="46" t="n">
        <x:v>7</x:v>
      </x:c>
      <x:c r="H1533" s="61" t="n">
        <x:v>41.32122807017544</x:v>
      </x:c>
      <x:c r="I1533" s="52" t="n">
        <x:v>0.8245614035087719</x:v>
      </x:c>
      <x:c r="J1533" s="52" t="n">
        <x:v>0.4865559098377708</x:v>
      </x:c>
      <x:c r="K1533" s="60" t="n">
        <x:v>2278.8</x:v>
      </x:c>
      <x:c r="L1533" s="60" t="n">
        <x:v>76.51</x:v>
      </x:c>
      <x:c r="M1533" s="50" t="n">
        <x:v>47</x:v>
      </x:c>
      <x:c r="N1533" s="50" t="n">
        <x:v>10</x:v>
      </x:c>
      <x:c r="O1533" s="50" t="n">
        <x:v>106</x:v>
      </x:c>
      <x:c r="P1533" s="50" t="n">
        <x:v>20</x:v>
      </x:c>
    </x:row>
    <x:row r="1534" ht="36" customHeight="1">
      <x:c r="A1534" s="53" t="n">
        <x:v>1515</x:v>
      </x:c>
      <x:c r="B1534" s="53" t="n">
        <x:v>1</x:v>
      </x:c>
      <x:c r="C1534" s="40" t="str">
        <x:v>High-Value Frequent Shoppers</x:v>
      </x:c>
      <x:c r="D1534" s="60" t="n">
        <x:v>4158.2</x:v>
      </x:c>
      <x:c r="E1534" s="50" t="n">
        <x:v>99</x:v>
      </x:c>
      <x:c r="F1534" s="46" t="n">
        <x:v>4.7142857142857135</x:v>
      </x:c>
      <x:c r="G1534" s="46" t="n">
        <x:v>0</x:v>
      </x:c>
      <x:c r="H1534" s="61" t="n">
        <x:v>42.0020202020202</x:v>
      </x:c>
      <x:c r="I1534" s="52" t="n">
        <x:v>0.7979797979797979</x:v>
      </x:c>
      <x:c r="J1534" s="52" t="n">
        <x:v>0.4330287143475542</x:v>
      </x:c>
      <x:c r="K1534" s="60" t="n">
        <x:v>3961.89</x:v>
      </x:c>
      <x:c r="L1534" s="60" t="n">
        <x:v>196.31</x:v>
      </x:c>
      <x:c r="M1534" s="50" t="n">
        <x:v>79</x:v>
      </x:c>
      <x:c r="N1534" s="50" t="n">
        <x:v>20</x:v>
      </x:c>
      <x:c r="O1534" s="50" t="n">
        <x:v>174</x:v>
      </x:c>
      <x:c r="P1534" s="50" t="n">
        <x:v>21</x:v>
      </x:c>
    </x:row>
    <x:row r="1535" ht="36" customHeight="1">
      <x:c r="A1535" s="53" t="n">
        <x:v>1516</x:v>
      </x:c>
      <x:c r="B1535" s="53" t="n">
        <x:v>3</x:v>
      </x:c>
      <x:c r="C1535" s="40" t="str">
        <x:v>Low-Value Low-Engagement Shoppers</x:v>
      </x:c>
      <x:c r="D1535" s="60" t="n">
        <x:v>189.66</x:v>
      </x:c>
      <x:c r="E1535" s="50" t="n">
        <x:v>15</x:v>
      </x:c>
      <x:c r="F1535" s="46" t="n">
        <x:v>1.6666666666666667</x:v>
      </x:c>
      <x:c r="G1535" s="46" t="n">
        <x:v>215</x:v>
      </x:c>
      <x:c r="H1535" s="61" t="n">
        <x:v>12.644</x:v>
      </x:c>
      <x:c r="I1535" s="52" t="n">
        <x:v>0.6</x:v>
      </x:c>
      <x:c r="J1535" s="52" t="n">
        <x:v>0.3763049667826637</x:v>
      </x:c>
      <x:c r="K1535" s="60" t="n">
        <x:v>147.22</x:v>
      </x:c>
      <x:c r="L1535" s="60" t="n">
        <x:v>42.44</x:v>
      </x:c>
      <x:c r="M1535" s="50" t="n">
        <x:v>9</x:v>
      </x:c>
      <x:c r="N1535" s="50" t="n">
        <x:v>6</x:v>
      </x:c>
      <x:c r="O1535" s="50" t="n">
        <x:v>36</x:v>
      </x:c>
      <x:c r="P1535" s="50" t="n">
        <x:v>9</x:v>
      </x:c>
    </x:row>
    <x:row r="1536" ht="36" customHeight="1">
      <x:c r="A1536" s="53" t="n">
        <x:v>1517</x:v>
      </x:c>
      <x:c r="B1536" s="53" t="n">
        <x:v>1</x:v>
      </x:c>
      <x:c r="C1536" s="40" t="str">
        <x:v>High-Value Frequent Shoppers</x:v>
      </x:c>
      <x:c r="D1536" s="60" t="n">
        <x:v>3871.04</x:v>
      </x:c>
      <x:c r="E1536" s="50" t="n">
        <x:v>135</x:v>
      </x:c>
      <x:c r="F1536" s="46" t="n">
        <x:v>6.136363636363637</x:v>
      </x:c>
      <x:c r="G1536" s="46" t="n">
        <x:v>3</x:v>
      </x:c>
      <x:c r="H1536" s="61" t="n">
        <x:v>28.67437037037037</x:v>
      </x:c>
      <x:c r="I1536" s="52" t="n">
        <x:v>0.925925925925926</x:v>
      </x:c>
      <x:c r="J1536" s="52" t="n">
        <x:v>0.6345426552037695</x:v>
      </x:c>
      <x:c r="K1536" s="60" t="n">
        <x:v>3838.62</x:v>
      </x:c>
      <x:c r="L1536" s="60" t="n">
        <x:v>32.42</x:v>
      </x:c>
      <x:c r="M1536" s="50" t="n">
        <x:v>125</x:v>
      </x:c>
      <x:c r="N1536" s="50" t="n">
        <x:v>10</x:v>
      </x:c>
      <x:c r="O1536" s="50" t="n">
        <x:v>138</x:v>
      </x:c>
      <x:c r="P1536" s="50" t="n">
        <x:v>22</x:v>
      </x:c>
    </x:row>
    <x:row r="1537" ht="36" customHeight="1">
      <x:c r="A1537" s="53" t="n">
        <x:v>1518</x:v>
      </x:c>
      <x:c r="B1537" s="53" t="n">
        <x:v>2</x:v>
      </x:c>
      <x:c r="C1537" s="40" t="str">
        <x:v>Large-Basket Occasional Shoppers</x:v>
      </x:c>
      <x:c r="D1537" s="60" t="n">
        <x:v>1373.77</x:v>
      </x:c>
      <x:c r="E1537" s="50" t="n">
        <x:v>34</x:v>
      </x:c>
      <x:c r="F1537" s="46" t="n">
        <x:v>2.125</x:v>
      </x:c>
      <x:c r="G1537" s="46" t="n">
        <x:v>35</x:v>
      </x:c>
      <x:c r="H1537" s="61" t="n">
        <x:v>40.405</x:v>
      </x:c>
      <x:c r="I1537" s="52" t="n">
        <x:v>0.8529411764705882</x:v>
      </x:c>
      <x:c r="J1537" s="52" t="n">
        <x:v>0.5054557895426454</x:v>
      </x:c>
      <x:c r="K1537" s="60" t="n">
        <x:v>1343.49</x:v>
      </x:c>
      <x:c r="L1537" s="60" t="n">
        <x:v>30.28</x:v>
      </x:c>
      <x:c r="M1537" s="50" t="n">
        <x:v>29</x:v>
      </x:c>
      <x:c r="N1537" s="50" t="n">
        <x:v>5</x:v>
      </x:c>
      <x:c r="O1537" s="50" t="n">
        <x:v>94</x:v>
      </x:c>
      <x:c r="P1537" s="50" t="n">
        <x:v>16</x:v>
      </x:c>
    </x:row>
    <x:row r="1538" ht="36" customHeight="1">
      <x:c r="A1538" s="53" t="n">
        <x:v>1519</x:v>
      </x:c>
      <x:c r="B1538" s="53" t="n">
        <x:v>2</x:v>
      </x:c>
      <x:c r="C1538" s="40" t="str">
        <x:v>Large-Basket Occasional Shoppers</x:v>
      </x:c>
      <x:c r="D1538" s="60" t="n">
        <x:v>2425.66</x:v>
      </x:c>
      <x:c r="E1538" s="50" t="n">
        <x:v>30</x:v>
      </x:c>
      <x:c r="F1538" s="46" t="n">
        <x:v>2.142857142857143</x:v>
      </x:c>
      <x:c r="G1538" s="46" t="n">
        <x:v>21</x:v>
      </x:c>
      <x:c r="H1538" s="61" t="n">
        <x:v>80.85533333333333</x:v>
      </x:c>
      <x:c r="I1538" s="52" t="n">
        <x:v>1</x:v>
      </x:c>
      <x:c r="J1538" s="52" t="n">
        <x:v>0.4905963737704377</x:v>
      </x:c>
      <x:c r="K1538" s="60" t="n">
        <x:v>2425.66</x:v>
      </x:c>
      <x:c r="L1538" s="60" t="n">
        <x:v>0</x:v>
      </x:c>
      <x:c r="M1538" s="50" t="n">
        <x:v>30</x:v>
      </x:c>
      <x:c r="N1538" s="50" t="n">
        <x:v>0</x:v>
      </x:c>
      <x:c r="O1538" s="50" t="n">
        <x:v>151</x:v>
      </x:c>
      <x:c r="P1538" s="50" t="n">
        <x:v>14</x:v>
      </x:c>
    </x:row>
    <x:row r="1539" ht="36" customHeight="1">
      <x:c r="A1539" s="53" t="n">
        <x:v>1520</x:v>
      </x:c>
      <x:c r="B1539" s="53" t="n">
        <x:v>1</x:v>
      </x:c>
      <x:c r="C1539" s="40" t="str">
        <x:v>High-Value Frequent Shoppers</x:v>
      </x:c>
      <x:c r="D1539" s="60" t="n">
        <x:v>3839.36</x:v>
      </x:c>
      <x:c r="E1539" s="50" t="n">
        <x:v>142</x:v>
      </x:c>
      <x:c r="F1539" s="46" t="n">
        <x:v>6.761904761904762</x:v>
      </x:c>
      <x:c r="G1539" s="46" t="n">
        <x:v>3</x:v>
      </x:c>
      <x:c r="H1539" s="61" t="n">
        <x:v>27.03774647887324</x:v>
      </x:c>
      <x:c r="I1539" s="52" t="n">
        <x:v>0.9154929577464788</x:v>
      </x:c>
      <x:c r="J1539" s="52" t="n">
        <x:v>0.784430217536256</x:v>
      </x:c>
      <x:c r="K1539" s="60" t="n">
        <x:v>3787.04</x:v>
      </x:c>
      <x:c r="L1539" s="60" t="n">
        <x:v>52.32</x:v>
      </x:c>
      <x:c r="M1539" s="50" t="n">
        <x:v>130</x:v>
      </x:c>
      <x:c r="N1539" s="50" t="n">
        <x:v>12</x:v>
      </x:c>
      <x:c r="O1539" s="50" t="n">
        <x:v>130</x:v>
      </x:c>
      <x:c r="P1539" s="50" t="n">
        <x:v>21</x:v>
      </x:c>
    </x:row>
    <x:row r="1540" ht="36" customHeight="1">
      <x:c r="A1540" s="53" t="n">
        <x:v>1521</x:v>
      </x:c>
      <x:c r="B1540" s="53" t="n">
        <x:v>2</x:v>
      </x:c>
      <x:c r="C1540" s="40" t="str">
        <x:v>Large-Basket Occasional Shoppers</x:v>
      </x:c>
      <x:c r="D1540" s="60" t="n">
        <x:v>753.95</x:v>
      </x:c>
      <x:c r="E1540" s="50" t="n">
        <x:v>43</x:v>
      </x:c>
      <x:c r="F1540" s="46" t="n">
        <x:v>3.9090909090909087</x:v>
      </x:c>
      <x:c r="G1540" s="46" t="n">
        <x:v>45</x:v>
      </x:c>
      <x:c r="H1540" s="61" t="n">
        <x:v>17.53372093023256</x:v>
      </x:c>
      <x:c r="I1540" s="52" t="n">
        <x:v>0.9534883720930232</x:v>
      </x:c>
      <x:c r="J1540" s="52" t="n">
        <x:v>0.5459247960740102</x:v>
      </x:c>
      <x:c r="K1540" s="60" t="n">
        <x:v>751.31</x:v>
      </x:c>
      <x:c r="L1540" s="60" t="n">
        <x:v>2.64</x:v>
      </x:c>
      <x:c r="M1540" s="50" t="n">
        <x:v>41</x:v>
      </x:c>
      <x:c r="N1540" s="50" t="n">
        <x:v>2</x:v>
      </x:c>
      <x:c r="O1540" s="50" t="n">
        <x:v>115</x:v>
      </x:c>
      <x:c r="P1540" s="50" t="n">
        <x:v>11</x:v>
      </x:c>
    </x:row>
    <x:row r="1541" ht="36" customHeight="1">
      <x:c r="A1541" s="53" t="n">
        <x:v>1522</x:v>
      </x:c>
      <x:c r="B1541" s="53" t="n">
        <x:v>2</x:v>
      </x:c>
      <x:c r="C1541" s="40" t="str">
        <x:v>Large-Basket Occasional Shoppers</x:v>
      </x:c>
      <x:c r="D1541" s="60" t="n">
        <x:v>1086.56</x:v>
      </x:c>
      <x:c r="E1541" s="50" t="n">
        <x:v>35</x:v>
      </x:c>
      <x:c r="F1541" s="46" t="n">
        <x:v>2.5</x:v>
      </x:c>
      <x:c r="G1541" s="46" t="n">
        <x:v>78</x:v>
      </x:c>
      <x:c r="H1541" s="61" t="n">
        <x:v>31.044571428571427</x:v>
      </x:c>
      <x:c r="I1541" s="52" t="n">
        <x:v>0.8571428571428571</x:v>
      </x:c>
      <x:c r="J1541" s="52" t="n">
        <x:v>0.4807005595641289</x:v>
      </x:c>
      <x:c r="K1541" s="60" t="n">
        <x:v>1054.55</x:v>
      </x:c>
      <x:c r="L1541" s="60" t="n">
        <x:v>32.01</x:v>
      </x:c>
      <x:c r="M1541" s="50" t="n">
        <x:v>30</x:v>
      </x:c>
      <x:c r="N1541" s="50" t="n">
        <x:v>5</x:v>
      </x:c>
      <x:c r="O1541" s="50" t="n">
        <x:v>124</x:v>
      </x:c>
      <x:c r="P1541" s="50" t="n">
        <x:v>14</x:v>
      </x:c>
    </x:row>
    <x:row r="1542" ht="36" customHeight="1">
      <x:c r="A1542" s="53" t="n">
        <x:v>1523</x:v>
      </x:c>
      <x:c r="B1542" s="53" t="n">
        <x:v>3</x:v>
      </x:c>
      <x:c r="C1542" s="40" t="str">
        <x:v>Low-Value Low-Engagement Shoppers</x:v>
      </x:c>
      <x:c r="D1542" s="60" t="n">
        <x:v>1668.3</x:v>
      </x:c>
      <x:c r="E1542" s="50" t="n">
        <x:v>67</x:v>
      </x:c>
      <x:c r="F1542" s="46" t="n">
        <x:v>6.7</x:v>
      </x:c>
      <x:c r="G1542" s="46" t="n">
        <x:v>32</x:v>
      </x:c>
      <x:c r="H1542" s="61" t="n">
        <x:v>24.9</x:v>
      </x:c>
      <x:c r="I1542" s="52" t="n">
        <x:v>0.7014925373134328</x:v>
      </x:c>
      <x:c r="J1542" s="52" t="n">
        <x:v>0.6113888389378409</x:v>
      </x:c>
      <x:c r="K1542" s="60" t="n">
        <x:v>1542.39</x:v>
      </x:c>
      <x:c r="L1542" s="60" t="n">
        <x:v>125.91</x:v>
      </x:c>
      <x:c r="M1542" s="50" t="n">
        <x:v>47</x:v>
      </x:c>
      <x:c r="N1542" s="50" t="n">
        <x:v>20</x:v>
      </x:c>
      <x:c r="O1542" s="50" t="n">
        <x:v>116</x:v>
      </x:c>
      <x:c r="P1542" s="50" t="n">
        <x:v>10</x:v>
      </x:c>
    </x:row>
    <x:row r="1543" ht="36" customHeight="1">
      <x:c r="A1543" s="53" t="n">
        <x:v>1524</x:v>
      </x:c>
      <x:c r="B1543" s="53" t="n">
        <x:v>2</x:v>
      </x:c>
      <x:c r="C1543" s="40" t="str">
        <x:v>Large-Basket Occasional Shoppers</x:v>
      </x:c>
      <x:c r="D1543" s="60" t="n">
        <x:v>2800.81</x:v>
      </x:c>
      <x:c r="E1543" s="50" t="n">
        <x:v>60</x:v>
      </x:c>
      <x:c r="F1543" s="46" t="n">
        <x:v>3</x:v>
      </x:c>
      <x:c r="G1543" s="46" t="n">
        <x:v>1</x:v>
      </x:c>
      <x:c r="H1543" s="61" t="n">
        <x:v>46.680166666666665</x:v>
      </x:c>
      <x:c r="I1543" s="52" t="n">
        <x:v>0.95</x:v>
      </x:c>
      <x:c r="J1543" s="52" t="n">
        <x:v>0.6091594931466254</x:v>
      </x:c>
      <x:c r="K1543" s="60" t="n">
        <x:v>2763.41</x:v>
      </x:c>
      <x:c r="L1543" s="60" t="n">
        <x:v>37.4</x:v>
      </x:c>
      <x:c r="M1543" s="50" t="n">
        <x:v>57</x:v>
      </x:c>
      <x:c r="N1543" s="50" t="n">
        <x:v>3</x:v>
      </x:c>
      <x:c r="O1543" s="50" t="n">
        <x:v>138</x:v>
      </x:c>
      <x:c r="P1543" s="50" t="n">
        <x:v>20</x:v>
      </x:c>
    </x:row>
    <x:row r="1544" ht="36" customHeight="1">
      <x:c r="A1544" s="53" t="n">
        <x:v>1525</x:v>
      </x:c>
      <x:c r="B1544" s="53" t="n">
        <x:v>2</x:v>
      </x:c>
      <x:c r="C1544" s="40" t="str">
        <x:v>Large-Basket Occasional Shoppers</x:v>
      </x:c>
      <x:c r="D1544" s="60" t="n">
        <x:v>1645.25</x:v>
      </x:c>
      <x:c r="E1544" s="50" t="n">
        <x:v>38</x:v>
      </x:c>
      <x:c r="F1544" s="46" t="n">
        <x:v>3.8</x:v>
      </x:c>
      <x:c r="G1544" s="46" t="n">
        <x:v>21</x:v>
      </x:c>
      <x:c r="H1544" s="61" t="n">
        <x:v>43.29605263157895</x:v>
      </x:c>
      <x:c r="I1544" s="52" t="n">
        <x:v>1</x:v>
      </x:c>
      <x:c r="J1544" s="52" t="n">
        <x:v>0.5843671174593525</x:v>
      </x:c>
      <x:c r="K1544" s="60" t="n">
        <x:v>1645.25</x:v>
      </x:c>
      <x:c r="L1544" s="60" t="n">
        <x:v>0</x:v>
      </x:c>
      <x:c r="M1544" s="50" t="n">
        <x:v>38</x:v>
      </x:c>
      <x:c r="N1544" s="50" t="n">
        <x:v>0</x:v>
      </x:c>
      <x:c r="O1544" s="50" t="n">
        <x:v>99</x:v>
      </x:c>
      <x:c r="P1544" s="50" t="n">
        <x:v>10</x:v>
      </x:c>
    </x:row>
    <x:row r="1545" ht="36" customHeight="1">
      <x:c r="A1545" s="53" t="n">
        <x:v>1526</x:v>
      </x:c>
      <x:c r="B1545" s="53" t="n">
        <x:v>1</x:v>
      </x:c>
      <x:c r="C1545" s="40" t="str">
        <x:v>High-Value Frequent Shoppers</x:v>
      </x:c>
      <x:c r="D1545" s="60" t="n">
        <x:v>2901.09</x:v>
      </x:c>
      <x:c r="E1545" s="50" t="n">
        <x:v>199</x:v>
      </x:c>
      <x:c r="F1545" s="46" t="n">
        <x:v>9.045454545454543</x:v>
      </x:c>
      <x:c r="G1545" s="46" t="n">
        <x:v>1</x:v>
      </x:c>
      <x:c r="H1545" s="61" t="n">
        <x:v>14.578341708542712</x:v>
      </x:c>
      <x:c r="I1545" s="52" t="n">
        <x:v>0.9748743718592964</x:v>
      </x:c>
      <x:c r="J1545" s="52" t="n">
        <x:v>0.4370667576669458</x:v>
      </x:c>
      <x:c r="K1545" s="60" t="n">
        <x:v>2853.37</x:v>
      </x:c>
      <x:c r="L1545" s="60" t="n">
        <x:v>47.72</x:v>
      </x:c>
      <x:c r="M1545" s="50" t="n">
        <x:v>194</x:v>
      </x:c>
      <x:c r="N1545" s="50" t="n">
        <x:v>5</x:v>
      </x:c>
      <x:c r="O1545" s="50" t="n">
        <x:v>130</x:v>
      </x:c>
      <x:c r="P1545" s="50" t="n">
        <x:v>22</x:v>
      </x:c>
    </x:row>
    <x:row r="1546" ht="36" customHeight="1">
      <x:c r="A1546" s="53" t="n">
        <x:v>1527</x:v>
      </x:c>
      <x:c r="B1546" s="53" t="n">
        <x:v>1</x:v>
      </x:c>
      <x:c r="C1546" s="40" t="str">
        <x:v>High-Value Frequent Shoppers</x:v>
      </x:c>
      <x:c r="D1546" s="60" t="n">
        <x:v>17295.18</x:v>
      </x:c>
      <x:c r="E1546" s="50" t="n">
        <x:v>317</x:v>
      </x:c>
      <x:c r="F1546" s="46" t="n">
        <x:v>13.782608695652172</x:v>
      </x:c>
      <x:c r="G1546" s="46" t="n">
        <x:v>1</x:v>
      </x:c>
      <x:c r="H1546" s="61" t="n">
        <x:v>54.55892744479495</x:v>
      </x:c>
      <x:c r="I1546" s="52" t="n">
        <x:v>0.861198738170347</x:v>
      </x:c>
      <x:c r="J1546" s="52" t="n">
        <x:v>0.5301205306912099</x:v>
      </x:c>
      <x:c r="K1546" s="60" t="n">
        <x:v>16650.53</x:v>
      </x:c>
      <x:c r="L1546" s="60" t="n">
        <x:v>644.65</x:v>
      </x:c>
      <x:c r="M1546" s="50" t="n">
        <x:v>273</x:v>
      </x:c>
      <x:c r="N1546" s="50" t="n">
        <x:v>44</x:v>
      </x:c>
      <x:c r="O1546" s="50" t="n">
        <x:v>192</x:v>
      </x:c>
      <x:c r="P1546" s="50" t="n">
        <x:v>23</x:v>
      </x:c>
    </x:row>
    <x:row r="1547" ht="36" customHeight="1">
      <x:c r="A1547" s="53" t="n">
        <x:v>1528</x:v>
      </x:c>
      <x:c r="B1547" s="53" t="n">
        <x:v>1</x:v>
      </x:c>
      <x:c r="C1547" s="40" t="str">
        <x:v>High-Value Frequent Shoppers</x:v>
      </x:c>
      <x:c r="D1547" s="60" t="n">
        <x:v>8086.55</x:v>
      </x:c>
      <x:c r="E1547" s="50" t="n">
        <x:v>239</x:v>
      </x:c>
      <x:c r="F1547" s="46" t="n">
        <x:v>10.391304347826088</x:v>
      </x:c>
      <x:c r="G1547" s="46" t="n">
        <x:v>0</x:v>
      </x:c>
      <x:c r="H1547" s="61" t="n">
        <x:v>33.83493723849372</x:v>
      </x:c>
      <x:c r="I1547" s="52" t="n">
        <x:v>0.9707112970711296</x:v>
      </x:c>
      <x:c r="J1547" s="52" t="n">
        <x:v>0.5385399212272229</x:v>
      </x:c>
      <x:c r="K1547" s="60" t="n">
        <x:v>8007.57</x:v>
      </x:c>
      <x:c r="L1547" s="60" t="n">
        <x:v>78.98</x:v>
      </x:c>
      <x:c r="M1547" s="50" t="n">
        <x:v>232</x:v>
      </x:c>
      <x:c r="N1547" s="50" t="n">
        <x:v>7</x:v>
      </x:c>
      <x:c r="O1547" s="50" t="n">
        <x:v>196</x:v>
      </x:c>
      <x:c r="P1547" s="50" t="n">
        <x:v>23</x:v>
      </x:c>
    </x:row>
    <x:row r="1548" ht="36" customHeight="1">
      <x:c r="A1548" s="53" t="n">
        <x:v>1529</x:v>
      </x:c>
      <x:c r="B1548" s="53" t="n">
        <x:v>1</x:v>
      </x:c>
      <x:c r="C1548" s="40" t="str">
        <x:v>High-Value Frequent Shoppers</x:v>
      </x:c>
      <x:c r="D1548" s="60" t="n">
        <x:v>9025.41</x:v>
      </x:c>
      <x:c r="E1548" s="50" t="n">
        <x:v>243</x:v>
      </x:c>
      <x:c r="F1548" s="46" t="n">
        <x:v>11.045454545454543</x:v>
      </x:c>
      <x:c r="G1548" s="46" t="n">
        <x:v>4</x:v>
      </x:c>
      <x:c r="H1548" s="61" t="n">
        <x:v>37.1416049382716</x:v>
      </x:c>
      <x:c r="I1548" s="52" t="n">
        <x:v>0.8271604938271604</x:v>
      </x:c>
      <x:c r="J1548" s="52" t="n">
        <x:v>0.6100143926979494</x:v>
      </x:c>
      <x:c r="K1548" s="60" t="n">
        <x:v>8646.51</x:v>
      </x:c>
      <x:c r="L1548" s="60" t="n">
        <x:v>378.9</x:v>
      </x:c>
      <x:c r="M1548" s="50" t="n">
        <x:v>201</x:v>
      </x:c>
      <x:c r="N1548" s="50" t="n">
        <x:v>42</x:v>
      </x:c>
      <x:c r="O1548" s="50" t="n">
        <x:v>159</x:v>
      </x:c>
      <x:c r="P1548" s="50" t="n">
        <x:v>22</x:v>
      </x:c>
    </x:row>
    <x:row r="1549" ht="36" customHeight="1">
      <x:c r="A1549" s="53" t="n">
        <x:v>1530</x:v>
      </x:c>
      <x:c r="B1549" s="53" t="n">
        <x:v>2</x:v>
      </x:c>
      <x:c r="C1549" s="40" t="str">
        <x:v>Large-Basket Occasional Shoppers</x:v>
      </x:c>
      <x:c r="D1549" s="60" t="n">
        <x:v>879.93</x:v>
      </x:c>
      <x:c r="E1549" s="50" t="n">
        <x:v>48</x:v>
      </x:c>
      <x:c r="F1549" s="46" t="n">
        <x:v>2.526315789473684</x:v>
      </x:c>
      <x:c r="G1549" s="46" t="n">
        <x:v>4</x:v>
      </x:c>
      <x:c r="H1549" s="61" t="n">
        <x:v>18.331875</x:v>
      </x:c>
      <x:c r="I1549" s="52" t="n">
        <x:v>0.8958333333333333</x:v>
      </x:c>
      <x:c r="J1549" s="52" t="n">
        <x:v>0.4476151512052095</x:v>
      </x:c>
      <x:c r="K1549" s="60" t="n">
        <x:v>850.84</x:v>
      </x:c>
      <x:c r="L1549" s="60" t="n">
        <x:v>29.09</x:v>
      </x:c>
      <x:c r="M1549" s="50" t="n">
        <x:v>43</x:v>
      </x:c>
      <x:c r="N1549" s="50" t="n">
        <x:v>5</x:v>
      </x:c>
      <x:c r="O1549" s="50" t="n">
        <x:v>85</x:v>
      </x:c>
      <x:c r="P1549" s="50" t="n">
        <x:v>19</x:v>
      </x:c>
    </x:row>
    <x:row r="1550" ht="36" customHeight="1">
      <x:c r="A1550" s="53" t="n">
        <x:v>1531</x:v>
      </x:c>
      <x:c r="B1550" s="53" t="n">
        <x:v>2</x:v>
      </x:c>
      <x:c r="C1550" s="40" t="str">
        <x:v>Large-Basket Occasional Shoppers</x:v>
      </x:c>
      <x:c r="D1550" s="60" t="n">
        <x:v>978.91</x:v>
      </x:c>
      <x:c r="E1550" s="50" t="n">
        <x:v>45</x:v>
      </x:c>
      <x:c r="F1550" s="46" t="n">
        <x:v>2.5</x:v>
      </x:c>
      <x:c r="G1550" s="46" t="n">
        <x:v>1</x:v>
      </x:c>
      <x:c r="H1550" s="61" t="n">
        <x:v>21.75355555555556</x:v>
      </x:c>
      <x:c r="I1550" s="52" t="n">
        <x:v>0.8666666666666666</x:v>
      </x:c>
      <x:c r="J1550" s="52" t="n">
        <x:v>0.4931301141065062</x:v>
      </x:c>
      <x:c r="K1550" s="60" t="n">
        <x:v>934.44</x:v>
      </x:c>
      <x:c r="L1550" s="60" t="n">
        <x:v>44.47</x:v>
      </x:c>
      <x:c r="M1550" s="50" t="n">
        <x:v>39</x:v>
      </x:c>
      <x:c r="N1550" s="50" t="n">
        <x:v>6</x:v>
      </x:c>
      <x:c r="O1550" s="50" t="n">
        <x:v>109</x:v>
      </x:c>
      <x:c r="P1550" s="50" t="n">
        <x:v>18</x:v>
      </x:c>
    </x:row>
    <x:row r="1551" ht="36" customHeight="1">
      <x:c r="A1551" s="53" t="n">
        <x:v>1532</x:v>
      </x:c>
      <x:c r="B1551" s="53" t="n">
        <x:v>3</x:v>
      </x:c>
      <x:c r="C1551" s="40" t="str">
        <x:v>Low-Value Low-Engagement Shoppers</x:v>
      </x:c>
      <x:c r="D1551" s="60" t="n">
        <x:v>1916.02</x:v>
      </x:c>
      <x:c r="E1551" s="50" t="n">
        <x:v>86</x:v>
      </x:c>
      <x:c r="F1551" s="46" t="n">
        <x:v>5.7333333333333325</x:v>
      </x:c>
      <x:c r="G1551" s="46" t="n">
        <x:v>42</x:v>
      </x:c>
      <x:c r="H1551" s="61" t="n">
        <x:v>22.279302325581394</x:v>
      </x:c>
      <x:c r="I1551" s="52" t="n">
        <x:v>0.7325581395348837</x:v>
      </x:c>
      <x:c r="J1551" s="52" t="n">
        <x:v>0.4269631841003747</x:v>
      </x:c>
      <x:c r="K1551" s="60" t="n">
        <x:v>1582.25</x:v>
      </x:c>
      <x:c r="L1551" s="60" t="n">
        <x:v>333.77</x:v>
      </x:c>
      <x:c r="M1551" s="50" t="n">
        <x:v>63</x:v>
      </x:c>
      <x:c r="N1551" s="50" t="n">
        <x:v>23</x:v>
      </x:c>
      <x:c r="O1551" s="50" t="n">
        <x:v>106</x:v>
      </x:c>
      <x:c r="P1551" s="50" t="n">
        <x:v>15</x:v>
      </x:c>
    </x:row>
    <x:row r="1552" ht="36" customHeight="1">
      <x:c r="A1552" s="53" t="n">
        <x:v>1533</x:v>
      </x:c>
      <x:c r="B1552" s="53" t="n">
        <x:v>3</x:v>
      </x:c>
      <x:c r="C1552" s="40" t="str">
        <x:v>Low-Value Low-Engagement Shoppers</x:v>
      </x:c>
      <x:c r="D1552" s="60" t="n">
        <x:v>255.24</x:v>
      </x:c>
      <x:c r="E1552" s="50" t="n">
        <x:v>22</x:v>
      </x:c>
      <x:c r="F1552" s="46" t="n">
        <x:v>1.8333333333333333</x:v>
      </x:c>
      <x:c r="G1552" s="46" t="n">
        <x:v>11</x:v>
      </x:c>
      <x:c r="H1552" s="61" t="n">
        <x:v>11.60181818181818</x:v>
      </x:c>
      <x:c r="I1552" s="52" t="n">
        <x:v>0.6363636363636364</x:v>
      </x:c>
      <x:c r="J1552" s="52" t="n">
        <x:v>0.2181084469518884</x:v>
      </x:c>
      <x:c r="K1552" s="60" t="n">
        <x:v>193.15</x:v>
      </x:c>
      <x:c r="L1552" s="60" t="n">
        <x:v>62.09</x:v>
      </x:c>
      <x:c r="M1552" s="50" t="n">
        <x:v>14</x:v>
      </x:c>
      <x:c r="N1552" s="50" t="n">
        <x:v>8</x:v>
      </x:c>
      <x:c r="O1552" s="50" t="n">
        <x:v>34</x:v>
      </x:c>
      <x:c r="P1552" s="50" t="n">
        <x:v>12</x:v>
      </x:c>
    </x:row>
    <x:row r="1553" ht="36" customHeight="1">
      <x:c r="A1553" s="53" t="n">
        <x:v>1534</x:v>
      </x:c>
      <x:c r="B1553" s="53" t="n">
        <x:v>1</x:v>
      </x:c>
      <x:c r="C1553" s="40" t="str">
        <x:v>High-Value Frequent Shoppers</x:v>
      </x:c>
      <x:c r="D1553" s="60" t="n">
        <x:v>8449.68</x:v>
      </x:c>
      <x:c r="E1553" s="50" t="n">
        <x:v>311</x:v>
      </x:c>
      <x:c r="F1553" s="46" t="n">
        <x:v>14.809523809523808</x:v>
      </x:c>
      <x:c r="G1553" s="46" t="n">
        <x:v>3</x:v>
      </x:c>
      <x:c r="H1553" s="61" t="n">
        <x:v>27.169389067524115</x:v>
      </x:c>
      <x:c r="I1553" s="52" t="n">
        <x:v>0.8681672025723473</x:v>
      </x:c>
      <x:c r="J1553" s="52" t="n">
        <x:v>0.5568980127058066</x:v>
      </x:c>
      <x:c r="K1553" s="60" t="n">
        <x:v>8018.42</x:v>
      </x:c>
      <x:c r="L1553" s="60" t="n">
        <x:v>431.26</x:v>
      </x:c>
      <x:c r="M1553" s="50" t="n">
        <x:v>270</x:v>
      </x:c>
      <x:c r="N1553" s="50" t="n">
        <x:v>41</x:v>
      </x:c>
      <x:c r="O1553" s="50" t="n">
        <x:v>166</x:v>
      </x:c>
      <x:c r="P1553" s="50" t="n">
        <x:v>21</x:v>
      </x:c>
    </x:row>
    <x:row r="1554" ht="36" customHeight="1">
      <x:c r="A1554" s="53" t="n">
        <x:v>1535</x:v>
      </x:c>
      <x:c r="B1554" s="53" t="n">
        <x:v>1</x:v>
      </x:c>
      <x:c r="C1554" s="40" t="str">
        <x:v>High-Value Frequent Shoppers</x:v>
      </x:c>
      <x:c r="D1554" s="60" t="n">
        <x:v>8453.65</x:v>
      </x:c>
      <x:c r="E1554" s="50" t="n">
        <x:v>247</x:v>
      </x:c>
      <x:c r="F1554" s="46" t="n">
        <x:v>11.227272727272728</x:v>
      </x:c>
      <x:c r="G1554" s="46" t="n">
        <x:v>0</x:v>
      </x:c>
      <x:c r="H1554" s="61" t="n">
        <x:v>34.22530364372469</x:v>
      </x:c>
      <x:c r="I1554" s="52" t="n">
        <x:v>0.8663967611336032</x:v>
      </x:c>
      <x:c r="J1554" s="52" t="n">
        <x:v>0.4718470719748274</x:v>
      </x:c>
      <x:c r="K1554" s="60" t="n">
        <x:v>8215.85</x:v>
      </x:c>
      <x:c r="L1554" s="60" t="n">
        <x:v>237.8</x:v>
      </x:c>
      <x:c r="M1554" s="50" t="n">
        <x:v>214</x:v>
      </x:c>
      <x:c r="N1554" s="50" t="n">
        <x:v>33</x:v>
      </x:c>
      <x:c r="O1554" s="50" t="n">
        <x:v>168</x:v>
      </x:c>
      <x:c r="P1554" s="50" t="n">
        <x:v>22</x:v>
      </x:c>
    </x:row>
    <x:row r="1555" ht="36" customHeight="1">
      <x:c r="A1555" s="53" t="n">
        <x:v>1536</x:v>
      </x:c>
      <x:c r="B1555" s="53" t="n">
        <x:v>1</x:v>
      </x:c>
      <x:c r="C1555" s="40" t="str">
        <x:v>High-Value Frequent Shoppers</x:v>
      </x:c>
      <x:c r="D1555" s="60" t="n">
        <x:v>6960.19</x:v>
      </x:c>
      <x:c r="E1555" s="50" t="n">
        <x:v>164</x:v>
      </x:c>
      <x:c r="F1555" s="46" t="n">
        <x:v>7.130434782608696</x:v>
      </x:c>
      <x:c r="G1555" s="46" t="n">
        <x:v>0</x:v>
      </x:c>
      <x:c r="H1555" s="61" t="n">
        <x:v>42.44018292682927</x:v>
      </x:c>
      <x:c r="I1555" s="52" t="n">
        <x:v>0.8658536585365852</x:v>
      </x:c>
      <x:c r="J1555" s="52" t="n">
        <x:v>0.5218909253914045</x:v>
      </x:c>
      <x:c r="K1555" s="60" t="n">
        <x:v>6657.4</x:v>
      </x:c>
      <x:c r="L1555" s="60" t="n">
        <x:v>302.79</x:v>
      </x:c>
      <x:c r="M1555" s="50" t="n">
        <x:v>142</x:v>
      </x:c>
      <x:c r="N1555" s="50" t="n">
        <x:v>22</x:v>
      </x:c>
      <x:c r="O1555" s="50" t="n">
        <x:v>164</x:v>
      </x:c>
      <x:c r="P1555" s="50" t="n">
        <x:v>23</x:v>
      </x:c>
    </x:row>
    <x:row r="1556" ht="36" customHeight="1">
      <x:c r="A1556" s="53" t="n">
        <x:v>1537</x:v>
      </x:c>
      <x:c r="B1556" s="53" t="n">
        <x:v>1</x:v>
      </x:c>
      <x:c r="C1556" s="40" t="str">
        <x:v>High-Value Frequent Shoppers</x:v>
      </x:c>
      <x:c r="D1556" s="60" t="n">
        <x:v>2878.58</x:v>
      </x:c>
      <x:c r="E1556" s="50" t="n">
        <x:v>147</x:v>
      </x:c>
      <x:c r="F1556" s="46" t="n">
        <x:v>6.681818181818182</x:v>
      </x:c>
      <x:c r="G1556" s="46" t="n">
        <x:v>20</x:v>
      </x:c>
      <x:c r="H1556" s="61" t="n">
        <x:v>19.58217687074829</x:v>
      </x:c>
      <x:c r="I1556" s="52" t="n">
        <x:v>0.7414965986394557</x:v>
      </x:c>
      <x:c r="J1556" s="52" t="n">
        <x:v>0.601216572059835</x:v>
      </x:c>
      <x:c r="K1556" s="60" t="n">
        <x:v>2692.09</x:v>
      </x:c>
      <x:c r="L1556" s="60" t="n">
        <x:v>186.49</x:v>
      </x:c>
      <x:c r="M1556" s="50" t="n">
        <x:v>109</x:v>
      </x:c>
      <x:c r="N1556" s="50" t="n">
        <x:v>38</x:v>
      </x:c>
      <x:c r="O1556" s="50" t="n">
        <x:v>124</x:v>
      </x:c>
      <x:c r="P1556" s="50" t="n">
        <x:v>22</x:v>
      </x:c>
    </x:row>
    <x:row r="1557" ht="36" customHeight="1">
      <x:c r="A1557" s="53" t="n">
        <x:v>1538</x:v>
      </x:c>
      <x:c r="B1557" s="53" t="n">
        <x:v>3</x:v>
      </x:c>
      <x:c r="C1557" s="40" t="str">
        <x:v>Low-Value Low-Engagement Shoppers</x:v>
      </x:c>
      <x:c r="D1557" s="60" t="n">
        <x:v>504.92</x:v>
      </x:c>
      <x:c r="E1557" s="50" t="n">
        <x:v>32</x:v>
      </x:c>
      <x:c r="F1557" s="46" t="n">
        <x:v>2.9090909090909087</x:v>
      </x:c>
      <x:c r="G1557" s="46" t="n">
        <x:v>4</x:v>
      </x:c>
      <x:c r="H1557" s="61" t="n">
        <x:v>15.77875</x:v>
      </x:c>
      <x:c r="I1557" s="52" t="n">
        <x:v>0.84375</x:v>
      </x:c>
      <x:c r="J1557" s="52" t="n">
        <x:v>0.4126990414323061</x:v>
      </x:c>
      <x:c r="K1557" s="60" t="n">
        <x:v>460.03</x:v>
      </x:c>
      <x:c r="L1557" s="60" t="n">
        <x:v>44.89</x:v>
      </x:c>
      <x:c r="M1557" s="50" t="n">
        <x:v>27</x:v>
      </x:c>
      <x:c r="N1557" s="50" t="n">
        <x:v>5</x:v>
      </x:c>
      <x:c r="O1557" s="50" t="n">
        <x:v>92</x:v>
      </x:c>
      <x:c r="P1557" s="50" t="n">
        <x:v>11</x:v>
      </x:c>
    </x:row>
    <x:row r="1558" ht="36" customHeight="1">
      <x:c r="A1558" s="53" t="n">
        <x:v>1539</x:v>
      </x:c>
      <x:c r="B1558" s="53" t="n">
        <x:v>3</x:v>
      </x:c>
      <x:c r="C1558" s="40" t="str">
        <x:v>Low-Value Low-Engagement Shoppers</x:v>
      </x:c>
      <x:c r="D1558" s="60" t="n">
        <x:v>79.41</x:v>
      </x:c>
      <x:c r="E1558" s="50" t="n">
        <x:v>10</x:v>
      </x:c>
      <x:c r="F1558" s="46" t="n">
        <x:v>1.4285714285714286</x:v>
      </x:c>
      <x:c r="G1558" s="46" t="n">
        <x:v>39</x:v>
      </x:c>
      <x:c r="H1558" s="61" t="n">
        <x:v>7.941</x:v>
      </x:c>
      <x:c r="I1558" s="52" t="n">
        <x:v>0.4</x:v>
      </x:c>
      <x:c r="J1558" s="52" t="n">
        <x:v>0.2891323510892834</x:v>
      </x:c>
      <x:c r="K1558" s="60" t="n">
        <x:v>32.83</x:v>
      </x:c>
      <x:c r="L1558" s="60" t="n">
        <x:v>46.58</x:v>
      </x:c>
      <x:c r="M1558" s="50" t="n">
        <x:v>4</x:v>
      </x:c>
      <x:c r="N1558" s="50" t="n">
        <x:v>6</x:v>
      </x:c>
      <x:c r="O1558" s="50" t="n">
        <x:v>14</x:v>
      </x:c>
      <x:c r="P1558" s="50" t="n">
        <x:v>7</x:v>
      </x:c>
    </x:row>
    <x:row r="1559" ht="36" customHeight="1">
      <x:c r="A1559" s="53" t="n">
        <x:v>1540</x:v>
      </x:c>
      <x:c r="B1559" s="53" t="n">
        <x:v>1</x:v>
      </x:c>
      <x:c r="C1559" s="40" t="str">
        <x:v>High-Value Frequent Shoppers</x:v>
      </x:c>
      <x:c r="D1559" s="60" t="n">
        <x:v>3598.69</x:v>
      </x:c>
      <x:c r="E1559" s="50" t="n">
        <x:v>143</x:v>
      </x:c>
      <x:c r="F1559" s="46" t="n">
        <x:v>6.809523809523809</x:v>
      </x:c>
      <x:c r="G1559" s="46" t="n">
        <x:v>1</x:v>
      </x:c>
      <x:c r="H1559" s="61" t="n">
        <x:v>25.16566433566433</x:v>
      </x:c>
      <x:c r="I1559" s="52" t="n">
        <x:v>0.916083916083916</x:v>
      </x:c>
      <x:c r="J1559" s="52" t="n">
        <x:v>0.5191972634486438</x:v>
      </x:c>
      <x:c r="K1559" s="60" t="n">
        <x:v>3484.5</x:v>
      </x:c>
      <x:c r="L1559" s="60" t="n">
        <x:v>114.19</x:v>
      </x:c>
      <x:c r="M1559" s="50" t="n">
        <x:v>131</x:v>
      </x:c>
      <x:c r="N1559" s="50" t="n">
        <x:v>12</x:v>
      </x:c>
      <x:c r="O1559" s="50" t="n">
        <x:v>129</x:v>
      </x:c>
      <x:c r="P1559" s="50" t="n">
        <x:v>21</x:v>
      </x:c>
    </x:row>
    <x:row r="1560" ht="36" customHeight="1">
      <x:c r="A1560" s="53" t="n">
        <x:v>1541</x:v>
      </x:c>
      <x:c r="B1560" s="53" t="n">
        <x:v>1</x:v>
      </x:c>
      <x:c r="C1560" s="40" t="str">
        <x:v>High-Value Frequent Shoppers</x:v>
      </x:c>
      <x:c r="D1560" s="60" t="n">
        <x:v>7743.35</x:v>
      </x:c>
      <x:c r="E1560" s="50" t="n">
        <x:v>101</x:v>
      </x:c>
      <x:c r="F1560" s="46" t="n">
        <x:v>4.809523809523809</x:v>
      </x:c>
      <x:c r="G1560" s="46" t="n">
        <x:v>6</x:v>
      </x:c>
      <x:c r="H1560" s="61" t="n">
        <x:v>76.6668316831683</x:v>
      </x:c>
      <x:c r="I1560" s="52" t="n">
        <x:v>0.9405940594059404</x:v>
      </x:c>
      <x:c r="J1560" s="52" t="n">
        <x:v>0.4102952856321876</x:v>
      </x:c>
      <x:c r="K1560" s="60" t="n">
        <x:v>7693.22</x:v>
      </x:c>
      <x:c r="L1560" s="60" t="n">
        <x:v>50.13</x:v>
      </x:c>
      <x:c r="M1560" s="50" t="n">
        <x:v>95</x:v>
      </x:c>
      <x:c r="N1560" s="50" t="n">
        <x:v>6</x:v>
      </x:c>
      <x:c r="O1560" s="50" t="n">
        <x:v>165</x:v>
      </x:c>
      <x:c r="P1560" s="50" t="n">
        <x:v>21</x:v>
      </x:c>
    </x:row>
    <x:row r="1561" ht="36" customHeight="1">
      <x:c r="A1561" s="53" t="n">
        <x:v>1542</x:v>
      </x:c>
      <x:c r="B1561" s="53" t="n">
        <x:v>2</x:v>
      </x:c>
      <x:c r="C1561" s="40" t="str">
        <x:v>Large-Basket Occasional Shoppers</x:v>
      </x:c>
      <x:c r="D1561" s="60" t="n">
        <x:v>1969.93</x:v>
      </x:c>
      <x:c r="E1561" s="50" t="n">
        <x:v>116</x:v>
      </x:c>
      <x:c r="F1561" s="46" t="n">
        <x:v>4.833333333333333</x:v>
      </x:c>
      <x:c r="G1561" s="46" t="n">
        <x:v>9</x:v>
      </x:c>
      <x:c r="H1561" s="61" t="n">
        <x:v>16.98215517241379</x:v>
      </x:c>
      <x:c r="I1561" s="52" t="n">
        <x:v>0.8189655172413793</x:v>
      </x:c>
      <x:c r="J1561" s="52" t="n">
        <x:v>0.4704532648368216</x:v>
      </x:c>
      <x:c r="K1561" s="60" t="n">
        <x:v>1789.95</x:v>
      </x:c>
      <x:c r="L1561" s="60" t="n">
        <x:v>179.98</x:v>
      </x:c>
      <x:c r="M1561" s="50" t="n">
        <x:v>95</x:v>
      </x:c>
      <x:c r="N1561" s="50" t="n">
        <x:v>21</x:v>
      </x:c>
      <x:c r="O1561" s="50" t="n">
        <x:v>119</x:v>
      </x:c>
      <x:c r="P1561" s="50" t="n">
        <x:v>24</x:v>
      </x:c>
    </x:row>
    <x:row r="1562" ht="36" customHeight="1">
      <x:c r="A1562" s="53" t="n">
        <x:v>1543</x:v>
      </x:c>
      <x:c r="B1562" s="53" t="n">
        <x:v>2</x:v>
      </x:c>
      <x:c r="C1562" s="40" t="str">
        <x:v>Large-Basket Occasional Shoppers</x:v>
      </x:c>
      <x:c r="D1562" s="60" t="n">
        <x:v>2612.4</x:v>
      </x:c>
      <x:c r="E1562" s="50" t="n">
        <x:v>83</x:v>
      </x:c>
      <x:c r="F1562" s="46" t="n">
        <x:v>4.611111111111112</x:v>
      </x:c>
      <x:c r="G1562" s="46" t="n">
        <x:v>27</x:v>
      </x:c>
      <x:c r="H1562" s="61" t="n">
        <x:v>31.47469879518072</x:v>
      </x:c>
      <x:c r="I1562" s="52" t="n">
        <x:v>0.9036144578313252</x:v>
      </x:c>
      <x:c r="J1562" s="52" t="n">
        <x:v>0.5513053131220333</x:v>
      </x:c>
      <x:c r="K1562" s="60" t="n">
        <x:v>2534.5</x:v>
      </x:c>
      <x:c r="L1562" s="60" t="n">
        <x:v>77.9</x:v>
      </x:c>
      <x:c r="M1562" s="50" t="n">
        <x:v>75</x:v>
      </x:c>
      <x:c r="N1562" s="50" t="n">
        <x:v>8</x:v>
      </x:c>
      <x:c r="O1562" s="50" t="n">
        <x:v>131</x:v>
      </x:c>
      <x:c r="P1562" s="50" t="n">
        <x:v>18</x:v>
      </x:c>
    </x:row>
    <x:row r="1563" ht="36" customHeight="1">
      <x:c r="A1563" s="53" t="n">
        <x:v>1544</x:v>
      </x:c>
      <x:c r="B1563" s="53" t="n">
        <x:v>2</x:v>
      </x:c>
      <x:c r="C1563" s="40" t="str">
        <x:v>Large-Basket Occasional Shoppers</x:v>
      </x:c>
      <x:c r="D1563" s="60" t="n">
        <x:v>2457.93</x:v>
      </x:c>
      <x:c r="E1563" s="50" t="n">
        <x:v>54</x:v>
      </x:c>
      <x:c r="F1563" s="46" t="n">
        <x:v>2.8421052631578947</x:v>
      </x:c>
      <x:c r="G1563" s="46" t="n">
        <x:v>20</x:v>
      </x:c>
      <x:c r="H1563" s="61" t="n">
        <x:v>45.51722222222222</x:v>
      </x:c>
      <x:c r="I1563" s="52" t="n">
        <x:v>0.9814814814814814</x:v>
      </x:c>
      <x:c r="J1563" s="52" t="n">
        <x:v>0.5283307498586208</x:v>
      </x:c>
      <x:c r="K1563" s="60" t="n">
        <x:v>2430.24</x:v>
      </x:c>
      <x:c r="L1563" s="60" t="n">
        <x:v>27.69</x:v>
      </x:c>
      <x:c r="M1563" s="50" t="n">
        <x:v>53</x:v>
      </x:c>
      <x:c r="N1563" s="50" t="n">
        <x:v>1</x:v>
      </x:c>
      <x:c r="O1563" s="50" t="n">
        <x:v>120</x:v>
      </x:c>
      <x:c r="P1563" s="50" t="n">
        <x:v>19</x:v>
      </x:c>
    </x:row>
    <x:row r="1564" ht="36" customHeight="1">
      <x:c r="A1564" s="53" t="n">
        <x:v>1545</x:v>
      </x:c>
      <x:c r="B1564" s="53" t="n">
        <x:v>1</x:v>
      </x:c>
      <x:c r="C1564" s="40" t="str">
        <x:v>High-Value Frequent Shoppers</x:v>
      </x:c>
      <x:c r="D1564" s="60" t="n">
        <x:v>3948.53</x:v>
      </x:c>
      <x:c r="E1564" s="50" t="n">
        <x:v>174</x:v>
      </x:c>
      <x:c r="F1564" s="46" t="n">
        <x:v>7.909090909090909</x:v>
      </x:c>
      <x:c r="G1564" s="46" t="n">
        <x:v>2</x:v>
      </x:c>
      <x:c r="H1564" s="61" t="n">
        <x:v>22.69270114942529</x:v>
      </x:c>
      <x:c r="I1564" s="52" t="n">
        <x:v>0.8275862068965517</x:v>
      </x:c>
      <x:c r="J1564" s="52" t="n">
        <x:v>0.4096790451129914</x:v>
      </x:c>
      <x:c r="K1564" s="60" t="n">
        <x:v>3779.16</x:v>
      </x:c>
      <x:c r="L1564" s="60" t="n">
        <x:v>169.37</x:v>
      </x:c>
      <x:c r="M1564" s="50" t="n">
        <x:v>144</x:v>
      </x:c>
      <x:c r="N1564" s="50" t="n">
        <x:v>30</x:v>
      </x:c>
      <x:c r="O1564" s="50" t="n">
        <x:v>180</x:v>
      </x:c>
      <x:c r="P1564" s="50" t="n">
        <x:v>22</x:v>
      </x:c>
    </x:row>
    <x:row r="1565" ht="36" customHeight="1">
      <x:c r="A1565" s="53" t="n">
        <x:v>1546</x:v>
      </x:c>
      <x:c r="B1565" s="53" t="n">
        <x:v>1</x:v>
      </x:c>
      <x:c r="C1565" s="40" t="str">
        <x:v>High-Value Frequent Shoppers</x:v>
      </x:c>
      <x:c r="D1565" s="60" t="n">
        <x:v>4095.37</x:v>
      </x:c>
      <x:c r="E1565" s="50" t="n">
        <x:v>113</x:v>
      </x:c>
      <x:c r="F1565" s="46" t="n">
        <x:v>5.3809523809523805</x:v>
      </x:c>
      <x:c r="G1565" s="46" t="n">
        <x:v>7</x:v>
      </x:c>
      <x:c r="H1565" s="61" t="n">
        <x:v>36.242212389380526</x:v>
      </x:c>
      <x:c r="I1565" s="52" t="n">
        <x:v>0.8672566371681415</x:v>
      </x:c>
      <x:c r="J1565" s="52" t="n">
        <x:v>0.5341934916747448</x:v>
      </x:c>
      <x:c r="K1565" s="60" t="n">
        <x:v>3822.87</x:v>
      </x:c>
      <x:c r="L1565" s="60" t="n">
        <x:v>272.5</x:v>
      </x:c>
      <x:c r="M1565" s="50" t="n">
        <x:v>98</x:v>
      </x:c>
      <x:c r="N1565" s="50" t="n">
        <x:v>15</x:v>
      </x:c>
      <x:c r="O1565" s="50" t="n">
        <x:v>130</x:v>
      </x:c>
      <x:c r="P1565" s="50" t="n">
        <x:v>21</x:v>
      </x:c>
    </x:row>
    <x:row r="1566" ht="36" customHeight="1">
      <x:c r="A1566" s="53" t="n">
        <x:v>1547</x:v>
      </x:c>
      <x:c r="B1566" s="53" t="n">
        <x:v>1</x:v>
      </x:c>
      <x:c r="C1566" s="40" t="str">
        <x:v>High-Value Frequent Shoppers</x:v>
      </x:c>
      <x:c r="D1566" s="60" t="n">
        <x:v>2222.05</x:v>
      </x:c>
      <x:c r="E1566" s="50" t="n">
        <x:v>289</x:v>
      </x:c>
      <x:c r="F1566" s="46" t="n">
        <x:v>17</x:v>
      </x:c>
      <x:c r="G1566" s="46" t="n">
        <x:v>1</x:v>
      </x:c>
      <x:c r="H1566" s="61" t="n">
        <x:v>7.688754325259516</x:v>
      </x:c>
      <x:c r="I1566" s="52" t="n">
        <x:v>0.6262975778546712</x:v>
      </x:c>
      <x:c r="J1566" s="52" t="n">
        <x:v>0.7405143898652145</x:v>
      </x:c>
      <x:c r="K1566" s="60" t="n">
        <x:v>2009.81</x:v>
      </x:c>
      <x:c r="L1566" s="60" t="n">
        <x:v>212.24</x:v>
      </x:c>
      <x:c r="M1566" s="50" t="n">
        <x:v>181</x:v>
      </x:c>
      <x:c r="N1566" s="50" t="n">
        <x:v>108</x:v>
      </x:c>
      <x:c r="O1566" s="50" t="n">
        <x:v>85</x:v>
      </x:c>
      <x:c r="P1566" s="50" t="n">
        <x:v>17</x:v>
      </x:c>
    </x:row>
    <x:row r="1567" ht="36" customHeight="1">
      <x:c r="A1567" s="53" t="n">
        <x:v>1548</x:v>
      </x:c>
      <x:c r="B1567" s="53" t="n">
        <x:v>1</x:v>
      </x:c>
      <x:c r="C1567" s="40" t="str">
        <x:v>High-Value Frequent Shoppers</x:v>
      </x:c>
      <x:c r="D1567" s="60" t="n">
        <x:v>3850.53</x:v>
      </x:c>
      <x:c r="E1567" s="50" t="n">
        <x:v>112</x:v>
      </x:c>
      <x:c r="F1567" s="46" t="n">
        <x:v>4.869565217391304</x:v>
      </x:c>
      <x:c r="G1567" s="46" t="n">
        <x:v>1</x:v>
      </x:c>
      <x:c r="H1567" s="61" t="n">
        <x:v>34.379732142857144</x:v>
      </x:c>
      <x:c r="I1567" s="52" t="n">
        <x:v>0.8839285714285714</x:v>
      </x:c>
      <x:c r="J1567" s="52" t="n">
        <x:v>0.5012141185758843</x:v>
      </x:c>
      <x:c r="K1567" s="60" t="n">
        <x:v>3762.22</x:v>
      </x:c>
      <x:c r="L1567" s="60" t="n">
        <x:v>88.31</x:v>
      </x:c>
      <x:c r="M1567" s="50" t="n">
        <x:v>99</x:v>
      </x:c>
      <x:c r="N1567" s="50" t="n">
        <x:v>13</x:v>
      </x:c>
      <x:c r="O1567" s="50" t="n">
        <x:v>142</x:v>
      </x:c>
      <x:c r="P1567" s="50" t="n">
        <x:v>23</x:v>
      </x:c>
    </x:row>
    <x:row r="1568" ht="36" customHeight="1">
      <x:c r="A1568" s="53" t="n">
        <x:v>1549</x:v>
      </x:c>
      <x:c r="B1568" s="53" t="n">
        <x:v>1</x:v>
      </x:c>
      <x:c r="C1568" s="40" t="str">
        <x:v>High-Value Frequent Shoppers</x:v>
      </x:c>
      <x:c r="D1568" s="60" t="n">
        <x:v>1988.91</x:v>
      </x:c>
      <x:c r="E1568" s="50" t="n">
        <x:v>175</x:v>
      </x:c>
      <x:c r="F1568" s="46" t="n">
        <x:v>7.291666666666665</x:v>
      </x:c>
      <x:c r="G1568" s="46" t="n">
        <x:v>0</x:v>
      </x:c>
      <x:c r="H1568" s="61" t="n">
        <x:v>11.3652</x:v>
      </x:c>
      <x:c r="I1568" s="52" t="n">
        <x:v>0.8057142857142857</x:v>
      </x:c>
      <x:c r="J1568" s="52" t="n">
        <x:v>0.4787597226621616</x:v>
      </x:c>
      <x:c r="K1568" s="60" t="n">
        <x:v>1722.55</x:v>
      </x:c>
      <x:c r="L1568" s="60" t="n">
        <x:v>266.36</x:v>
      </x:c>
      <x:c r="M1568" s="50" t="n">
        <x:v>141</x:v>
      </x:c>
      <x:c r="N1568" s="50" t="n">
        <x:v>34</x:v>
      </x:c>
      <x:c r="O1568" s="50" t="n">
        <x:v>129</x:v>
      </x:c>
      <x:c r="P1568" s="50" t="n">
        <x:v>24</x:v>
      </x:c>
    </x:row>
    <x:row r="1569" ht="36" customHeight="1">
      <x:c r="A1569" s="53" t="n">
        <x:v>1550</x:v>
      </x:c>
      <x:c r="B1569" s="53" t="n">
        <x:v>1</x:v>
      </x:c>
      <x:c r="C1569" s="40" t="str">
        <x:v>High-Value Frequent Shoppers</x:v>
      </x:c>
      <x:c r="D1569" s="60" t="n">
        <x:v>2542.45</x:v>
      </x:c>
      <x:c r="E1569" s="50" t="n">
        <x:v>337</x:v>
      </x:c>
      <x:c r="F1569" s="46" t="n">
        <x:v>24.07142857142857</x:v>
      </x:c>
      <x:c r="G1569" s="46" t="n">
        <x:v>1</x:v>
      </x:c>
      <x:c r="H1569" s="61" t="n">
        <x:v>7.544362017804153</x:v>
      </x:c>
      <x:c r="I1569" s="52" t="n">
        <x:v>0.71513353115727</x:v>
      </x:c>
      <x:c r="J1569" s="52" t="n">
        <x:v>0.4208381679089067</x:v>
      </x:c>
      <x:c r="K1569" s="60" t="n">
        <x:v>2317.15</x:v>
      </x:c>
      <x:c r="L1569" s="60" t="n">
        <x:v>225.3</x:v>
      </x:c>
      <x:c r="M1569" s="50" t="n">
        <x:v>241</x:v>
      </x:c>
      <x:c r="N1569" s="50" t="n">
        <x:v>96</x:v>
      </x:c>
      <x:c r="O1569" s="50" t="n">
        <x:v>122</x:v>
      </x:c>
      <x:c r="P1569" s="50" t="n">
        <x:v>14</x:v>
      </x:c>
    </x:row>
    <x:row r="1570" ht="36" customHeight="1">
      <x:c r="A1570" s="53" t="n">
        <x:v>1551</x:v>
      </x:c>
      <x:c r="B1570" s="53" t="n">
        <x:v>2</x:v>
      </x:c>
      <x:c r="C1570" s="40" t="str">
        <x:v>Large-Basket Occasional Shoppers</x:v>
      </x:c>
      <x:c r="D1570" s="60" t="n">
        <x:v>800.11</x:v>
      </x:c>
      <x:c r="E1570" s="50" t="n">
        <x:v>18</x:v>
      </x:c>
      <x:c r="F1570" s="46" t="n">
        <x:v>3</x:v>
      </x:c>
      <x:c r="G1570" s="46" t="n">
        <x:v>15</x:v>
      </x:c>
      <x:c r="H1570" s="61" t="n">
        <x:v>44.45055555555556</x:v>
      </x:c>
      <x:c r="I1570" s="52" t="n">
        <x:v>0.7222222222222222</x:v>
      </x:c>
      <x:c r="J1570" s="52" t="n">
        <x:v>0.3590381322568146</x:v>
      </x:c>
      <x:c r="K1570" s="60" t="n">
        <x:v>729.09</x:v>
      </x:c>
      <x:c r="L1570" s="60" t="n">
        <x:v>71.02</x:v>
      </x:c>
      <x:c r="M1570" s="50" t="n">
        <x:v>13</x:v>
      </x:c>
      <x:c r="N1570" s="50" t="n">
        <x:v>5</x:v>
      </x:c>
      <x:c r="O1570" s="50" t="n">
        <x:v>93</x:v>
      </x:c>
      <x:c r="P1570" s="50" t="n">
        <x:v>6</x:v>
      </x:c>
    </x:row>
    <x:row r="1571" ht="36" customHeight="1">
      <x:c r="A1571" s="53" t="n">
        <x:v>1552</x:v>
      </x:c>
      <x:c r="B1571" s="53" t="n">
        <x:v>2</x:v>
      </x:c>
      <x:c r="C1571" s="40" t="str">
        <x:v>Large-Basket Occasional Shoppers</x:v>
      </x:c>
      <x:c r="D1571" s="60" t="n">
        <x:v>1084.76</x:v>
      </x:c>
      <x:c r="E1571" s="50" t="n">
        <x:v>35</x:v>
      </x:c>
      <x:c r="F1571" s="46" t="n">
        <x:v>1.8421052631578947</x:v>
      </x:c>
      <x:c r="G1571" s="46" t="n">
        <x:v>19</x:v>
      </x:c>
      <x:c r="H1571" s="61" t="n">
        <x:v>30.993142857142857</x:v>
      </x:c>
      <x:c r="I1571" s="52" t="n">
        <x:v>0.8571428571428571</x:v>
      </x:c>
      <x:c r="J1571" s="52" t="n">
        <x:v>0.3757697555219587</x:v>
      </x:c>
      <x:c r="K1571" s="60" t="n">
        <x:v>1040.78</x:v>
      </x:c>
      <x:c r="L1571" s="60" t="n">
        <x:v>43.98</x:v>
      </x:c>
      <x:c r="M1571" s="50" t="n">
        <x:v>30</x:v>
      </x:c>
      <x:c r="N1571" s="50" t="n">
        <x:v>5</x:v>
      </x:c>
      <x:c r="O1571" s="50" t="n">
        <x:v>90</x:v>
      </x:c>
      <x:c r="P1571" s="50" t="n">
        <x:v>19</x:v>
      </x:c>
    </x:row>
    <x:row r="1572" ht="36" customHeight="1">
      <x:c r="A1572" s="53" t="n">
        <x:v>1553</x:v>
      </x:c>
      <x:c r="B1572" s="53" t="n">
        <x:v>3</x:v>
      </x:c>
      <x:c r="C1572" s="40" t="str">
        <x:v>Low-Value Low-Engagement Shoppers</x:v>
      </x:c>
      <x:c r="D1572" s="60" t="n">
        <x:v>140.84</x:v>
      </x:c>
      <x:c r="E1572" s="50" t="n">
        <x:v>16</x:v>
      </x:c>
      <x:c r="F1572" s="46" t="n">
        <x:v>2.666666666666667</x:v>
      </x:c>
      <x:c r="G1572" s="46" t="n">
        <x:v>16</x:v>
      </x:c>
      <x:c r="H1572" s="61" t="n">
        <x:v>8.8025</x:v>
      </x:c>
      <x:c r="I1572" s="52" t="n">
        <x:v>0.8125</x:v>
      </x:c>
      <x:c r="J1572" s="52" t="n">
        <x:v>0.3394632206759443</x:v>
      </x:c>
      <x:c r="K1572" s="60" t="n">
        <x:v>131.55</x:v>
      </x:c>
      <x:c r="L1572" s="60" t="n">
        <x:v>9.29</x:v>
      </x:c>
      <x:c r="M1572" s="50" t="n">
        <x:v>13</x:v>
      </x:c>
      <x:c r="N1572" s="50" t="n">
        <x:v>3</x:v>
      </x:c>
      <x:c r="O1572" s="50" t="n">
        <x:v>37</x:v>
      </x:c>
      <x:c r="P1572" s="50" t="n">
        <x:v>6</x:v>
      </x:c>
    </x:row>
    <x:row r="1573" ht="36" customHeight="1">
      <x:c r="A1573" s="53" t="n">
        <x:v>1554</x:v>
      </x:c>
      <x:c r="B1573" s="53" t="n">
        <x:v>3</x:v>
      </x:c>
      <x:c r="C1573" s="40" t="str">
        <x:v>Low-Value Low-Engagement Shoppers</x:v>
      </x:c>
      <x:c r="D1573" s="60" t="n">
        <x:v>982.76</x:v>
      </x:c>
      <x:c r="E1573" s="50" t="n">
        <x:v>46</x:v>
      </x:c>
      <x:c r="F1573" s="46" t="n">
        <x:v>3.066666666666667</x:v>
      </x:c>
      <x:c r="G1573" s="46" t="n">
        <x:v>7</x:v>
      </x:c>
      <x:c r="H1573" s="61" t="n">
        <x:v>21.36434782608696</x:v>
      </x:c>
      <x:c r="I1573" s="52" t="n">
        <x:v>0.6739130434782608</x:v>
      </x:c>
      <x:c r="J1573" s="52" t="n">
        <x:v>0.4610790019943831</x:v>
      </x:c>
      <x:c r="K1573" s="60" t="n">
        <x:v>789.32</x:v>
      </x:c>
      <x:c r="L1573" s="60" t="n">
        <x:v>193.44</x:v>
      </x:c>
      <x:c r="M1573" s="50" t="n">
        <x:v>31</x:v>
      </x:c>
      <x:c r="N1573" s="50" t="n">
        <x:v>15</x:v>
      </x:c>
      <x:c r="O1573" s="50" t="n">
        <x:v>54</x:v>
      </x:c>
      <x:c r="P1573" s="50" t="n">
        <x:v>15</x:v>
      </x:c>
    </x:row>
    <x:row r="1574" ht="36" customHeight="1">
      <x:c r="A1574" s="53" t="n">
        <x:v>1555</x:v>
      </x:c>
      <x:c r="B1574" s="53" t="n">
        <x:v>2</x:v>
      </x:c>
      <x:c r="C1574" s="40" t="str">
        <x:v>Large-Basket Occasional Shoppers</x:v>
      </x:c>
      <x:c r="D1574" s="60" t="n">
        <x:v>1446.54</x:v>
      </x:c>
      <x:c r="E1574" s="50" t="n">
        <x:v>89</x:v>
      </x:c>
      <x:c r="F1574" s="46" t="n">
        <x:v>4.238095238095238</x:v>
      </x:c>
      <x:c r="G1574" s="46" t="n">
        <x:v>14</x:v>
      </x:c>
      <x:c r="H1574" s="61" t="n">
        <x:v>16.25325842696629</x:v>
      </x:c>
      <x:c r="I1574" s="52" t="n">
        <x:v>0.9213483146067416</x:v>
      </x:c>
      <x:c r="J1574" s="52" t="n">
        <x:v>0.5667523884579755</x:v>
      </x:c>
      <x:c r="K1574" s="60" t="n">
        <x:v>1373.52</x:v>
      </x:c>
      <x:c r="L1574" s="60" t="n">
        <x:v>73.02</x:v>
      </x:c>
      <x:c r="M1574" s="50" t="n">
        <x:v>82</x:v>
      </x:c>
      <x:c r="N1574" s="50" t="n">
        <x:v>7</x:v>
      </x:c>
      <x:c r="O1574" s="50" t="n">
        <x:v>113</x:v>
      </x:c>
      <x:c r="P1574" s="50" t="n">
        <x:v>21</x:v>
      </x:c>
    </x:row>
    <x:row r="1575" ht="36" customHeight="1">
      <x:c r="A1575" s="53" t="n">
        <x:v>1556</x:v>
      </x:c>
      <x:c r="B1575" s="53" t="n">
        <x:v>1</x:v>
      </x:c>
      <x:c r="C1575" s="40" t="str">
        <x:v>High-Value Frequent Shoppers</x:v>
      </x:c>
      <x:c r="D1575" s="60" t="n">
        <x:v>3799.8</x:v>
      </x:c>
      <x:c r="E1575" s="50" t="n">
        <x:v>138</x:v>
      </x:c>
      <x:c r="F1575" s="46" t="n">
        <x:v>6.571428571428571</x:v>
      </x:c>
      <x:c r="G1575" s="46" t="n">
        <x:v>1</x:v>
      </x:c>
      <x:c r="H1575" s="61" t="n">
        <x:v>27.534782608695647</x:v>
      </x:c>
      <x:c r="I1575" s="52" t="n">
        <x:v>0.934782608695652</x:v>
      </x:c>
      <x:c r="J1575" s="52" t="n">
        <x:v>0.5992710142639086</x:v>
      </x:c>
      <x:c r="K1575" s="60" t="n">
        <x:v>3741.28</x:v>
      </x:c>
      <x:c r="L1575" s="60" t="n">
        <x:v>58.52</x:v>
      </x:c>
      <x:c r="M1575" s="50" t="n">
        <x:v>129</x:v>
      </x:c>
      <x:c r="N1575" s="50" t="n">
        <x:v>9</x:v>
      </x:c>
      <x:c r="O1575" s="50" t="n">
        <x:v>125</x:v>
      </x:c>
      <x:c r="P1575" s="50" t="n">
        <x:v>21</x:v>
      </x:c>
    </x:row>
    <x:row r="1576" ht="36" customHeight="1">
      <x:c r="A1576" s="53" t="n">
        <x:v>1557</x:v>
      </x:c>
      <x:c r="B1576" s="53" t="n">
        <x:v>1</x:v>
      </x:c>
      <x:c r="C1576" s="40" t="str">
        <x:v>High-Value Frequent Shoppers</x:v>
      </x:c>
      <x:c r="D1576" s="60" t="n">
        <x:v>6528.36</x:v>
      </x:c>
      <x:c r="E1576" s="50" t="n">
        <x:v>195</x:v>
      </x:c>
      <x:c r="F1576" s="46" t="n">
        <x:v>8.863636363636363</x:v>
      </x:c>
      <x:c r="G1576" s="46" t="n">
        <x:v>1</x:v>
      </x:c>
      <x:c r="H1576" s="61" t="n">
        <x:v>33.47876923076923</x:v>
      </x:c>
      <x:c r="I1576" s="52" t="n">
        <x:v>0.8769230769230769</x:v>
      </x:c>
      <x:c r="J1576" s="52" t="n">
        <x:v>0.4888333363968898</x:v>
      </x:c>
      <x:c r="K1576" s="60" t="n">
        <x:v>6367.76</x:v>
      </x:c>
      <x:c r="L1576" s="60" t="n">
        <x:v>160.6</x:v>
      </x:c>
      <x:c r="M1576" s="50" t="n">
        <x:v>171</x:v>
      </x:c>
      <x:c r="N1576" s="50" t="n">
        <x:v>24</x:v>
      </x:c>
      <x:c r="O1576" s="50" t="n">
        <x:v>151</x:v>
      </x:c>
      <x:c r="P1576" s="50" t="n">
        <x:v>22</x:v>
      </x:c>
    </x:row>
    <x:row r="1577" ht="36" customHeight="1">
      <x:c r="A1577" s="53" t="n">
        <x:v>1558</x:v>
      </x:c>
      <x:c r="B1577" s="53" t="n">
        <x:v>1</x:v>
      </x:c>
      <x:c r="C1577" s="40" t="str">
        <x:v>High-Value Frequent Shoppers</x:v>
      </x:c>
      <x:c r="D1577" s="60" t="n">
        <x:v>4487.1</x:v>
      </x:c>
      <x:c r="E1577" s="50" t="n">
        <x:v>145</x:v>
      </x:c>
      <x:c r="F1577" s="46" t="n">
        <x:v>6.041666666666666</x:v>
      </x:c>
      <x:c r="G1577" s="46" t="n">
        <x:v>0</x:v>
      </x:c>
      <x:c r="H1577" s="61" t="n">
        <x:v>30.945517241379317</x:v>
      </x:c>
      <x:c r="I1577" s="52" t="n">
        <x:v>0.8275862068965517</x:v>
      </x:c>
      <x:c r="J1577" s="52" t="n">
        <x:v>0.3208932272514541</x:v>
      </x:c>
      <x:c r="K1577" s="60" t="n">
        <x:v>4116.4</x:v>
      </x:c>
      <x:c r="L1577" s="60" t="n">
        <x:v>370.7</x:v>
      </x:c>
      <x:c r="M1577" s="50" t="n">
        <x:v>120</x:v>
      </x:c>
      <x:c r="N1577" s="50" t="n">
        <x:v>25</x:v>
      </x:c>
      <x:c r="O1577" s="50" t="n">
        <x:v>172</x:v>
      </x:c>
      <x:c r="P1577" s="50" t="n">
        <x:v>24</x:v>
      </x:c>
    </x:row>
    <x:row r="1578" ht="36" customHeight="1">
      <x:c r="A1578" s="53" t="n">
        <x:v>1559</x:v>
      </x:c>
      <x:c r="B1578" s="53" t="n">
        <x:v>2</x:v>
      </x:c>
      <x:c r="C1578" s="40" t="str">
        <x:v>Large-Basket Occasional Shoppers</x:v>
      </x:c>
      <x:c r="D1578" s="60" t="n">
        <x:v>2725.42</x:v>
      </x:c>
      <x:c r="E1578" s="50" t="n">
        <x:v>59</x:v>
      </x:c>
      <x:c r="F1578" s="46" t="n">
        <x:v>3.6875</x:v>
      </x:c>
      <x:c r="G1578" s="46" t="n">
        <x:v>7</x:v>
      </x:c>
      <x:c r="H1578" s="61" t="n">
        <x:v>46.1935593220339</x:v>
      </x:c>
      <x:c r="I1578" s="52" t="n">
        <x:v>0.8135593220338982</x:v>
      </x:c>
      <x:c r="J1578" s="52" t="n">
        <x:v>0.3320332279061575</x:v>
      </x:c>
      <x:c r="K1578" s="60" t="n">
        <x:v>2634.62</x:v>
      </x:c>
      <x:c r="L1578" s="60" t="n">
        <x:v>90.8</x:v>
      </x:c>
      <x:c r="M1578" s="50" t="n">
        <x:v>48</x:v>
      </x:c>
      <x:c r="N1578" s="50" t="n">
        <x:v>11</x:v>
      </x:c>
      <x:c r="O1578" s="50" t="n">
        <x:v>136</x:v>
      </x:c>
      <x:c r="P1578" s="50" t="n">
        <x:v>16</x:v>
      </x:c>
    </x:row>
    <x:row r="1579" ht="36" customHeight="1">
      <x:c r="A1579" s="53" t="n">
        <x:v>1560</x:v>
      </x:c>
      <x:c r="B1579" s="53" t="n">
        <x:v>2</x:v>
      </x:c>
      <x:c r="C1579" s="40" t="str">
        <x:v>Large-Basket Occasional Shoppers</x:v>
      </x:c>
      <x:c r="D1579" s="60" t="n">
        <x:v>1209.04</x:v>
      </x:c>
      <x:c r="E1579" s="50" t="n">
        <x:v>44</x:v>
      </x:c>
      <x:c r="F1579" s="46" t="n">
        <x:v>2.444444444444444</x:v>
      </x:c>
      <x:c r="G1579" s="46" t="n">
        <x:v>8</x:v>
      </x:c>
      <x:c r="H1579" s="61" t="n">
        <x:v>27.478181818181817</x:v>
      </x:c>
      <x:c r="I1579" s="52" t="n">
        <x:v>0.9545454545454544</x:v>
      </x:c>
      <x:c r="J1579" s="52" t="n">
        <x:v>0.7308029511017005</x:v>
      </x:c>
      <x:c r="K1579" s="60" t="n">
        <x:v>1189.8</x:v>
      </x:c>
      <x:c r="L1579" s="60" t="n">
        <x:v>19.24</x:v>
      </x:c>
      <x:c r="M1579" s="50" t="n">
        <x:v>42</x:v>
      </x:c>
      <x:c r="N1579" s="50" t="n">
        <x:v>2</x:v>
      </x:c>
      <x:c r="O1579" s="50" t="n">
        <x:v>88</x:v>
      </x:c>
      <x:c r="P1579" s="50" t="n">
        <x:v>18</x:v>
      </x:c>
    </x:row>
    <x:row r="1580" ht="36" customHeight="1">
      <x:c r="A1580" s="53" t="n">
        <x:v>1561</x:v>
      </x:c>
      <x:c r="B1580" s="53" t="n">
        <x:v>2</x:v>
      </x:c>
      <x:c r="C1580" s="40" t="str">
        <x:v>Large-Basket Occasional Shoppers</x:v>
      </x:c>
      <x:c r="D1580" s="60" t="n">
        <x:v>401.41</x:v>
      </x:c>
      <x:c r="E1580" s="50" t="n">
        <x:v>6</x:v>
      </x:c>
      <x:c r="F1580" s="46" t="n">
        <x:v>1.5</x:v>
      </x:c>
      <x:c r="G1580" s="46" t="n">
        <x:v>100</x:v>
      </x:c>
      <x:c r="H1580" s="61" t="n">
        <x:v>66.90166666666667</x:v>
      </x:c>
      <x:c r="I1580" s="52" t="n">
        <x:v>0.8333333333333333</x:v>
      </x:c>
      <x:c r="J1580" s="52" t="n">
        <x:v>0.3691487506539448</x:v>
      </x:c>
      <x:c r="K1580" s="60" t="n">
        <x:v>398.42</x:v>
      </x:c>
      <x:c r="L1580" s="60" t="n">
        <x:v>2.99</x:v>
      </x:c>
      <x:c r="M1580" s="50" t="n">
        <x:v>5</x:v>
      </x:c>
      <x:c r="N1580" s="50" t="n">
        <x:v>1</x:v>
      </x:c>
      <x:c r="O1580" s="50" t="n">
        <x:v>56</x:v>
      </x:c>
      <x:c r="P1580" s="50" t="n">
        <x:v>4</x:v>
      </x:c>
    </x:row>
    <x:row r="1581" ht="36" customHeight="1">
      <x:c r="A1581" s="53" t="n">
        <x:v>1562</x:v>
      </x:c>
      <x:c r="B1581" s="53" t="n">
        <x:v>2</x:v>
      </x:c>
      <x:c r="C1581" s="40" t="str">
        <x:v>Large-Basket Occasional Shoppers</x:v>
      </x:c>
      <x:c r="D1581" s="60" t="n">
        <x:v>1198.02</x:v>
      </x:c>
      <x:c r="E1581" s="50" t="n">
        <x:v>39</x:v>
      </x:c>
      <x:c r="F1581" s="46" t="n">
        <x:v>2.0526315789473686</x:v>
      </x:c>
      <x:c r="G1581" s="46" t="n">
        <x:v>1</x:v>
      </x:c>
      <x:c r="H1581" s="61" t="n">
        <x:v>30.718461538461536</x:v>
      </x:c>
      <x:c r="I1581" s="52" t="n">
        <x:v>1</x:v>
      </x:c>
      <x:c r="J1581" s="52" t="n">
        <x:v>0.613136675514599</x:v>
      </x:c>
      <x:c r="K1581" s="60" t="n">
        <x:v>1198.02</x:v>
      </x:c>
      <x:c r="L1581" s="60" t="n">
        <x:v>0</x:v>
      </x:c>
      <x:c r="M1581" s="50" t="n">
        <x:v>39</x:v>
      </x:c>
      <x:c r="N1581" s="50" t="n">
        <x:v>0</x:v>
      </x:c>
      <x:c r="O1581" s="50" t="n">
        <x:v>108</x:v>
      </x:c>
      <x:c r="P1581" s="50" t="n">
        <x:v>19</x:v>
      </x:c>
    </x:row>
    <x:row r="1582" ht="36" customHeight="1">
      <x:c r="A1582" s="53" t="n">
        <x:v>1563</x:v>
      </x:c>
      <x:c r="B1582" s="53" t="n">
        <x:v>1</x:v>
      </x:c>
      <x:c r="C1582" s="40" t="str">
        <x:v>High-Value Frequent Shoppers</x:v>
      </x:c>
      <x:c r="D1582" s="60" t="n">
        <x:v>4754.88</x:v>
      </x:c>
      <x:c r="E1582" s="50" t="n">
        <x:v>113</x:v>
      </x:c>
      <x:c r="F1582" s="46" t="n">
        <x:v>5.65</x:v>
      </x:c>
      <x:c r="G1582" s="46" t="n">
        <x:v>13</x:v>
      </x:c>
      <x:c r="H1582" s="61" t="n">
        <x:v>42.07858407079647</x:v>
      </x:c>
      <x:c r="I1582" s="52" t="n">
        <x:v>0.7876106194690266</x:v>
      </x:c>
      <x:c r="J1582" s="52" t="n">
        <x:v>0.3965883471296857</x:v>
      </x:c>
      <x:c r="K1582" s="60" t="n">
        <x:v>4000.36</x:v>
      </x:c>
      <x:c r="L1582" s="60" t="n">
        <x:v>754.52</x:v>
      </x:c>
      <x:c r="M1582" s="50" t="n">
        <x:v>89</x:v>
      </x:c>
      <x:c r="N1582" s="50" t="n">
        <x:v>24</x:v>
      </x:c>
      <x:c r="O1582" s="50" t="n">
        <x:v>151</x:v>
      </x:c>
      <x:c r="P1582" s="50" t="n">
        <x:v>20</x:v>
      </x:c>
    </x:row>
    <x:row r="1583" ht="36" customHeight="1">
      <x:c r="A1583" s="53" t="n">
        <x:v>1564</x:v>
      </x:c>
      <x:c r="B1583" s="53" t="n">
        <x:v>3</x:v>
      </x:c>
      <x:c r="C1583" s="40" t="str">
        <x:v>Low-Value Low-Engagement Shoppers</x:v>
      </x:c>
      <x:c r="D1583" s="60" t="n">
        <x:v>437.77</x:v>
      </x:c>
      <x:c r="E1583" s="50" t="n">
        <x:v>36</x:v>
      </x:c>
      <x:c r="F1583" s="46" t="n">
        <x:v>2.4</x:v>
      </x:c>
      <x:c r="G1583" s="46" t="n">
        <x:v>47</x:v>
      </x:c>
      <x:c r="H1583" s="61" t="n">
        <x:v>12.160277777777775</x:v>
      </x:c>
      <x:c r="I1583" s="52" t="n">
        <x:v>0.6388888888888888</x:v>
      </x:c>
      <x:c r="J1583" s="52" t="n">
        <x:v>0.4465358521598099</x:v>
      </x:c>
      <x:c r="K1583" s="60" t="n">
        <x:v>360.6</x:v>
      </x:c>
      <x:c r="L1583" s="60" t="n">
        <x:v>77.17</x:v>
      </x:c>
      <x:c r="M1583" s="50" t="n">
        <x:v>23</x:v>
      </x:c>
      <x:c r="N1583" s="50" t="n">
        <x:v>13</x:v>
      </x:c>
      <x:c r="O1583" s="50" t="n">
        <x:v>74</x:v>
      </x:c>
      <x:c r="P1583" s="50" t="n">
        <x:v>15</x:v>
      </x:c>
    </x:row>
    <x:row r="1584" ht="36" customHeight="1">
      <x:c r="A1584" s="53" t="n">
        <x:v>1565</x:v>
      </x:c>
      <x:c r="B1584" s="53" t="n">
        <x:v>3</x:v>
      </x:c>
      <x:c r="C1584" s="40" t="str">
        <x:v>Low-Value Low-Engagement Shoppers</x:v>
      </x:c>
      <x:c r="D1584" s="60" t="n">
        <x:v>447.91</x:v>
      </x:c>
      <x:c r="E1584" s="50" t="n">
        <x:v>31</x:v>
      </x:c>
      <x:c r="F1584" s="46" t="n">
        <x:v>2.2142857142857144</x:v>
      </x:c>
      <x:c r="G1584" s="46" t="n">
        <x:v>59</x:v>
      </x:c>
      <x:c r="H1584" s="61" t="n">
        <x:v>14.448709677419354</x:v>
      </x:c>
      <x:c r="I1584" s="52" t="n">
        <x:v>0.9032258064516128</x:v>
      </x:c>
      <x:c r="J1584" s="52" t="n">
        <x:v>0.5526333415195016</x:v>
      </x:c>
      <x:c r="K1584" s="60" t="n">
        <x:v>413.82</x:v>
      </x:c>
      <x:c r="L1584" s="60" t="n">
        <x:v>34.09</x:v>
      </x:c>
      <x:c r="M1584" s="50" t="n">
        <x:v>28</x:v>
      </x:c>
      <x:c r="N1584" s="50" t="n">
        <x:v>3</x:v>
      </x:c>
      <x:c r="O1584" s="50" t="n">
        <x:v>69</x:v>
      </x:c>
      <x:c r="P1584" s="50" t="n">
        <x:v>14</x:v>
      </x:c>
    </x:row>
    <x:row r="1585" ht="36" customHeight="1">
      <x:c r="A1585" s="53" t="n">
        <x:v>1566</x:v>
      </x:c>
      <x:c r="B1585" s="53" t="n">
        <x:v>1</x:v>
      </x:c>
      <x:c r="C1585" s="40" t="str">
        <x:v>High-Value Frequent Shoppers</x:v>
      </x:c>
      <x:c r="D1585" s="60" t="n">
        <x:v>10567.71</x:v>
      </x:c>
      <x:c r="E1585" s="50" t="n">
        <x:v>347</x:v>
      </x:c>
      <x:c r="F1585" s="46" t="n">
        <x:v>17.35</x:v>
      </x:c>
      <x:c r="G1585" s="46" t="n">
        <x:v>2</x:v>
      </x:c>
      <x:c r="H1585" s="61" t="n">
        <x:v>30.454495677233428</x:v>
      </x:c>
      <x:c r="I1585" s="52" t="n">
        <x:v>0.8328530259365994</x:v>
      </x:c>
      <x:c r="J1585" s="52" t="n">
        <x:v>0.4404076190584336</x:v>
      </x:c>
      <x:c r="K1585" s="60" t="n">
        <x:v>9574.33</x:v>
      </x:c>
      <x:c r="L1585" s="60" t="n">
        <x:v>993.38</x:v>
      </x:c>
      <x:c r="M1585" s="50" t="n">
        <x:v>289</x:v>
      </x:c>
      <x:c r="N1585" s="50" t="n">
        <x:v>58</x:v>
      </x:c>
      <x:c r="O1585" s="50" t="n">
        <x:v>181</x:v>
      </x:c>
      <x:c r="P1585" s="50" t="n">
        <x:v>20</x:v>
      </x:c>
    </x:row>
    <x:row r="1586" ht="36" customHeight="1">
      <x:c r="A1586" s="53" t="n">
        <x:v>1567</x:v>
      </x:c>
      <x:c r="B1586" s="53" t="n">
        <x:v>1</x:v>
      </x:c>
      <x:c r="C1586" s="40" t="str">
        <x:v>High-Value Frequent Shoppers</x:v>
      </x:c>
      <x:c r="D1586" s="60" t="n">
        <x:v>2124.23</x:v>
      </x:c>
      <x:c r="E1586" s="50" t="n">
        <x:v>155</x:v>
      </x:c>
      <x:c r="F1586" s="46" t="n">
        <x:v>7.3809523809523805</x:v>
      </x:c>
      <x:c r="G1586" s="46" t="n">
        <x:v>3</x:v>
      </x:c>
      <x:c r="H1586" s="61" t="n">
        <x:v>13.704709677419354</x:v>
      </x:c>
      <x:c r="I1586" s="52" t="n">
        <x:v>0.696774193548387</x:v>
      </x:c>
      <x:c r="J1586" s="52" t="n">
        <x:v>0.3316495859676212</x:v>
      </x:c>
      <x:c r="K1586" s="60" t="n">
        <x:v>1890.37</x:v>
      </x:c>
      <x:c r="L1586" s="60" t="n">
        <x:v>233.86</x:v>
      </x:c>
      <x:c r="M1586" s="50" t="n">
        <x:v>108</x:v>
      </x:c>
      <x:c r="N1586" s="50" t="n">
        <x:v>47</x:v>
      </x:c>
      <x:c r="O1586" s="50" t="n">
        <x:v>107</x:v>
      </x:c>
      <x:c r="P1586" s="50" t="n">
        <x:v>21</x:v>
      </x:c>
    </x:row>
    <x:row r="1587" ht="36" customHeight="1">
      <x:c r="A1587" s="53" t="n">
        <x:v>1568</x:v>
      </x:c>
      <x:c r="B1587" s="53" t="n">
        <x:v>1</x:v>
      </x:c>
      <x:c r="C1587" s="40" t="str">
        <x:v>High-Value Frequent Shoppers</x:v>
      </x:c>
      <x:c r="D1587" s="60" t="n">
        <x:v>4575.94</x:v>
      </x:c>
      <x:c r="E1587" s="50" t="n">
        <x:v>81</x:v>
      </x:c>
      <x:c r="F1587" s="46" t="n">
        <x:v>3.8571428571428568</x:v>
      </x:c>
      <x:c r="G1587" s="46" t="n">
        <x:v>3</x:v>
      </x:c>
      <x:c r="H1587" s="61" t="n">
        <x:v>56.49308641975309</x:v>
      </x:c>
      <x:c r="I1587" s="52" t="n">
        <x:v>0.9506172839506172</x:v>
      </x:c>
      <x:c r="J1587" s="52" t="n">
        <x:v>0.6142606764948841</x:v>
      </x:c>
      <x:c r="K1587" s="60" t="n">
        <x:v>4511.35</x:v>
      </x:c>
      <x:c r="L1587" s="60" t="n">
        <x:v>64.59</x:v>
      </x:c>
      <x:c r="M1587" s="50" t="n">
        <x:v>77</x:v>
      </x:c>
      <x:c r="N1587" s="50" t="n">
        <x:v>4</x:v>
      </x:c>
      <x:c r="O1587" s="50" t="n">
        <x:v>150</x:v>
      </x:c>
      <x:c r="P1587" s="50" t="n">
        <x:v>21</x:v>
      </x:c>
    </x:row>
    <x:row r="1588" ht="36" customHeight="1">
      <x:c r="A1588" s="53" t="n">
        <x:v>1569</x:v>
      </x:c>
      <x:c r="B1588" s="53" t="n">
        <x:v>2</x:v>
      </x:c>
      <x:c r="C1588" s="40" t="str">
        <x:v>Large-Basket Occasional Shoppers</x:v>
      </x:c>
      <x:c r="D1588" s="60" t="n">
        <x:v>1345.59</x:v>
      </x:c>
      <x:c r="E1588" s="50" t="n">
        <x:v>104</x:v>
      </x:c>
      <x:c r="F1588" s="46" t="n">
        <x:v>5.2</x:v>
      </x:c>
      <x:c r="G1588" s="46" t="n">
        <x:v>5</x:v>
      </x:c>
      <x:c r="H1588" s="61" t="n">
        <x:v>12.938365384615384</x:v>
      </x:c>
      <x:c r="I1588" s="52" t="n">
        <x:v>0.903846153846154</x:v>
      </x:c>
      <x:c r="J1588" s="52" t="n">
        <x:v>0.4583416939781062</x:v>
      </x:c>
      <x:c r="K1588" s="60" t="n">
        <x:v>1309.97</x:v>
      </x:c>
      <x:c r="L1588" s="60" t="n">
        <x:v>35.62</x:v>
      </x:c>
      <x:c r="M1588" s="50" t="n">
        <x:v>94</x:v>
      </x:c>
      <x:c r="N1588" s="50" t="n">
        <x:v>10</x:v>
      </x:c>
      <x:c r="O1588" s="50" t="n">
        <x:v>107</x:v>
      </x:c>
      <x:c r="P1588" s="50" t="n">
        <x:v>20</x:v>
      </x:c>
    </x:row>
    <x:row r="1589" ht="36" customHeight="1">
      <x:c r="A1589" s="53" t="n">
        <x:v>1570</x:v>
      </x:c>
      <x:c r="B1589" s="53" t="n">
        <x:v>2</x:v>
      </x:c>
      <x:c r="C1589" s="40" t="str">
        <x:v>Large-Basket Occasional Shoppers</x:v>
      </x:c>
      <x:c r="D1589" s="60" t="n">
        <x:v>2389.96</x:v>
      </x:c>
      <x:c r="E1589" s="50" t="n">
        <x:v>51</x:v>
      </x:c>
      <x:c r="F1589" s="46" t="n">
        <x:v>3</x:v>
      </x:c>
      <x:c r="G1589" s="46" t="n">
        <x:v>47</x:v>
      </x:c>
      <x:c r="H1589" s="61" t="n">
        <x:v>46.86196078431373</x:v>
      </x:c>
      <x:c r="I1589" s="52" t="n">
        <x:v>0.9411764705882352</x:v>
      </x:c>
      <x:c r="J1589" s="52" t="n">
        <x:v>0.5848884500158998</x:v>
      </x:c>
      <x:c r="K1589" s="60" t="n">
        <x:v>2323.71</x:v>
      </x:c>
      <x:c r="L1589" s="60" t="n">
        <x:v>66.25</x:v>
      </x:c>
      <x:c r="M1589" s="50" t="n">
        <x:v>48</x:v>
      </x:c>
      <x:c r="N1589" s="50" t="n">
        <x:v>3</x:v>
      </x:c>
      <x:c r="O1589" s="50" t="n">
        <x:v>120</x:v>
      </x:c>
      <x:c r="P1589" s="50" t="n">
        <x:v>17</x:v>
      </x:c>
    </x:row>
    <x:row r="1590" ht="36" customHeight="1">
      <x:c r="A1590" s="53" t="n">
        <x:v>1571</x:v>
      </x:c>
      <x:c r="B1590" s="53" t="n">
        <x:v>3</x:v>
      </x:c>
      <x:c r="C1590" s="40" t="str">
        <x:v>Low-Value Low-Engagement Shoppers</x:v>
      </x:c>
      <x:c r="D1590" s="60" t="n">
        <x:v>567.87</x:v>
      </x:c>
      <x:c r="E1590" s="50" t="n">
        <x:v>49</x:v>
      </x:c>
      <x:c r="F1590" s="46" t="n">
        <x:v>2.7222222222222223</x:v>
      </x:c>
      <x:c r="G1590" s="46" t="n">
        <x:v>3</x:v>
      </x:c>
      <x:c r="H1590" s="61" t="n">
        <x:v>11.589183673469387</x:v>
      </x:c>
      <x:c r="I1590" s="52" t="n">
        <x:v>0.7755102040816326</x:v>
      </x:c>
      <x:c r="J1590" s="52" t="n">
        <x:v>0.3820064451370912</x:v>
      </x:c>
      <x:c r="K1590" s="60" t="n">
        <x:v>481.44</x:v>
      </x:c>
      <x:c r="L1590" s="60" t="n">
        <x:v>86.43</x:v>
      </x:c>
      <x:c r="M1590" s="50" t="n">
        <x:v>38</x:v>
      </x:c>
      <x:c r="N1590" s="50" t="n">
        <x:v>11</x:v>
      </x:c>
      <x:c r="O1590" s="50" t="n">
        <x:v>55</x:v>
      </x:c>
      <x:c r="P1590" s="50" t="n">
        <x:v>18</x:v>
      </x:c>
    </x:row>
    <x:row r="1591" ht="36" customHeight="1">
      <x:c r="A1591" s="53" t="n">
        <x:v>1572</x:v>
      </x:c>
      <x:c r="B1591" s="53" t="n">
        <x:v>1</x:v>
      </x:c>
      <x:c r="C1591" s="40" t="str">
        <x:v>High-Value Frequent Shoppers</x:v>
      </x:c>
      <x:c r="D1591" s="60" t="n">
        <x:v>2544.41</x:v>
      </x:c>
      <x:c r="E1591" s="50" t="n">
        <x:v>52</x:v>
      </x:c>
      <x:c r="F1591" s="46" t="n">
        <x:v>3.466666666666667</x:v>
      </x:c>
      <x:c r="G1591" s="46" t="n">
        <x:v>0</x:v>
      </x:c>
      <x:c r="H1591" s="61" t="n">
        <x:v>48.93096153846154</x:v>
      </x:c>
      <x:c r="I1591" s="52" t="n">
        <x:v>0.903846153846154</x:v>
      </x:c>
      <x:c r="J1591" s="52" t="n">
        <x:v>0.5887573150553566</x:v>
      </x:c>
      <x:c r="K1591" s="60" t="n">
        <x:v>2481.48</x:v>
      </x:c>
      <x:c r="L1591" s="60" t="n">
        <x:v>62.93</x:v>
      </x:c>
      <x:c r="M1591" s="50" t="n">
        <x:v>47</x:v>
      </x:c>
      <x:c r="N1591" s="50" t="n">
        <x:v>5</x:v>
      </x:c>
      <x:c r="O1591" s="50" t="n">
        <x:v>135</x:v>
      </x:c>
      <x:c r="P1591" s="50" t="n">
        <x:v>15</x:v>
      </x:c>
    </x:row>
    <x:row r="1592" ht="36" customHeight="1">
      <x:c r="A1592" s="53" t="n">
        <x:v>1573</x:v>
      </x:c>
      <x:c r="B1592" s="53" t="n">
        <x:v>3</x:v>
      </x:c>
      <x:c r="C1592" s="40" t="str">
        <x:v>Low-Value Low-Engagement Shoppers</x:v>
      </x:c>
      <x:c r="D1592" s="60" t="n">
        <x:v>372.87</x:v>
      </x:c>
      <x:c r="E1592" s="50" t="n">
        <x:v>95</x:v>
      </x:c>
      <x:c r="F1592" s="46" t="n">
        <x:v>6.785714285714286</x:v>
      </x:c>
      <x:c r="G1592" s="46" t="n">
        <x:v>15</x:v>
      </x:c>
      <x:c r="H1592" s="61" t="n">
        <x:v>3.9249473684210527</x:v>
      </x:c>
      <x:c r="I1592" s="52" t="n">
        <x:v>0.5789473684210527</x:v>
      </x:c>
      <x:c r="J1592" s="52" t="n">
        <x:v>0.4022581596803175</x:v>
      </x:c>
      <x:c r="K1592" s="60" t="n">
        <x:v>281.5</x:v>
      </x:c>
      <x:c r="L1592" s="60" t="n">
        <x:v>91.37</x:v>
      </x:c>
      <x:c r="M1592" s="50" t="n">
        <x:v>55</x:v>
      </x:c>
      <x:c r="N1592" s="50" t="n">
        <x:v>40</x:v>
      </x:c>
      <x:c r="O1592" s="50" t="n">
        <x:v>54</x:v>
      </x:c>
      <x:c r="P1592" s="50" t="n">
        <x:v>14</x:v>
      </x:c>
    </x:row>
    <x:row r="1593" ht="36" customHeight="1">
      <x:c r="A1593" s="53" t="n">
        <x:v>1574</x:v>
      </x:c>
      <x:c r="B1593" s="53" t="n">
        <x:v>2</x:v>
      </x:c>
      <x:c r="C1593" s="40" t="str">
        <x:v>Large-Basket Occasional Shoppers</x:v>
      </x:c>
      <x:c r="D1593" s="60" t="n">
        <x:v>3616.03</x:v>
      </x:c>
      <x:c r="E1593" s="50" t="n">
        <x:v>28</x:v>
      </x:c>
      <x:c r="F1593" s="46" t="n">
        <x:v>1.5555555555555556</x:v>
      </x:c>
      <x:c r="G1593" s="46" t="n">
        <x:v>60</x:v>
      </x:c>
      <x:c r="H1593" s="61" t="n">
        <x:v>129.14392857142855</x:v>
      </x:c>
      <x:c r="I1593" s="52" t="n">
        <x:v>0.9285714285714284</x:v>
      </x:c>
      <x:c r="J1593" s="52" t="n">
        <x:v>0.6705420032466544</x:v>
      </x:c>
      <x:c r="K1593" s="60" t="n">
        <x:v>3593.06</x:v>
      </x:c>
      <x:c r="L1593" s="60" t="n">
        <x:v>22.97</x:v>
      </x:c>
      <x:c r="M1593" s="50" t="n">
        <x:v>26</x:v>
      </x:c>
      <x:c r="N1593" s="50" t="n">
        <x:v>2</x:v>
      </x:c>
      <x:c r="O1593" s="50" t="n">
        <x:v>116</x:v>
      </x:c>
      <x:c r="P1593" s="50" t="n">
        <x:v>18</x:v>
      </x:c>
    </x:row>
    <x:row r="1594" ht="36" customHeight="1">
      <x:c r="A1594" s="53" t="n">
        <x:v>1575</x:v>
      </x:c>
      <x:c r="B1594" s="53" t="n">
        <x:v>2</x:v>
      </x:c>
      <x:c r="C1594" s="40" t="str">
        <x:v>Large-Basket Occasional Shoppers</x:v>
      </x:c>
      <x:c r="D1594" s="60" t="n">
        <x:v>1642.49</x:v>
      </x:c>
      <x:c r="E1594" s="50" t="n">
        <x:v>55</x:v>
      </x:c>
      <x:c r="F1594" s="46" t="n">
        <x:v>2.8947368421052637</x:v>
      </x:c>
      <x:c r="G1594" s="46" t="n">
        <x:v>1</x:v>
      </x:c>
      <x:c r="H1594" s="61" t="n">
        <x:v>29.863454545454545</x:v>
      </x:c>
      <x:c r="I1594" s="52" t="n">
        <x:v>0.909090909090909</x:v>
      </x:c>
      <x:c r="J1594" s="52" t="n">
        <x:v>0.4854458779048883</x:v>
      </x:c>
      <x:c r="K1594" s="60" t="n">
        <x:v>1611.09</x:v>
      </x:c>
      <x:c r="L1594" s="60" t="n">
        <x:v>31.4</x:v>
      </x:c>
      <x:c r="M1594" s="50" t="n">
        <x:v>50</x:v>
      </x:c>
      <x:c r="N1594" s="50" t="n">
        <x:v>5</x:v>
      </x:c>
      <x:c r="O1594" s="50" t="n">
        <x:v>127</x:v>
      </x:c>
      <x:c r="P1594" s="50" t="n">
        <x:v>19</x:v>
      </x:c>
    </x:row>
    <x:row r="1595" ht="36" customHeight="1">
      <x:c r="A1595" s="53" t="n">
        <x:v>1576</x:v>
      </x:c>
      <x:c r="B1595" s="53" t="n">
        <x:v>2</x:v>
      </x:c>
      <x:c r="C1595" s="40" t="str">
        <x:v>Large-Basket Occasional Shoppers</x:v>
      </x:c>
      <x:c r="D1595" s="60" t="n">
        <x:v>471.11</x:v>
      </x:c>
      <x:c r="E1595" s="50" t="n">
        <x:v>18</x:v>
      </x:c>
      <x:c r="F1595" s="46" t="n">
        <x:v>1.6363636363636365</x:v>
      </x:c>
      <x:c r="G1595" s="46" t="n">
        <x:v>20</x:v>
      </x:c>
      <x:c r="H1595" s="61" t="n">
        <x:v>26.17277777777777</x:v>
      </x:c>
      <x:c r="I1595" s="52" t="n">
        <x:v>1</x:v>
      </x:c>
      <x:c r="J1595" s="52" t="n">
        <x:v>0.5782301373352295</x:v>
      </x:c>
      <x:c r="K1595" s="60" t="n">
        <x:v>471.11</x:v>
      </x:c>
      <x:c r="L1595" s="60" t="n">
        <x:v>0</x:v>
      </x:c>
      <x:c r="M1595" s="50" t="n">
        <x:v>18</x:v>
      </x:c>
      <x:c r="N1595" s="50" t="n">
        <x:v>0</x:v>
      </x:c>
      <x:c r="O1595" s="50" t="n">
        <x:v>73</x:v>
      </x:c>
      <x:c r="P1595" s="50" t="n">
        <x:v>11</x:v>
      </x:c>
    </x:row>
    <x:row r="1596" ht="36" customHeight="1">
      <x:c r="A1596" s="53" t="n">
        <x:v>1577</x:v>
      </x:c>
      <x:c r="B1596" s="53" t="n">
        <x:v>2</x:v>
      </x:c>
      <x:c r="C1596" s="40" t="str">
        <x:v>Large-Basket Occasional Shoppers</x:v>
      </x:c>
      <x:c r="D1596" s="60" t="n">
        <x:v>3794.61</x:v>
      </x:c>
      <x:c r="E1596" s="50" t="n">
        <x:v>82</x:v>
      </x:c>
      <x:c r="F1596" s="46" t="n">
        <x:v>4.1</x:v>
      </x:c>
      <x:c r="G1596" s="46" t="n">
        <x:v>19</x:v>
      </x:c>
      <x:c r="H1596" s="61" t="n">
        <x:v>46.27573170731707</x:v>
      </x:c>
      <x:c r="I1596" s="52" t="n">
        <x:v>0.8170731707317073</x:v>
      </x:c>
      <x:c r="J1596" s="52" t="n">
        <x:v>0.478209881911448</x:v>
      </x:c>
      <x:c r="K1596" s="60" t="n">
        <x:v>3646.75</x:v>
      </x:c>
      <x:c r="L1596" s="60" t="n">
        <x:v>147.86</x:v>
      </x:c>
      <x:c r="M1596" s="50" t="n">
        <x:v>67</x:v>
      </x:c>
      <x:c r="N1596" s="50" t="n">
        <x:v>15</x:v>
      </x:c>
      <x:c r="O1596" s="50" t="n">
        <x:v>150</x:v>
      </x:c>
      <x:c r="P1596" s="50" t="n">
        <x:v>20</x:v>
      </x:c>
    </x:row>
    <x:row r="1597" ht="36" customHeight="1">
      <x:c r="A1597" s="53" t="n">
        <x:v>1578</x:v>
      </x:c>
      <x:c r="B1597" s="53" t="n">
        <x:v>2</x:v>
      </x:c>
      <x:c r="C1597" s="40" t="str">
        <x:v>Large-Basket Occasional Shoppers</x:v>
      </x:c>
      <x:c r="D1597" s="60" t="n">
        <x:v>2846.81</x:v>
      </x:c>
      <x:c r="E1597" s="50" t="n">
        <x:v>94</x:v>
      </x:c>
      <x:c r="F1597" s="46" t="n">
        <x:v>4.7</x:v>
      </x:c>
      <x:c r="G1597" s="46" t="n">
        <x:v>14</x:v>
      </x:c>
      <x:c r="H1597" s="61" t="n">
        <x:v>30.285212765957446</x:v>
      </x:c>
      <x:c r="I1597" s="52" t="n">
        <x:v>0.946808510638298</x:v>
      </x:c>
      <x:c r="J1597" s="52" t="n">
        <x:v>0.4920068427467937</x:v>
      </x:c>
      <x:c r="K1597" s="60" t="n">
        <x:v>2778.83</x:v>
      </x:c>
      <x:c r="L1597" s="60" t="n">
        <x:v>67.98</x:v>
      </x:c>
      <x:c r="M1597" s="50" t="n">
        <x:v>89</x:v>
      </x:c>
      <x:c r="N1597" s="50" t="n">
        <x:v>5</x:v>
      </x:c>
      <x:c r="O1597" s="50" t="n">
        <x:v>131</x:v>
      </x:c>
      <x:c r="P1597" s="50" t="n">
        <x:v>20</x:v>
      </x:c>
    </x:row>
    <x:row r="1598" ht="36" customHeight="1">
      <x:c r="A1598" s="53" t="n">
        <x:v>1579</x:v>
      </x:c>
      <x:c r="B1598" s="53" t="n">
        <x:v>1</x:v>
      </x:c>
      <x:c r="C1598" s="40" t="str">
        <x:v>High-Value Frequent Shoppers</x:v>
      </x:c>
      <x:c r="D1598" s="60" t="n">
        <x:v>12695.25</x:v>
      </x:c>
      <x:c r="E1598" s="50" t="n">
        <x:v>600</x:v>
      </x:c>
      <x:c r="F1598" s="46" t="n">
        <x:v>25</x:v>
      </x:c>
      <x:c r="G1598" s="46" t="n">
        <x:v>1</x:v>
      </x:c>
      <x:c r="H1598" s="61" t="n">
        <x:v>21.15875</x:v>
      </x:c>
      <x:c r="I1598" s="52" t="n">
        <x:v>0.8383333333333333</x:v>
      </x:c>
      <x:c r="J1598" s="52" t="n">
        <x:v>0.5247663496189519</x:v>
      </x:c>
      <x:c r="K1598" s="60" t="n">
        <x:v>11801.83</x:v>
      </x:c>
      <x:c r="L1598" s="60" t="n">
        <x:v>893.42</x:v>
      </x:c>
      <x:c r="M1598" s="50" t="n">
        <x:v>503</x:v>
      </x:c>
      <x:c r="N1598" s="50" t="n">
        <x:v>97</x:v>
      </x:c>
      <x:c r="O1598" s="50" t="n">
        <x:v>176</x:v>
      </x:c>
      <x:c r="P1598" s="50" t="n">
        <x:v>24</x:v>
      </x:c>
    </x:row>
    <x:row r="1599" ht="36" customHeight="1">
      <x:c r="A1599" s="53" t="n">
        <x:v>1580</x:v>
      </x:c>
      <x:c r="B1599" s="53" t="n">
        <x:v>1</x:v>
      </x:c>
      <x:c r="C1599" s="40" t="str">
        <x:v>High-Value Frequent Shoppers</x:v>
      </x:c>
      <x:c r="D1599" s="60" t="n">
        <x:v>1771.02</x:v>
      </x:c>
      <x:c r="E1599" s="50" t="n">
        <x:v>201</x:v>
      </x:c>
      <x:c r="F1599" s="46" t="n">
        <x:v>11.823529411764705</x:v>
      </x:c>
      <x:c r="G1599" s="46" t="n">
        <x:v>1</x:v>
      </x:c>
      <x:c r="H1599" s="61" t="n">
        <x:v>8.811044776119402</x:v>
      </x:c>
      <x:c r="I1599" s="52" t="n">
        <x:v>0.6567164179104477</x:v>
      </x:c>
      <x:c r="J1599" s="52" t="n">
        <x:v>0.4569626542896184</x:v>
      </x:c>
      <x:c r="K1599" s="60" t="n">
        <x:v>1544.28</x:v>
      </x:c>
      <x:c r="L1599" s="60" t="n">
        <x:v>226.74</x:v>
      </x:c>
      <x:c r="M1599" s="50" t="n">
        <x:v>132</x:v>
      </x:c>
      <x:c r="N1599" s="50" t="n">
        <x:v>69</x:v>
      </x:c>
      <x:c r="O1599" s="50" t="n">
        <x:v>128</x:v>
      </x:c>
      <x:c r="P1599" s="50" t="n">
        <x:v>17</x:v>
      </x:c>
    </x:row>
    <x:row r="1600" ht="36" customHeight="1">
      <x:c r="A1600" s="53" t="n">
        <x:v>1581</x:v>
      </x:c>
      <x:c r="B1600" s="53" t="n">
        <x:v>2</x:v>
      </x:c>
      <x:c r="C1600" s="40" t="str">
        <x:v>Large-Basket Occasional Shoppers</x:v>
      </x:c>
      <x:c r="D1600" s="60" t="n">
        <x:v>1249.26</x:v>
      </x:c>
      <x:c r="E1600" s="50" t="n">
        <x:v>28</x:v>
      </x:c>
      <x:c r="F1600" s="46" t="n">
        <x:v>2.8</x:v>
      </x:c>
      <x:c r="G1600" s="46" t="n">
        <x:v>3</x:v>
      </x:c>
      <x:c r="H1600" s="61" t="n">
        <x:v>44.61642857142857</x:v>
      </x:c>
      <x:c r="I1600" s="52" t="n">
        <x:v>0.9285714285714284</x:v>
      </x:c>
      <x:c r="J1600" s="52" t="n">
        <x:v>0.6070473720442501</x:v>
      </x:c>
      <x:c r="K1600" s="60" t="n">
        <x:v>1230.43</x:v>
      </x:c>
      <x:c r="L1600" s="60" t="n">
        <x:v>18.83</x:v>
      </x:c>
      <x:c r="M1600" s="50" t="n">
        <x:v>26</x:v>
      </x:c>
      <x:c r="N1600" s="50" t="n">
        <x:v>2</x:v>
      </x:c>
      <x:c r="O1600" s="50" t="n">
        <x:v>117</x:v>
      </x:c>
      <x:c r="P1600" s="50" t="n">
        <x:v>10</x:v>
      </x:c>
    </x:row>
    <x:row r="1601" ht="36" customHeight="1">
      <x:c r="A1601" s="53" t="n">
        <x:v>1582</x:v>
      </x:c>
      <x:c r="B1601" s="53" t="n">
        <x:v>2</x:v>
      </x:c>
      <x:c r="C1601" s="40" t="str">
        <x:v>Large-Basket Occasional Shoppers</x:v>
      </x:c>
      <x:c r="D1601" s="60" t="n">
        <x:v>1907.02</x:v>
      </x:c>
      <x:c r="E1601" s="50" t="n">
        <x:v>37</x:v>
      </x:c>
      <x:c r="F1601" s="46" t="n">
        <x:v>3.363636363636364</x:v>
      </x:c>
      <x:c r="G1601" s="46" t="n">
        <x:v>109</x:v>
      </x:c>
      <x:c r="H1601" s="61" t="n">
        <x:v>51.54108108108108</x:v>
      </x:c>
      <x:c r="I1601" s="52" t="n">
        <x:v>0.8918918918918918</x:v>
      </x:c>
      <x:c r="J1601" s="52" t="n">
        <x:v>0.3592253883021677</x:v>
      </x:c>
      <x:c r="K1601" s="60" t="n">
        <x:v>1831.67</x:v>
      </x:c>
      <x:c r="L1601" s="60" t="n">
        <x:v>75.35</x:v>
      </x:c>
      <x:c r="M1601" s="50" t="n">
        <x:v>33</x:v>
      </x:c>
      <x:c r="N1601" s="50" t="n">
        <x:v>4</x:v>
      </x:c>
      <x:c r="O1601" s="50" t="n">
        <x:v>122</x:v>
      </x:c>
      <x:c r="P1601" s="50" t="n">
        <x:v>11</x:v>
      </x:c>
    </x:row>
    <x:row r="1602" ht="36" customHeight="1">
      <x:c r="A1602" s="53" t="n">
        <x:v>1583</x:v>
      </x:c>
      <x:c r="B1602" s="53" t="n">
        <x:v>3</x:v>
      </x:c>
      <x:c r="C1602" s="40" t="str">
        <x:v>Low-Value Low-Engagement Shoppers</x:v>
      </x:c>
      <x:c r="D1602" s="60" t="n">
        <x:v>338.28</x:v>
      </x:c>
      <x:c r="E1602" s="50" t="n">
        <x:v>20</x:v>
      </x:c>
      <x:c r="F1602" s="46" t="n">
        <x:v>1.3333333333333333</x:v>
      </x:c>
      <x:c r="G1602" s="46" t="n">
        <x:v>26</x:v>
      </x:c>
      <x:c r="H1602" s="61" t="n">
        <x:v>16.914</x:v>
      </x:c>
      <x:c r="I1602" s="52" t="n">
        <x:v>0.6</x:v>
      </x:c>
      <x:c r="J1602" s="52" t="n">
        <x:v>0.2186354499231405</x:v>
      </x:c>
      <x:c r="K1602" s="60" t="n">
        <x:v>214.05</x:v>
      </x:c>
      <x:c r="L1602" s="60" t="n">
        <x:v>124.23</x:v>
      </x:c>
      <x:c r="M1602" s="50" t="n">
        <x:v>12</x:v>
      </x:c>
      <x:c r="N1602" s="50" t="n">
        <x:v>8</x:v>
      </x:c>
      <x:c r="O1602" s="50" t="n">
        <x:v>26</x:v>
      </x:c>
      <x:c r="P1602" s="50" t="n">
        <x:v>15</x:v>
      </x:c>
    </x:row>
    <x:row r="1603" ht="36" customHeight="1">
      <x:c r="A1603" s="53" t="n">
        <x:v>1584</x:v>
      </x:c>
      <x:c r="B1603" s="53" t="n">
        <x:v>1</x:v>
      </x:c>
      <x:c r="C1603" s="40" t="str">
        <x:v>High-Value Frequent Shoppers</x:v>
      </x:c>
      <x:c r="D1603" s="60" t="n">
        <x:v>7435.38</x:v>
      </x:c>
      <x:c r="E1603" s="50" t="n">
        <x:v>317</x:v>
      </x:c>
      <x:c r="F1603" s="46" t="n">
        <x:v>13.208333333333332</x:v>
      </x:c>
      <x:c r="G1603" s="46" t="n">
        <x:v>1</x:v>
      </x:c>
      <x:c r="H1603" s="61" t="n">
        <x:v>23.455457413249206</x:v>
      </x:c>
      <x:c r="I1603" s="52" t="n">
        <x:v>0.8138801261829652</x:v>
      </x:c>
      <x:c r="J1603" s="52" t="n">
        <x:v>0.4614545591482883</x:v>
      </x:c>
      <x:c r="K1603" s="60" t="n">
        <x:v>6870.86</x:v>
      </x:c>
      <x:c r="L1603" s="60" t="n">
        <x:v>564.52</x:v>
      </x:c>
      <x:c r="M1603" s="50" t="n">
        <x:v>258</x:v>
      </x:c>
      <x:c r="N1603" s="50" t="n">
        <x:v>59</x:v>
      </x:c>
      <x:c r="O1603" s="50" t="n">
        <x:v>156</x:v>
      </x:c>
      <x:c r="P1603" s="50" t="n">
        <x:v>24</x:v>
      </x:c>
    </x:row>
    <x:row r="1604" ht="36" customHeight="1">
      <x:c r="A1604" s="53" t="n">
        <x:v>1585</x:v>
      </x:c>
      <x:c r="B1604" s="53" t="n">
        <x:v>1</x:v>
      </x:c>
      <x:c r="C1604" s="40" t="str">
        <x:v>High-Value Frequent Shoppers</x:v>
      </x:c>
      <x:c r="D1604" s="60" t="n">
        <x:v>9353.85</x:v>
      </x:c>
      <x:c r="E1604" s="50" t="n">
        <x:v>149</x:v>
      </x:c>
      <x:c r="F1604" s="46" t="n">
        <x:v>6.7727272727272725</x:v>
      </x:c>
      <x:c r="G1604" s="46" t="n">
        <x:v>6</x:v>
      </x:c>
      <x:c r="H1604" s="61" t="n">
        <x:v>62.77751677852349</x:v>
      </x:c>
      <x:c r="I1604" s="52" t="n">
        <x:v>0.9060402684563758</x:v>
      </x:c>
      <x:c r="J1604" s="52" t="n">
        <x:v>0.4270968638581974</x:v>
      </x:c>
      <x:c r="K1604" s="60" t="n">
        <x:v>9053.87</x:v>
      </x:c>
      <x:c r="L1604" s="60" t="n">
        <x:v>299.98</x:v>
      </x:c>
      <x:c r="M1604" s="50" t="n">
        <x:v>135</x:v>
      </x:c>
      <x:c r="N1604" s="50" t="n">
        <x:v>14</x:v>
      </x:c>
      <x:c r="O1604" s="50" t="n">
        <x:v>198</x:v>
      </x:c>
      <x:c r="P1604" s="50" t="n">
        <x:v>22</x:v>
      </x:c>
    </x:row>
    <x:row r="1605" ht="36" customHeight="1">
      <x:c r="A1605" s="53" t="n">
        <x:v>1586</x:v>
      </x:c>
      <x:c r="B1605" s="53" t="n">
        <x:v>2</x:v>
      </x:c>
      <x:c r="C1605" s="40" t="str">
        <x:v>Large-Basket Occasional Shoppers</x:v>
      </x:c>
      <x:c r="D1605" s="60" t="n">
        <x:v>2237.21</x:v>
      </x:c>
      <x:c r="E1605" s="50" t="n">
        <x:v>72</x:v>
      </x:c>
      <x:c r="F1605" s="46" t="n">
        <x:v>3.428571428571429</x:v>
      </x:c>
      <x:c r="G1605" s="46" t="n">
        <x:v>2</x:v>
      </x:c>
      <x:c r="H1605" s="61" t="n">
        <x:v>31.07236111111111</x:v>
      </x:c>
      <x:c r="I1605" s="52" t="n">
        <x:v>0.7916666666666666</x:v>
      </x:c>
      <x:c r="J1605" s="52" t="n">
        <x:v>0.2266707193334555</x:v>
      </x:c>
      <x:c r="K1605" s="60" t="n">
        <x:v>1951.94</x:v>
      </x:c>
      <x:c r="L1605" s="60" t="n">
        <x:v>285.27</x:v>
      </x:c>
      <x:c r="M1605" s="50" t="n">
        <x:v>57</x:v>
      </x:c>
      <x:c r="N1605" s="50" t="n">
        <x:v>15</x:v>
      </x:c>
      <x:c r="O1605" s="50" t="n">
        <x:v>88</x:v>
      </x:c>
      <x:c r="P1605" s="50" t="n">
        <x:v>21</x:v>
      </x:c>
    </x:row>
    <x:row r="1606" ht="36" customHeight="1">
      <x:c r="A1606" s="53" t="n">
        <x:v>1587</x:v>
      </x:c>
      <x:c r="B1606" s="53" t="n">
        <x:v>3</x:v>
      </x:c>
      <x:c r="C1606" s="40" t="str">
        <x:v>Low-Value Low-Engagement Shoppers</x:v>
      </x:c>
      <x:c r="D1606" s="60" t="n">
        <x:v>714.61</x:v>
      </x:c>
      <x:c r="E1606" s="50" t="n">
        <x:v>68</x:v>
      </x:c>
      <x:c r="F1606" s="46" t="n">
        <x:v>3.238095238095238</x:v>
      </x:c>
      <x:c r="G1606" s="46" t="n">
        <x:v>0</x:v>
      </x:c>
      <x:c r="H1606" s="61" t="n">
        <x:v>10.508970588235297</x:v>
      </x:c>
      <x:c r="I1606" s="52" t="n">
        <x:v>0.75</x:v>
      </x:c>
      <x:c r="J1606" s="52" t="n">
        <x:v>0.5386154685772659</x:v>
      </x:c>
      <x:c r="K1606" s="60" t="n">
        <x:v>627.13</x:v>
      </x:c>
      <x:c r="L1606" s="60" t="n">
        <x:v>87.48</x:v>
      </x:c>
      <x:c r="M1606" s="50" t="n">
        <x:v>51</x:v>
      </x:c>
      <x:c r="N1606" s="50" t="n">
        <x:v>17</x:v>
      </x:c>
      <x:c r="O1606" s="50" t="n">
        <x:v>79</x:v>
      </x:c>
      <x:c r="P1606" s="50" t="n">
        <x:v>21</x:v>
      </x:c>
    </x:row>
    <x:row r="1607" ht="36" customHeight="1">
      <x:c r="A1607" s="53" t="n">
        <x:v>1588</x:v>
      </x:c>
      <x:c r="B1607" s="53" t="n">
        <x:v>1</x:v>
      </x:c>
      <x:c r="C1607" s="40" t="str">
        <x:v>High-Value Frequent Shoppers</x:v>
      </x:c>
      <x:c r="D1607" s="60" t="n">
        <x:v>5199.98</x:v>
      </x:c>
      <x:c r="E1607" s="50" t="n">
        <x:v>232</x:v>
      </x:c>
      <x:c r="F1607" s="46" t="n">
        <x:v>11.047619047619047</x:v>
      </x:c>
      <x:c r="G1607" s="46" t="n">
        <x:v>3</x:v>
      </x:c>
      <x:c r="H1607" s="61" t="n">
        <x:v>22.413706896551723</x:v>
      </x:c>
      <x:c r="I1607" s="52" t="n">
        <x:v>0.7413793103448275</x:v>
      </x:c>
      <x:c r="J1607" s="52" t="n">
        <x:v>0.311047350182116</x:v>
      </x:c>
      <x:c r="K1607" s="60" t="n">
        <x:v>4692.92</x:v>
      </x:c>
      <x:c r="L1607" s="60" t="n">
        <x:v>507.06</x:v>
      </x:c>
      <x:c r="M1607" s="50" t="n">
        <x:v>172</x:v>
      </x:c>
      <x:c r="N1607" s="50" t="n">
        <x:v>60</x:v>
      </x:c>
      <x:c r="O1607" s="50" t="n">
        <x:v>188</x:v>
      </x:c>
      <x:c r="P1607" s="50" t="n">
        <x:v>21</x:v>
      </x:c>
    </x:row>
    <x:row r="1608" ht="36" customHeight="1">
      <x:c r="A1608" s="53" t="n">
        <x:v>1589</x:v>
      </x:c>
      <x:c r="B1608" s="53" t="n">
        <x:v>3</x:v>
      </x:c>
      <x:c r="C1608" s="40" t="str">
        <x:v>Low-Value Low-Engagement Shoppers</x:v>
      </x:c>
      <x:c r="D1608" s="60" t="n">
        <x:v>341.54</x:v>
      </x:c>
      <x:c r="E1608" s="50" t="n">
        <x:v>18</x:v>
      </x:c>
      <x:c r="F1608" s="46" t="n">
        <x:v>1.5</x:v>
      </x:c>
      <x:c r="G1608" s="46" t="n">
        <x:v>3</x:v>
      </x:c>
      <x:c r="H1608" s="61" t="n">
        <x:v>18.974444444444444</x:v>
      </x:c>
      <x:c r="I1608" s="52" t="n">
        <x:v>0.8888888888888888</x:v>
      </x:c>
      <x:c r="J1608" s="52" t="n">
        <x:v>0.5000585582947824</x:v>
      </x:c>
      <x:c r="K1608" s="60" t="n">
        <x:v>326.9</x:v>
      </x:c>
      <x:c r="L1608" s="60" t="n">
        <x:v>14.64</x:v>
      </x:c>
      <x:c r="M1608" s="50" t="n">
        <x:v>16</x:v>
      </x:c>
      <x:c r="N1608" s="50" t="n">
        <x:v>2</x:v>
      </x:c>
      <x:c r="O1608" s="50" t="n">
        <x:v>56</x:v>
      </x:c>
      <x:c r="P1608" s="50" t="n">
        <x:v>12</x:v>
      </x:c>
    </x:row>
    <x:row r="1609" ht="36" customHeight="1">
      <x:c r="A1609" s="53" t="n">
        <x:v>1590</x:v>
      </x:c>
      <x:c r="B1609" s="53" t="n">
        <x:v>1</x:v>
      </x:c>
      <x:c r="C1609" s="40" t="str">
        <x:v>High-Value Frequent Shoppers</x:v>
      </x:c>
      <x:c r="D1609" s="60" t="n">
        <x:v>8033.79</x:v>
      </x:c>
      <x:c r="E1609" s="50" t="n">
        <x:v>152</x:v>
      </x:c>
      <x:c r="F1609" s="46" t="n">
        <x:v>6.333333333333333</x:v>
      </x:c>
      <x:c r="G1609" s="46" t="n">
        <x:v>7</x:v>
      </x:c>
      <x:c r="H1609" s="61" t="n">
        <x:v>52.853881578947366</x:v>
      </x:c>
      <x:c r="I1609" s="52" t="n">
        <x:v>0.8223684210526315</x:v>
      </x:c>
      <x:c r="J1609" s="52" t="n">
        <x:v>0.3537234605335713</x:v>
      </x:c>
      <x:c r="K1609" s="60" t="n">
        <x:v>7695.51</x:v>
      </x:c>
      <x:c r="L1609" s="60" t="n">
        <x:v>338.28</x:v>
      </x:c>
      <x:c r="M1609" s="50" t="n">
        <x:v>125</x:v>
      </x:c>
      <x:c r="N1609" s="50" t="n">
        <x:v>27</x:v>
      </x:c>
      <x:c r="O1609" s="50" t="n">
        <x:v>173</x:v>
      </x:c>
      <x:c r="P1609" s="50" t="n">
        <x:v>24</x:v>
      </x:c>
    </x:row>
    <x:row r="1610" ht="36" customHeight="1">
      <x:c r="A1610" s="53" t="n">
        <x:v>1591</x:v>
      </x:c>
      <x:c r="B1610" s="53" t="n">
        <x:v>1</x:v>
      </x:c>
      <x:c r="C1610" s="40" t="str">
        <x:v>High-Value Frequent Shoppers</x:v>
      </x:c>
      <x:c r="D1610" s="60" t="n">
        <x:v>4844.96</x:v>
      </x:c>
      <x:c r="E1610" s="50" t="n">
        <x:v>110</x:v>
      </x:c>
      <x:c r="F1610" s="46" t="n">
        <x:v>4.782608695652174</x:v>
      </x:c>
      <x:c r="G1610" s="46" t="n">
        <x:v>3</x:v>
      </x:c>
      <x:c r="H1610" s="61" t="n">
        <x:v>44.0450909090909</x:v>
      </x:c>
      <x:c r="I1610" s="52" t="n">
        <x:v>0.8818181818181818</x:v>
      </x:c>
      <x:c r="J1610" s="52" t="n">
        <x:v>0.575814867408606</x:v>
      </x:c>
      <x:c r="K1610" s="60" t="n">
        <x:v>4702.12</x:v>
      </x:c>
      <x:c r="L1610" s="60" t="n">
        <x:v>142.84</x:v>
      </x:c>
      <x:c r="M1610" s="50" t="n">
        <x:v>97</x:v>
      </x:c>
      <x:c r="N1610" s="50" t="n">
        <x:v>13</x:v>
      </x:c>
      <x:c r="O1610" s="50" t="n">
        <x:v>132</x:v>
      </x:c>
      <x:c r="P1610" s="50" t="n">
        <x:v>23</x:v>
      </x:c>
    </x:row>
    <x:row r="1611" ht="36" customHeight="1">
      <x:c r="A1611" s="53" t="n">
        <x:v>1592</x:v>
      </x:c>
      <x:c r="B1611" s="53" t="n">
        <x:v>2</x:v>
      </x:c>
      <x:c r="C1611" s="40" t="str">
        <x:v>Large-Basket Occasional Shoppers</x:v>
      </x:c>
      <x:c r="D1611" s="60" t="n">
        <x:v>2371.59</x:v>
      </x:c>
      <x:c r="E1611" s="50" t="n">
        <x:v>52</x:v>
      </x:c>
      <x:c r="F1611" s="46" t="n">
        <x:v>2.736842105263157</x:v>
      </x:c>
      <x:c r="G1611" s="46" t="n">
        <x:v>0</x:v>
      </x:c>
      <x:c r="H1611" s="61" t="n">
        <x:v>45.6075</x:v>
      </x:c>
      <x:c r="I1611" s="52" t="n">
        <x:v>0.8461538461538461</x:v>
      </x:c>
      <x:c r="J1611" s="52" t="n">
        <x:v>0.4460678279129191</x:v>
      </x:c>
      <x:c r="K1611" s="60" t="n">
        <x:v>1936.46</x:v>
      </x:c>
      <x:c r="L1611" s="60" t="n">
        <x:v>435.13</x:v>
      </x:c>
      <x:c r="M1611" s="50" t="n">
        <x:v>44</x:v>
      </x:c>
      <x:c r="N1611" s="50" t="n">
        <x:v>8</x:v>
      </x:c>
      <x:c r="O1611" s="50" t="n">
        <x:v>106</x:v>
      </x:c>
      <x:c r="P1611" s="50" t="n">
        <x:v>19</x:v>
      </x:c>
    </x:row>
    <x:row r="1612" ht="36" customHeight="1">
      <x:c r="A1612" s="53" t="n">
        <x:v>1593</x:v>
      </x:c>
      <x:c r="B1612" s="53" t="n">
        <x:v>2</x:v>
      </x:c>
      <x:c r="C1612" s="40" t="str">
        <x:v>Large-Basket Occasional Shoppers</x:v>
      </x:c>
      <x:c r="D1612" s="60" t="n">
        <x:v>1789.1</x:v>
      </x:c>
      <x:c r="E1612" s="50" t="n">
        <x:v>42</x:v>
      </x:c>
      <x:c r="F1612" s="46" t="n">
        <x:v>2.1</x:v>
      </x:c>
      <x:c r="G1612" s="46" t="n">
        <x:v>16</x:v>
      </x:c>
      <x:c r="H1612" s="61" t="n">
        <x:v>42.59761904761905</x:v>
      </x:c>
      <x:c r="I1612" s="52" t="n">
        <x:v>0.8571428571428571</x:v>
      </x:c>
      <x:c r="J1612" s="52" t="n">
        <x:v>0.4824772231848415</x:v>
      </x:c>
      <x:c r="K1612" s="60" t="n">
        <x:v>1679.25</x:v>
      </x:c>
      <x:c r="L1612" s="60" t="n">
        <x:v>109.85</x:v>
      </x:c>
      <x:c r="M1612" s="50" t="n">
        <x:v>36</x:v>
      </x:c>
      <x:c r="N1612" s="50" t="n">
        <x:v>6</x:v>
      </x:c>
      <x:c r="O1612" s="50" t="n">
        <x:v>134</x:v>
      </x:c>
      <x:c r="P1612" s="50" t="n">
        <x:v>20</x:v>
      </x:c>
    </x:row>
    <x:row r="1613" ht="36" customHeight="1">
      <x:c r="A1613" s="53" t="n">
        <x:v>1594</x:v>
      </x:c>
      <x:c r="B1613" s="53" t="n">
        <x:v>1</x:v>
      </x:c>
      <x:c r="C1613" s="40" t="str">
        <x:v>High-Value Frequent Shoppers</x:v>
      </x:c>
      <x:c r="D1613" s="60" t="n">
        <x:v>2986.13</x:v>
      </x:c>
      <x:c r="E1613" s="50" t="n">
        <x:v>118</x:v>
      </x:c>
      <x:c r="F1613" s="46" t="n">
        <x:v>6.555555555555556</x:v>
      </x:c>
      <x:c r="G1613" s="46" t="n">
        <x:v>6</x:v>
      </x:c>
      <x:c r="H1613" s="61" t="n">
        <x:v>25.30618644067797</x:v>
      </x:c>
      <x:c r="I1613" s="52" t="n">
        <x:v>0.7203389830508474</x:v>
      </x:c>
      <x:c r="J1613" s="52" t="n">
        <x:v>0.5192875059022882</x:v>
      </x:c>
      <x:c r="K1613" s="60" t="n">
        <x:v>2605.6</x:v>
      </x:c>
      <x:c r="L1613" s="60" t="n">
        <x:v>380.53</x:v>
      </x:c>
      <x:c r="M1613" s="50" t="n">
        <x:v>85</x:v>
      </x:c>
      <x:c r="N1613" s="50" t="n">
        <x:v>33</x:v>
      </x:c>
      <x:c r="O1613" s="50" t="n">
        <x:v>126</x:v>
      </x:c>
      <x:c r="P1613" s="50" t="n">
        <x:v>18</x:v>
      </x:c>
    </x:row>
    <x:row r="1614" ht="36" customHeight="1">
      <x:c r="A1614" s="53" t="n">
        <x:v>1595</x:v>
      </x:c>
      <x:c r="B1614" s="53" t="n">
        <x:v>1</x:v>
      </x:c>
      <x:c r="C1614" s="40" t="str">
        <x:v>High-Value Frequent Shoppers</x:v>
      </x:c>
      <x:c r="D1614" s="60" t="n">
        <x:v>5644.07</x:v>
      </x:c>
      <x:c r="E1614" s="50" t="n">
        <x:v>139</x:v>
      </x:c>
      <x:c r="F1614" s="46" t="n">
        <x:v>6.0434782608695645</x:v>
      </x:c>
      <x:c r="G1614" s="46" t="n">
        <x:v>1</x:v>
      </x:c>
      <x:c r="H1614" s="61" t="n">
        <x:v>40.604820143884886</x:v>
      </x:c>
      <x:c r="I1614" s="52" t="n">
        <x:v>0.9064748201438848</x:v>
      </x:c>
      <x:c r="J1614" s="52" t="n">
        <x:v>0.4834543157685854</x:v>
      </x:c>
      <x:c r="K1614" s="60" t="n">
        <x:v>5418.6</x:v>
      </x:c>
      <x:c r="L1614" s="60" t="n">
        <x:v>225.47</x:v>
      </x:c>
      <x:c r="M1614" s="50" t="n">
        <x:v>126</x:v>
      </x:c>
      <x:c r="N1614" s="50" t="n">
        <x:v>13</x:v>
      </x:c>
      <x:c r="O1614" s="50" t="n">
        <x:v>136</x:v>
      </x:c>
      <x:c r="P1614" s="50" t="n">
        <x:v>23</x:v>
      </x:c>
    </x:row>
    <x:row r="1615" ht="36" customHeight="1">
      <x:c r="A1615" s="53" t="n">
        <x:v>1596</x:v>
      </x:c>
      <x:c r="B1615" s="53" t="n">
        <x:v>2</x:v>
      </x:c>
      <x:c r="C1615" s="40" t="str">
        <x:v>Large-Basket Occasional Shoppers</x:v>
      </x:c>
      <x:c r="D1615" s="60" t="n">
        <x:v>2154.63</x:v>
      </x:c>
      <x:c r="E1615" s="50" t="n">
        <x:v>28</x:v>
      </x:c>
      <x:c r="F1615" s="46" t="n">
        <x:v>2</x:v>
      </x:c>
      <x:c r="G1615" s="46" t="n">
        <x:v>2</x:v>
      </x:c>
      <x:c r="H1615" s="61" t="n">
        <x:v>76.95107142857142</x:v>
      </x:c>
      <x:c r="I1615" s="52" t="n">
        <x:v>0.9285714285714284</x:v>
      </x:c>
      <x:c r="J1615" s="52" t="n">
        <x:v>0.4578373084938017</x:v>
      </x:c>
      <x:c r="K1615" s="60" t="n">
        <x:v>2112.71</x:v>
      </x:c>
      <x:c r="L1615" s="60" t="n">
        <x:v>41.92</x:v>
      </x:c>
      <x:c r="M1615" s="50" t="n">
        <x:v>26</x:v>
      </x:c>
      <x:c r="N1615" s="50" t="n">
        <x:v>2</x:v>
      </x:c>
      <x:c r="O1615" s="50" t="n">
        <x:v>133</x:v>
      </x:c>
      <x:c r="P1615" s="50" t="n">
        <x:v>14</x:v>
      </x:c>
    </x:row>
    <x:row r="1616" ht="36" customHeight="1">
      <x:c r="A1616" s="53" t="n">
        <x:v>1597</x:v>
      </x:c>
      <x:c r="B1616" s="53" t="n">
        <x:v>3</x:v>
      </x:c>
      <x:c r="C1616" s="40" t="str">
        <x:v>Low-Value Low-Engagement Shoppers</x:v>
      </x:c>
      <x:c r="D1616" s="60" t="n">
        <x:v>801.63</x:v>
      </x:c>
      <x:c r="E1616" s="50" t="n">
        <x:v>54</x:v>
      </x:c>
      <x:c r="F1616" s="46" t="n">
        <x:v>3</x:v>
      </x:c>
      <x:c r="G1616" s="46" t="n">
        <x:v>6</x:v>
      </x:c>
      <x:c r="H1616" s="61" t="n">
        <x:v>14.845</x:v>
      </x:c>
      <x:c r="I1616" s="52" t="n">
        <x:v>0.8333333333333333</x:v>
      </x:c>
      <x:c r="J1616" s="52" t="n">
        <x:v>0.4546486533687611</x:v>
      </x:c>
      <x:c r="K1616" s="60" t="n">
        <x:v>742.06</x:v>
      </x:c>
      <x:c r="L1616" s="60" t="n">
        <x:v>59.57</x:v>
      </x:c>
      <x:c r="M1616" s="50" t="n">
        <x:v>45</x:v>
      </x:c>
      <x:c r="N1616" s="50" t="n">
        <x:v>9</x:v>
      </x:c>
      <x:c r="O1616" s="50" t="n">
        <x:v>100</x:v>
      </x:c>
      <x:c r="P1616" s="50" t="n">
        <x:v>18</x:v>
      </x:c>
    </x:row>
    <x:row r="1617" ht="36" customHeight="1">
      <x:c r="A1617" s="53" t="n">
        <x:v>1598</x:v>
      </x:c>
      <x:c r="B1617" s="53" t="n">
        <x:v>1</x:v>
      </x:c>
      <x:c r="C1617" s="40" t="str">
        <x:v>High-Value Frequent Shoppers</x:v>
      </x:c>
      <x:c r="D1617" s="60" t="n">
        <x:v>11516.83</x:v>
      </x:c>
      <x:c r="E1617" s="50" t="n">
        <x:v>442</x:v>
      </x:c>
      <x:c r="F1617" s="46" t="n">
        <x:v>21.047619047619047</x:v>
      </x:c>
      <x:c r="G1617" s="46" t="n">
        <x:v>0</x:v>
      </x:c>
      <x:c r="H1617" s="61" t="n">
        <x:v>26.05617647058824</x:v>
      </x:c>
      <x:c r="I1617" s="52" t="n">
        <x:v>0.7624434389140271</x:v>
      </x:c>
      <x:c r="J1617" s="52" t="n">
        <x:v>0.5463039742706977</x:v>
      </x:c>
      <x:c r="K1617" s="60" t="n">
        <x:v>10944.39</x:v>
      </x:c>
      <x:c r="L1617" s="60" t="n">
        <x:v>572.44</x:v>
      </x:c>
      <x:c r="M1617" s="50" t="n">
        <x:v>337</x:v>
      </x:c>
      <x:c r="N1617" s="50" t="n">
        <x:v>105</x:v>
      </x:c>
      <x:c r="O1617" s="50" t="n">
        <x:v>208</x:v>
      </x:c>
      <x:c r="P1617" s="50" t="n">
        <x:v>21</x:v>
      </x:c>
    </x:row>
    <x:row r="1618" ht="36" customHeight="1">
      <x:c r="A1618" s="53" t="n">
        <x:v>1599</x:v>
      </x:c>
      <x:c r="B1618" s="53" t="n">
        <x:v>1</x:v>
      </x:c>
      <x:c r="C1618" s="40" t="str">
        <x:v>High-Value Frequent Shoppers</x:v>
      </x:c>
      <x:c r="D1618" s="60" t="n">
        <x:v>6161.21</x:v>
      </x:c>
      <x:c r="E1618" s="50" t="n">
        <x:v>181</x:v>
      </x:c>
      <x:c r="F1618" s="46" t="n">
        <x:v>7.541666666666665</x:v>
      </x:c>
      <x:c r="G1618" s="46" t="n">
        <x:v>1</x:v>
      </x:c>
      <x:c r="H1618" s="61" t="n">
        <x:v>34.03983425414365</x:v>
      </x:c>
      <x:c r="I1618" s="52" t="n">
        <x:v>0.9005524861878453</x:v>
      </x:c>
      <x:c r="J1618" s="52" t="n">
        <x:v>0.4790974500138771</x:v>
      </x:c>
      <x:c r="K1618" s="60" t="n">
        <x:v>6091.8</x:v>
      </x:c>
      <x:c r="L1618" s="60" t="n">
        <x:v>69.41</x:v>
      </x:c>
      <x:c r="M1618" s="50" t="n">
        <x:v>163</x:v>
      </x:c>
      <x:c r="N1618" s="50" t="n">
        <x:v>18</x:v>
      </x:c>
      <x:c r="O1618" s="50" t="n">
        <x:v>161</x:v>
      </x:c>
      <x:c r="P1618" s="50" t="n">
        <x:v>24</x:v>
      </x:c>
    </x:row>
    <x:row r="1619" ht="36" customHeight="1">
      <x:c r="A1619" s="53" t="n">
        <x:v>1600</x:v>
      </x:c>
      <x:c r="B1619" s="53" t="n">
        <x:v>2</x:v>
      </x:c>
      <x:c r="C1619" s="40" t="str">
        <x:v>Large-Basket Occasional Shoppers</x:v>
      </x:c>
      <x:c r="D1619" s="60" t="n">
        <x:v>914.7</x:v>
      </x:c>
      <x:c r="E1619" s="50" t="n">
        <x:v>64</x:v>
      </x:c>
      <x:c r="F1619" s="46" t="n">
        <x:v>3.555555555555556</x:v>
      </x:c>
      <x:c r="G1619" s="46" t="n">
        <x:v>5</x:v>
      </x:c>
      <x:c r="H1619" s="61" t="n">
        <x:v>14.2921875</x:v>
      </x:c>
      <x:c r="I1619" s="52" t="n">
        <x:v>0.921875</x:v>
      </x:c>
      <x:c r="J1619" s="52" t="n">
        <x:v>0.7016836121132611</x:v>
      </x:c>
      <x:c r="K1619" s="60" t="n">
        <x:v>879.34</x:v>
      </x:c>
      <x:c r="L1619" s="60" t="n">
        <x:v>35.36</x:v>
      </x:c>
      <x:c r="M1619" s="50" t="n">
        <x:v>59</x:v>
      </x:c>
      <x:c r="N1619" s="50" t="n">
        <x:v>5</x:v>
      </x:c>
      <x:c r="O1619" s="50" t="n">
        <x:v>76</x:v>
      </x:c>
      <x:c r="P1619" s="50" t="n">
        <x:v>18</x:v>
      </x:c>
    </x:row>
    <x:row r="1620" ht="36" customHeight="1">
      <x:c r="A1620" s="53" t="n">
        <x:v>1601</x:v>
      </x:c>
      <x:c r="B1620" s="53" t="n">
        <x:v>2</x:v>
      </x:c>
      <x:c r="C1620" s="40" t="str">
        <x:v>Large-Basket Occasional Shoppers</x:v>
      </x:c>
      <x:c r="D1620" s="60" t="n">
        <x:v>1288.54</x:v>
      </x:c>
      <x:c r="E1620" s="50" t="n">
        <x:v>23</x:v>
      </x:c>
      <x:c r="F1620" s="46" t="n">
        <x:v>1.7692307692307692</x:v>
      </x:c>
      <x:c r="G1620" s="46" t="n">
        <x:v>3</x:v>
      </x:c>
      <x:c r="H1620" s="61" t="n">
        <x:v>56.02347826086957</x:v>
      </x:c>
      <x:c r="I1620" s="52" t="n">
        <x:v>0.9130434782608696</x:v>
      </x:c>
      <x:c r="J1620" s="52" t="n">
        <x:v>0.3993900072950781</x:v>
      </x:c>
      <x:c r="K1620" s="60" t="n">
        <x:v>1275.44</x:v>
      </x:c>
      <x:c r="L1620" s="60" t="n">
        <x:v>13.1</x:v>
      </x:c>
      <x:c r="M1620" s="50" t="n">
        <x:v>21</x:v>
      </x:c>
      <x:c r="N1620" s="50" t="n">
        <x:v>2</x:v>
      </x:c>
      <x:c r="O1620" s="50" t="n">
        <x:v>133</x:v>
      </x:c>
      <x:c r="P1620" s="50" t="n">
        <x:v>13</x:v>
      </x:c>
    </x:row>
    <x:row r="1621" ht="36" customHeight="1">
      <x:c r="A1621" s="53" t="n">
        <x:v>1602</x:v>
      </x:c>
      <x:c r="B1621" s="53" t="n">
        <x:v>1</x:v>
      </x:c>
      <x:c r="C1621" s="40" t="str">
        <x:v>High-Value Frequent Shoppers</x:v>
      </x:c>
      <x:c r="D1621" s="60" t="n">
        <x:v>6425.14</x:v>
      </x:c>
      <x:c r="E1621" s="50" t="n">
        <x:v>159</x:v>
      </x:c>
      <x:c r="F1621" s="46" t="n">
        <x:v>7.227272727272727</x:v>
      </x:c>
      <x:c r="G1621" s="46" t="n">
        <x:v>1</x:v>
      </x:c>
      <x:c r="H1621" s="61" t="n">
        <x:v>40.4096855345912</x:v>
      </x:c>
      <x:c r="I1621" s="52" t="n">
        <x:v>0.6855345911949685</x:v>
      </x:c>
      <x:c r="J1621" s="52" t="n">
        <x:v>0.328884662435371</x:v>
      </x:c>
      <x:c r="K1621" s="60" t="n">
        <x:v>5712.29</x:v>
      </x:c>
      <x:c r="L1621" s="60" t="n">
        <x:v>712.85</x:v>
      </x:c>
      <x:c r="M1621" s="50" t="n">
        <x:v>109</x:v>
      </x:c>
      <x:c r="N1621" s="50" t="n">
        <x:v>50</x:v>
      </x:c>
      <x:c r="O1621" s="50" t="n">
        <x:v>181</x:v>
      </x:c>
      <x:c r="P1621" s="50" t="n">
        <x:v>22</x:v>
      </x:c>
    </x:row>
    <x:row r="1622" ht="36" customHeight="1">
      <x:c r="A1622" s="53" t="n">
        <x:v>1603</x:v>
      </x:c>
      <x:c r="B1622" s="53" t="n">
        <x:v>2</x:v>
      </x:c>
      <x:c r="C1622" s="40" t="str">
        <x:v>Large-Basket Occasional Shoppers</x:v>
      </x:c>
      <x:c r="D1622" s="60" t="n">
        <x:v>492.72</x:v>
      </x:c>
      <x:c r="E1622" s="50" t="n">
        <x:v>11</x:v>
      </x:c>
      <x:c r="F1622" s="46" t="n">
        <x:v>1.222222222222222</x:v>
      </x:c>
      <x:c r="G1622" s="46" t="n">
        <x:v>141</x:v>
      </x:c>
      <x:c r="H1622" s="61" t="n">
        <x:v>44.79272727272727</x:v>
      </x:c>
      <x:c r="I1622" s="52" t="n">
        <x:v>1</x:v>
      </x:c>
      <x:c r="J1622" s="52" t="n">
        <x:v>0.5599935054391946</x:v>
      </x:c>
      <x:c r="K1622" s="60" t="n">
        <x:v>492.72</x:v>
      </x:c>
      <x:c r="L1622" s="60" t="n">
        <x:v>0</x:v>
      </x:c>
      <x:c r="M1622" s="50" t="n">
        <x:v>11</x:v>
      </x:c>
      <x:c r="N1622" s="50" t="n">
        <x:v>0</x:v>
      </x:c>
      <x:c r="O1622" s="50" t="n">
        <x:v>74</x:v>
      </x:c>
      <x:c r="P1622" s="50" t="n">
        <x:v>9</x:v>
      </x:c>
    </x:row>
    <x:row r="1623" ht="36" customHeight="1">
      <x:c r="A1623" s="53" t="n">
        <x:v>1604</x:v>
      </x:c>
      <x:c r="B1623" s="53" t="n">
        <x:v>3</x:v>
      </x:c>
      <x:c r="C1623" s="40" t="str">
        <x:v>Low-Value Low-Engagement Shoppers</x:v>
      </x:c>
      <x:c r="D1623" s="60" t="n">
        <x:v>818.41</x:v>
      </x:c>
      <x:c r="E1623" s="50" t="n">
        <x:v>156</x:v>
      </x:c>
      <x:c r="F1623" s="46" t="n">
        <x:v>7.428571428571427</x:v>
      </x:c>
      <x:c r="G1623" s="46" t="n">
        <x:v>0</x:v>
      </x:c>
      <x:c r="H1623" s="61" t="n">
        <x:v>5.246217948717949</x:v>
      </x:c>
      <x:c r="I1623" s="52" t="n">
        <x:v>0.5961538461538461</x:v>
      </x:c>
      <x:c r="J1623" s="52" t="n">
        <x:v>0.3883261445974511</x:v>
      </x:c>
      <x:c r="K1623" s="60" t="n">
        <x:v>581.19</x:v>
      </x:c>
      <x:c r="L1623" s="60" t="n">
        <x:v>237.22</x:v>
      </x:c>
      <x:c r="M1623" s="50" t="n">
        <x:v>93</x:v>
      </x:c>
      <x:c r="N1623" s="50" t="n">
        <x:v>63</x:v>
      </x:c>
      <x:c r="O1623" s="50" t="n">
        <x:v>64</x:v>
      </x:c>
      <x:c r="P1623" s="50" t="n">
        <x:v>21</x:v>
      </x:c>
    </x:row>
    <x:row r="1624" ht="36" customHeight="1">
      <x:c r="A1624" s="53" t="n">
        <x:v>1605</x:v>
      </x:c>
      <x:c r="B1624" s="53" t="n">
        <x:v>3</x:v>
      </x:c>
      <x:c r="C1624" s="40" t="str">
        <x:v>Low-Value Low-Engagement Shoppers</x:v>
      </x:c>
      <x:c r="D1624" s="60" t="n">
        <x:v>729.22</x:v>
      </x:c>
      <x:c r="E1624" s="50" t="n">
        <x:v>57</x:v>
      </x:c>
      <x:c r="F1624" s="46" t="n">
        <x:v>3.166666666666667</x:v>
      </x:c>
      <x:c r="G1624" s="46" t="n">
        <x:v>9</x:v>
      </x:c>
      <x:c r="H1624" s="61" t="n">
        <x:v>12.793333333333331</x:v>
      </x:c>
      <x:c r="I1624" s="52" t="n">
        <x:v>0.7017543859649122</x:v>
      </x:c>
      <x:c r="J1624" s="52" t="n">
        <x:v>0.6511752283261567</x:v>
      </x:c>
      <x:c r="K1624" s="60" t="n">
        <x:v>658.15</x:v>
      </x:c>
      <x:c r="L1624" s="60" t="n">
        <x:v>71.07</x:v>
      </x:c>
      <x:c r="M1624" s="50" t="n">
        <x:v>40</x:v>
      </x:c>
      <x:c r="N1624" s="50" t="n">
        <x:v>17</x:v>
      </x:c>
      <x:c r="O1624" s="50" t="n">
        <x:v>110</x:v>
      </x:c>
      <x:c r="P1624" s="50" t="n">
        <x:v>18</x:v>
      </x:c>
    </x:row>
    <x:row r="1625" ht="36" customHeight="1">
      <x:c r="A1625" s="53" t="n">
        <x:v>1606</x:v>
      </x:c>
      <x:c r="B1625" s="53" t="n">
        <x:v>2</x:v>
      </x:c>
      <x:c r="C1625" s="40" t="str">
        <x:v>Large-Basket Occasional Shoppers</x:v>
      </x:c>
      <x:c r="D1625" s="60" t="n">
        <x:v>1131.91</x:v>
      </x:c>
      <x:c r="E1625" s="50" t="n">
        <x:v>21</x:v>
      </x:c>
      <x:c r="F1625" s="46" t="n">
        <x:v>1.5</x:v>
      </x:c>
      <x:c r="G1625" s="46" t="n">
        <x:v>16</x:v>
      </x:c>
      <x:c r="H1625" s="61" t="n">
        <x:v>53.90047619047619</x:v>
      </x:c>
      <x:c r="I1625" s="52" t="n">
        <x:v>1</x:v>
      </x:c>
      <x:c r="J1625" s="52" t="n">
        <x:v>0.5008790451537666</x:v>
      </x:c>
      <x:c r="K1625" s="60" t="n">
        <x:v>1131.91</x:v>
      </x:c>
      <x:c r="L1625" s="60" t="n">
        <x:v>0</x:v>
      </x:c>
      <x:c r="M1625" s="50" t="n">
        <x:v>21</x:v>
      </x:c>
      <x:c r="N1625" s="50" t="n">
        <x:v>0</x:v>
      </x:c>
      <x:c r="O1625" s="50" t="n">
        <x:v>73</x:v>
      </x:c>
      <x:c r="P1625" s="50" t="n">
        <x:v>14</x:v>
      </x:c>
    </x:row>
    <x:row r="1626" ht="36" customHeight="1">
      <x:c r="A1626" s="53" t="n">
        <x:v>1607</x:v>
      </x:c>
      <x:c r="B1626" s="53" t="n">
        <x:v>1</x:v>
      </x:c>
      <x:c r="C1626" s="40" t="str">
        <x:v>High-Value Frequent Shoppers</x:v>
      </x:c>
      <x:c r="D1626" s="60" t="n">
        <x:v>3882.88</x:v>
      </x:c>
      <x:c r="E1626" s="50" t="n">
        <x:v>138</x:v>
      </x:c>
      <x:c r="F1626" s="46" t="n">
        <x:v>6.2727272727272725</x:v>
      </x:c>
      <x:c r="G1626" s="46" t="n">
        <x:v>1</x:v>
      </x:c>
      <x:c r="H1626" s="61" t="n">
        <x:v>28.136811594202896</x:v>
      </x:c>
      <x:c r="I1626" s="52" t="n">
        <x:v>0.7753623188405797</x:v>
      </x:c>
      <x:c r="J1626" s="52" t="n">
        <x:v>0.883146015328828</x:v>
      </x:c>
      <x:c r="K1626" s="60" t="n">
        <x:v>3695.28</x:v>
      </x:c>
      <x:c r="L1626" s="60" t="n">
        <x:v>187.6</x:v>
      </x:c>
      <x:c r="M1626" s="50" t="n">
        <x:v>107</x:v>
      </x:c>
      <x:c r="N1626" s="50" t="n">
        <x:v>31</x:v>
      </x:c>
      <x:c r="O1626" s="50" t="n">
        <x:v>50</x:v>
      </x:c>
      <x:c r="P1626" s="50" t="n">
        <x:v>22</x:v>
      </x:c>
    </x:row>
    <x:row r="1627" ht="36" customHeight="1">
      <x:c r="A1627" s="53" t="n">
        <x:v>1608</x:v>
      </x:c>
      <x:c r="B1627" s="53" t="n">
        <x:v>2</x:v>
      </x:c>
      <x:c r="C1627" s="40" t="str">
        <x:v>Large-Basket Occasional Shoppers</x:v>
      </x:c>
      <x:c r="D1627" s="60" t="n">
        <x:v>1399.89</x:v>
      </x:c>
      <x:c r="E1627" s="50" t="n">
        <x:v>40</x:v>
      </x:c>
      <x:c r="F1627" s="46" t="n">
        <x:v>2.352941176470588</x:v>
      </x:c>
      <x:c r="G1627" s="46" t="n">
        <x:v>24</x:v>
      </x:c>
      <x:c r="H1627" s="61" t="n">
        <x:v>34.99725</x:v>
      </x:c>
      <x:c r="I1627" s="52" t="n">
        <x:v>0.975</x:v>
      </x:c>
      <x:c r="J1627" s="52" t="n">
        <x:v>0.582524341198237</x:v>
      </x:c>
      <x:c r="K1627" s="60" t="n">
        <x:v>1391.97</x:v>
      </x:c>
      <x:c r="L1627" s="60" t="n">
        <x:v>7.92</x:v>
      </x:c>
      <x:c r="M1627" s="50" t="n">
        <x:v>39</x:v>
      </x:c>
      <x:c r="N1627" s="50" t="n">
        <x:v>1</x:v>
      </x:c>
      <x:c r="O1627" s="50" t="n">
        <x:v>107</x:v>
      </x:c>
      <x:c r="P1627" s="50" t="n">
        <x:v>17</x:v>
      </x:c>
    </x:row>
    <x:row r="1628" ht="36" customHeight="1">
      <x:c r="A1628" s="53" t="n">
        <x:v>1609</x:v>
      </x:c>
      <x:c r="B1628" s="53" t="n">
        <x:v>1</x:v>
      </x:c>
      <x:c r="C1628" s="40" t="str">
        <x:v>High-Value Frequent Shoppers</x:v>
      </x:c>
      <x:c r="D1628" s="60" t="n">
        <x:v>27859.68</x:v>
      </x:c>
      <x:c r="E1628" s="50" t="n">
        <x:v>411</x:v>
      </x:c>
      <x:c r="F1628" s="46" t="n">
        <x:v>17.869565217391305</x:v>
      </x:c>
      <x:c r="G1628" s="46" t="n">
        <x:v>0</x:v>
      </x:c>
      <x:c r="H1628" s="61" t="n">
        <x:v>67.7851094890511</x:v>
      </x:c>
      <x:c r="I1628" s="52" t="n">
        <x:v>0.9172749391727492</x:v>
      </x:c>
      <x:c r="J1628" s="52" t="n">
        <x:v>0.4601291184966948</x:v>
      </x:c>
      <x:c r="K1628" s="60" t="n">
        <x:v>27277.58</x:v>
      </x:c>
      <x:c r="L1628" s="60" t="n">
        <x:v>582.1</x:v>
      </x:c>
      <x:c r="M1628" s="50" t="n">
        <x:v>377</x:v>
      </x:c>
      <x:c r="N1628" s="50" t="n">
        <x:v>34</x:v>
      </x:c>
      <x:c r="O1628" s="50" t="n">
        <x:v>202</x:v>
      </x:c>
      <x:c r="P1628" s="50" t="n">
        <x:v>23</x:v>
      </x:c>
    </x:row>
    <x:row r="1629" ht="36" customHeight="1">
      <x:c r="A1629" s="53" t="n">
        <x:v>1610</x:v>
      </x:c>
      <x:c r="B1629" s="53" t="n">
        <x:v>3</x:v>
      </x:c>
      <x:c r="C1629" s="40" t="str">
        <x:v>Low-Value Low-Engagement Shoppers</x:v>
      </x:c>
      <x:c r="D1629" s="60" t="n">
        <x:v>164.49</x:v>
      </x:c>
      <x:c r="E1629" s="50" t="n">
        <x:v>11</x:v>
      </x:c>
      <x:c r="F1629" s="46" t="n">
        <x:v>1.8333333333333333</x:v>
      </x:c>
      <x:c r="G1629" s="46" t="n">
        <x:v>245</x:v>
      </x:c>
      <x:c r="H1629" s="61" t="n">
        <x:v>14.953636363636363</x:v>
      </x:c>
      <x:c r="I1629" s="52" t="n">
        <x:v>0.909090909090909</x:v>
      </x:c>
      <x:c r="J1629" s="52" t="n">
        <x:v>0.5286035625265973</x:v>
      </x:c>
      <x:c r="K1629" s="60" t="n">
        <x:v>162.5</x:v>
      </x:c>
      <x:c r="L1629" s="60" t="n">
        <x:v>1.99</x:v>
      </x:c>
      <x:c r="M1629" s="50" t="n">
        <x:v>10</x:v>
      </x:c>
      <x:c r="N1629" s="50" t="n">
        <x:v>1</x:v>
      </x:c>
      <x:c r="O1629" s="50" t="n">
        <x:v>34</x:v>
      </x:c>
      <x:c r="P1629" s="50" t="n">
        <x:v>6</x:v>
      </x:c>
    </x:row>
    <x:row r="1630" ht="36" customHeight="1">
      <x:c r="A1630" s="53" t="n">
        <x:v>1611</x:v>
      </x:c>
      <x:c r="B1630" s="53" t="n">
        <x:v>3</x:v>
      </x:c>
      <x:c r="C1630" s="40" t="str">
        <x:v>Low-Value Low-Engagement Shoppers</x:v>
      </x:c>
      <x:c r="D1630" s="60" t="n">
        <x:v>677.46</x:v>
      </x:c>
      <x:c r="E1630" s="50" t="n">
        <x:v>51</x:v>
      </x:c>
      <x:c r="F1630" s="46" t="n">
        <x:v>3.1875</x:v>
      </x:c>
      <x:c r="G1630" s="46" t="n">
        <x:v>4</x:v>
      </x:c>
      <x:c r="H1630" s="61" t="n">
        <x:v>13.283529411764704</x:v>
      </x:c>
      <x:c r="I1630" s="52" t="n">
        <x:v>0.7450980392156862</x:v>
      </x:c>
      <x:c r="J1630" s="52" t="n">
        <x:v>0.4699908481681575</x:v>
      </x:c>
      <x:c r="K1630" s="60" t="n">
        <x:v>635.77</x:v>
      </x:c>
      <x:c r="L1630" s="60" t="n">
        <x:v>41.69</x:v>
      </x:c>
      <x:c r="M1630" s="50" t="n">
        <x:v>38</x:v>
      </x:c>
      <x:c r="N1630" s="50" t="n">
        <x:v>13</x:v>
      </x:c>
      <x:c r="O1630" s="50" t="n">
        <x:v>86</x:v>
      </x:c>
      <x:c r="P1630" s="50" t="n">
        <x:v>16</x:v>
      </x:c>
    </x:row>
    <x:row r="1631" ht="36" customHeight="1">
      <x:c r="A1631" s="53" t="n">
        <x:v>1612</x:v>
      </x:c>
      <x:c r="B1631" s="53" t="n">
        <x:v>1</x:v>
      </x:c>
      <x:c r="C1631" s="40" t="str">
        <x:v>High-Value Frequent Shoppers</x:v>
      </x:c>
      <x:c r="D1631" s="60" t="n">
        <x:v>8429.05</x:v>
      </x:c>
      <x:c r="E1631" s="50" t="n">
        <x:v>151</x:v>
      </x:c>
      <x:c r="F1631" s="46" t="n">
        <x:v>6.291666666666666</x:v>
      </x:c>
      <x:c r="G1631" s="46" t="n">
        <x:v>0</x:v>
      </x:c>
      <x:c r="H1631" s="61" t="n">
        <x:v>55.82152317880794</x:v>
      </x:c>
      <x:c r="I1631" s="52" t="n">
        <x:v>0.9271523178807948</x:v>
      </x:c>
      <x:c r="J1631" s="52" t="n">
        <x:v>0.4999839839602327</x:v>
      </x:c>
      <x:c r="K1631" s="60" t="n">
        <x:v>8264.61</x:v>
      </x:c>
      <x:c r="L1631" s="60" t="n">
        <x:v>164.44</x:v>
      </x:c>
      <x:c r="M1631" s="50" t="n">
        <x:v>140</x:v>
      </x:c>
      <x:c r="N1631" s="50" t="n">
        <x:v>11</x:v>
      </x:c>
      <x:c r="O1631" s="50" t="n">
        <x:v>195</x:v>
      </x:c>
      <x:c r="P1631" s="50" t="n">
        <x:v>24</x:v>
      </x:c>
    </x:row>
    <x:row r="1632" ht="36" customHeight="1">
      <x:c r="A1632" s="53" t="n">
        <x:v>1613</x:v>
      </x:c>
      <x:c r="B1632" s="53" t="n">
        <x:v>1</x:v>
      </x:c>
      <x:c r="C1632" s="40" t="str">
        <x:v>High-Value Frequent Shoppers</x:v>
      </x:c>
      <x:c r="D1632" s="60" t="n">
        <x:v>6699.49</x:v>
      </x:c>
      <x:c r="E1632" s="50" t="n">
        <x:v>136</x:v>
      </x:c>
      <x:c r="F1632" s="46" t="n">
        <x:v>5.913043478260869</x:v>
      </x:c>
      <x:c r="G1632" s="46" t="n">
        <x:v>5</x:v>
      </x:c>
      <x:c r="H1632" s="61" t="n">
        <x:v>49.26095588235295</x:v>
      </x:c>
      <x:c r="I1632" s="52" t="n">
        <x:v>0.8897058823529411</x:v>
      </x:c>
      <x:c r="J1632" s="52" t="n">
        <x:v>0.4199409208760666</x:v>
      </x:c>
      <x:c r="K1632" s="60" t="n">
        <x:v>6596.89</x:v>
      </x:c>
      <x:c r="L1632" s="60" t="n">
        <x:v>102.6</x:v>
      </x:c>
      <x:c r="M1632" s="50" t="n">
        <x:v>121</x:v>
      </x:c>
      <x:c r="N1632" s="50" t="n">
        <x:v>15</x:v>
      </x:c>
      <x:c r="O1632" s="50" t="n">
        <x:v>146</x:v>
      </x:c>
      <x:c r="P1632" s="50" t="n">
        <x:v>23</x:v>
      </x:c>
    </x:row>
    <x:row r="1633" ht="36" customHeight="1">
      <x:c r="A1633" s="53" t="n">
        <x:v>1614</x:v>
      </x:c>
      <x:c r="B1633" s="53" t="n">
        <x:v>3</x:v>
      </x:c>
      <x:c r="C1633" s="40" t="str">
        <x:v>Low-Value Low-Engagement Shoppers</x:v>
      </x:c>
      <x:c r="D1633" s="60" t="n">
        <x:v>518.16</x:v>
      </x:c>
      <x:c r="E1633" s="50" t="n">
        <x:v>75</x:v>
      </x:c>
      <x:c r="F1633" s="46" t="n">
        <x:v>3.571428571428572</x:v>
      </x:c>
      <x:c r="G1633" s="46" t="n">
        <x:v>13</x:v>
      </x:c>
      <x:c r="H1633" s="61" t="n">
        <x:v>6.9088</x:v>
      </x:c>
      <x:c r="I1633" s="52" t="n">
        <x:v>0.6266666666666666</x:v>
      </x:c>
      <x:c r="J1633" s="52" t="n">
        <x:v>0.444650301065308</x:v>
      </x:c>
      <x:c r="K1633" s="60" t="n">
        <x:v>372.07</x:v>
      </x:c>
      <x:c r="L1633" s="60" t="n">
        <x:v>146.09</x:v>
      </x:c>
      <x:c r="M1633" s="50" t="n">
        <x:v>47</x:v>
      </x:c>
      <x:c r="N1633" s="50" t="n">
        <x:v>28</x:v>
      </x:c>
      <x:c r="O1633" s="50" t="n">
        <x:v>52</x:v>
      </x:c>
      <x:c r="P1633" s="50" t="n">
        <x:v>21</x:v>
      </x:c>
    </x:row>
    <x:row r="1634" ht="36" customHeight="1">
      <x:c r="A1634" s="53" t="n">
        <x:v>1615</x:v>
      </x:c>
      <x:c r="B1634" s="53" t="n">
        <x:v>2</x:v>
      </x:c>
      <x:c r="C1634" s="40" t="str">
        <x:v>Large-Basket Occasional Shoppers</x:v>
      </x:c>
      <x:c r="D1634" s="60" t="n">
        <x:v>869.28</x:v>
      </x:c>
      <x:c r="E1634" s="50" t="n">
        <x:v>42</x:v>
      </x:c>
      <x:c r="F1634" s="46" t="n">
        <x:v>2.333333333333333</x:v>
      </x:c>
      <x:c r="G1634" s="46" t="n">
        <x:v>51</x:v>
      </x:c>
      <x:c r="H1634" s="61" t="n">
        <x:v>20.697142857142858</x:v>
      </x:c>
      <x:c r="I1634" s="52" t="n">
        <x:v>0.8809523809523809</x:v>
      </x:c>
      <x:c r="J1634" s="52" t="n">
        <x:v>0.5560118718939812</x:v>
      </x:c>
      <x:c r="K1634" s="60" t="n">
        <x:v>827.94</x:v>
      </x:c>
      <x:c r="L1634" s="60" t="n">
        <x:v>41.34</x:v>
      </x:c>
      <x:c r="M1634" s="50" t="n">
        <x:v>37</x:v>
      </x:c>
      <x:c r="N1634" s="50" t="n">
        <x:v>5</x:v>
      </x:c>
      <x:c r="O1634" s="50" t="n">
        <x:v>90</x:v>
      </x:c>
      <x:c r="P1634" s="50" t="n">
        <x:v>18</x:v>
      </x:c>
    </x:row>
    <x:row r="1635" ht="36" customHeight="1">
      <x:c r="A1635" s="53" t="n">
        <x:v>1616</x:v>
      </x:c>
      <x:c r="B1635" s="53" t="n">
        <x:v>2</x:v>
      </x:c>
      <x:c r="C1635" s="40" t="str">
        <x:v>Large-Basket Occasional Shoppers</x:v>
      </x:c>
      <x:c r="D1635" s="60" t="n">
        <x:v>1235.72</x:v>
      </x:c>
      <x:c r="E1635" s="50" t="n">
        <x:v>38</x:v>
      </x:c>
      <x:c r="F1635" s="46" t="n">
        <x:v>2.111111111111111</x:v>
      </x:c>
      <x:c r="G1635" s="46" t="n">
        <x:v>79</x:v>
      </x:c>
      <x:c r="H1635" s="61" t="n">
        <x:v>32.518947368421045</x:v>
      </x:c>
      <x:c r="I1635" s="52" t="n">
        <x:v>0.894736842105263</x:v>
      </x:c>
      <x:c r="J1635" s="52" t="n">
        <x:v>0.4652833975334218</x:v>
      </x:c>
      <x:c r="K1635" s="60" t="n">
        <x:v>1193.84</x:v>
      </x:c>
      <x:c r="L1635" s="60" t="n">
        <x:v>41.88</x:v>
      </x:c>
      <x:c r="M1635" s="50" t="n">
        <x:v>34</x:v>
      </x:c>
      <x:c r="N1635" s="50" t="n">
        <x:v>4</x:v>
      </x:c>
      <x:c r="O1635" s="50" t="n">
        <x:v>111</x:v>
      </x:c>
      <x:c r="P1635" s="50" t="n">
        <x:v>18</x:v>
      </x:c>
    </x:row>
    <x:row r="1636" ht="36" customHeight="1">
      <x:c r="A1636" s="53" t="n">
        <x:v>1617</x:v>
      </x:c>
      <x:c r="B1636" s="53" t="n">
        <x:v>2</x:v>
      </x:c>
      <x:c r="C1636" s="40" t="str">
        <x:v>Large-Basket Occasional Shoppers</x:v>
      </x:c>
      <x:c r="D1636" s="60" t="n">
        <x:v>4067.8</x:v>
      </x:c>
      <x:c r="E1636" s="50" t="n">
        <x:v>103</x:v>
      </x:c>
      <x:c r="F1636" s="46" t="n">
        <x:v>4.681818181818182</x:v>
      </x:c>
      <x:c r="G1636" s="46" t="n">
        <x:v>24</x:v>
      </x:c>
      <x:c r="H1636" s="61" t="n">
        <x:v>39.49320388349514</x:v>
      </x:c>
      <x:c r="I1636" s="52" t="n">
        <x:v>0.8446601941747572</x:v>
      </x:c>
      <x:c r="J1636" s="52" t="n">
        <x:v>0.4916146319878066</x:v>
      </x:c>
      <x:c r="K1636" s="60" t="n">
        <x:v>3954.39</x:v>
      </x:c>
      <x:c r="L1636" s="60" t="n">
        <x:v>113.41</x:v>
      </x:c>
      <x:c r="M1636" s="50" t="n">
        <x:v>87</x:v>
      </x:c>
      <x:c r="N1636" s="50" t="n">
        <x:v>16</x:v>
      </x:c>
      <x:c r="O1636" s="50" t="n">
        <x:v>123</x:v>
      </x:c>
      <x:c r="P1636" s="50" t="n">
        <x:v>22</x:v>
      </x:c>
    </x:row>
    <x:row r="1637" ht="36" customHeight="1">
      <x:c r="A1637" s="53" t="n">
        <x:v>1618</x:v>
      </x:c>
      <x:c r="B1637" s="53" t="n">
        <x:v>1</x:v>
      </x:c>
      <x:c r="C1637" s="40" t="str">
        <x:v>High-Value Frequent Shoppers</x:v>
      </x:c>
      <x:c r="D1637" s="60" t="n">
        <x:v>4562.48</x:v>
      </x:c>
      <x:c r="E1637" s="50" t="n">
        <x:v>99</x:v>
      </x:c>
      <x:c r="F1637" s="46" t="n">
        <x:v>4.7142857142857135</x:v>
      </x:c>
      <x:c r="G1637" s="46" t="n">
        <x:v>0</x:v>
      </x:c>
      <x:c r="H1637" s="61" t="n">
        <x:v>46.08565656565657</x:v>
      </x:c>
      <x:c r="I1637" s="52" t="n">
        <x:v>0.9393939393939392</x:v>
      </x:c>
      <x:c r="J1637" s="52" t="n">
        <x:v>0.5666238536936052</x:v>
      </x:c>
      <x:c r="K1637" s="60" t="n">
        <x:v>4512.77</x:v>
      </x:c>
      <x:c r="L1637" s="60" t="n">
        <x:v>49.71</x:v>
      </x:c>
      <x:c r="M1637" s="50" t="n">
        <x:v>93</x:v>
      </x:c>
      <x:c r="N1637" s="50" t="n">
        <x:v>6</x:v>
      </x:c>
      <x:c r="O1637" s="50" t="n">
        <x:v>156</x:v>
      </x:c>
      <x:c r="P1637" s="50" t="n">
        <x:v>21</x:v>
      </x:c>
    </x:row>
    <x:row r="1638" ht="36" customHeight="1">
      <x:c r="A1638" s="53" t="n">
        <x:v>1619</x:v>
      </x:c>
      <x:c r="B1638" s="53" t="n">
        <x:v>1</x:v>
      </x:c>
      <x:c r="C1638" s="40" t="str">
        <x:v>High-Value Frequent Shoppers</x:v>
      </x:c>
      <x:c r="D1638" s="60" t="n">
        <x:v>4454.73</x:v>
      </x:c>
      <x:c r="E1638" s="50" t="n">
        <x:v>185</x:v>
      </x:c>
      <x:c r="F1638" s="46" t="n">
        <x:v>8.409090909090908</x:v>
      </x:c>
      <x:c r="G1638" s="46" t="n">
        <x:v>3</x:v>
      </x:c>
      <x:c r="H1638" s="61" t="n">
        <x:v>24.07962162162162</x:v>
      </x:c>
      <x:c r="I1638" s="52" t="n">
        <x:v>0.8324324324324324</x:v>
      </x:c>
      <x:c r="J1638" s="52" t="n">
        <x:v>0.5091195201504917</x:v>
      </x:c>
      <x:c r="K1638" s="60" t="n">
        <x:v>4153.87</x:v>
      </x:c>
      <x:c r="L1638" s="60" t="n">
        <x:v>300.86</x:v>
      </x:c>
      <x:c r="M1638" s="50" t="n">
        <x:v>154</x:v>
      </x:c>
      <x:c r="N1638" s="50" t="n">
        <x:v>31</x:v>
      </x:c>
      <x:c r="O1638" s="50" t="n">
        <x:v>144</x:v>
      </x:c>
      <x:c r="P1638" s="50" t="n">
        <x:v>22</x:v>
      </x:c>
    </x:row>
    <x:row r="1639" ht="36" customHeight="1">
      <x:c r="A1639" s="53" t="n">
        <x:v>1620</x:v>
      </x:c>
      <x:c r="B1639" s="53" t="n">
        <x:v>1</x:v>
      </x:c>
      <x:c r="C1639" s="40" t="str">
        <x:v>High-Value Frequent Shoppers</x:v>
      </x:c>
      <x:c r="D1639" s="60" t="n">
        <x:v>9219.35</x:v>
      </x:c>
      <x:c r="E1639" s="50" t="n">
        <x:v>337</x:v>
      </x:c>
      <x:c r="F1639" s="46" t="n">
        <x:v>15.318181818181818</x:v>
      </x:c>
      <x:c r="G1639" s="46" t="n">
        <x:v>3</x:v>
      </x:c>
      <x:c r="H1639" s="61" t="n">
        <x:v>27.357121661721067</x:v>
      </x:c>
      <x:c r="I1639" s="52" t="n">
        <x:v>0.9258160237388724</x:v>
      </x:c>
      <x:c r="J1639" s="52" t="n">
        <x:v>0.6315662167072515</x:v>
      </x:c>
      <x:c r="K1639" s="60" t="n">
        <x:v>8918.56</x:v>
      </x:c>
      <x:c r="L1639" s="60" t="n">
        <x:v>300.79</x:v>
      </x:c>
      <x:c r="M1639" s="50" t="n">
        <x:v>312</x:v>
      </x:c>
      <x:c r="N1639" s="50" t="n">
        <x:v>25</x:v>
      </x:c>
      <x:c r="O1639" s="50" t="n">
        <x:v>181</x:v>
      </x:c>
      <x:c r="P1639" s="50" t="n">
        <x:v>22</x:v>
      </x:c>
    </x:row>
    <x:row r="1640" ht="36" customHeight="1">
      <x:c r="A1640" s="53" t="n">
        <x:v>1621</x:v>
      </x:c>
      <x:c r="B1640" s="53" t="n">
        <x:v>1</x:v>
      </x:c>
      <x:c r="C1640" s="40" t="str">
        <x:v>High-Value Frequent Shoppers</x:v>
      </x:c>
      <x:c r="D1640" s="60" t="n">
        <x:v>3231.48</x:v>
      </x:c>
      <x:c r="E1640" s="50" t="n">
        <x:v>90</x:v>
      </x:c>
      <x:c r="F1640" s="46" t="n">
        <x:v>4.285714285714286</x:v>
      </x:c>
      <x:c r="G1640" s="46" t="n">
        <x:v>2</x:v>
      </x:c>
      <x:c r="H1640" s="61" t="n">
        <x:v>35.90533333333333</x:v>
      </x:c>
      <x:c r="I1640" s="52" t="n">
        <x:v>0.8777777777777777</x:v>
      </x:c>
      <x:c r="J1640" s="52" t="n">
        <x:v>0.5623708022330325</x:v>
      </x:c>
      <x:c r="K1640" s="60" t="n">
        <x:v>3113.92</x:v>
      </x:c>
      <x:c r="L1640" s="60" t="n">
        <x:v>117.56</x:v>
      </x:c>
      <x:c r="M1640" s="50" t="n">
        <x:v>79</x:v>
      </x:c>
      <x:c r="N1640" s="50" t="n">
        <x:v>11</x:v>
      </x:c>
      <x:c r="O1640" s="50" t="n">
        <x:v>117</x:v>
      </x:c>
      <x:c r="P1640" s="50" t="n">
        <x:v>21</x:v>
      </x:c>
    </x:row>
    <x:row r="1641" ht="36" customHeight="1">
      <x:c r="A1641" s="53" t="n">
        <x:v>1622</x:v>
      </x:c>
      <x:c r="B1641" s="53" t="n">
        <x:v>1</x:v>
      </x:c>
      <x:c r="C1641" s="40" t="str">
        <x:v>High-Value Frequent Shoppers</x:v>
      </x:c>
      <x:c r="D1641" s="60" t="n">
        <x:v>3844.31</x:v>
      </x:c>
      <x:c r="E1641" s="50" t="n">
        <x:v>105</x:v>
      </x:c>
      <x:c r="F1641" s="46" t="n">
        <x:v>4.565217391304348</x:v>
      </x:c>
      <x:c r="G1641" s="46" t="n">
        <x:v>0</x:v>
      </x:c>
      <x:c r="H1641" s="61" t="n">
        <x:v>36.612476190476194</x:v>
      </x:c>
      <x:c r="I1641" s="52" t="n">
        <x:v>0.9809523809523808</x:v>
      </x:c>
      <x:c r="J1641" s="52" t="n">
        <x:v>0.5457234198074556</x:v>
      </x:c>
      <x:c r="K1641" s="60" t="n">
        <x:v>3819.48</x:v>
      </x:c>
      <x:c r="L1641" s="60" t="n">
        <x:v>24.83</x:v>
      </x:c>
      <x:c r="M1641" s="50" t="n">
        <x:v>103</x:v>
      </x:c>
      <x:c r="N1641" s="50" t="n">
        <x:v>2</x:v>
      </x:c>
      <x:c r="O1641" s="50" t="n">
        <x:v>151</x:v>
      </x:c>
      <x:c r="P1641" s="50" t="n">
        <x:v>23</x:v>
      </x:c>
    </x:row>
    <x:row r="1642" ht="36" customHeight="1">
      <x:c r="A1642" s="53" t="n">
        <x:v>1623</x:v>
      </x:c>
      <x:c r="B1642" s="53" t="n">
        <x:v>1</x:v>
      </x:c>
      <x:c r="C1642" s="40" t="str">
        <x:v>High-Value Frequent Shoppers</x:v>
      </x:c>
      <x:c r="D1642" s="60" t="n">
        <x:v>4733.62</x:v>
      </x:c>
      <x:c r="E1642" s="50" t="n">
        <x:v>180</x:v>
      </x:c>
      <x:c r="F1642" s="46" t="n">
        <x:v>9</x:v>
      </x:c>
      <x:c r="G1642" s="46" t="n">
        <x:v>1</x:v>
      </x:c>
      <x:c r="H1642" s="61" t="n">
        <x:v>26.297888888888888</x:v>
      </x:c>
      <x:c r="I1642" s="52" t="n">
        <x:v>0.7166666666666666</x:v>
      </x:c>
      <x:c r="J1642" s="52" t="n">
        <x:v>0.4922342731355706</x:v>
      </x:c>
      <x:c r="K1642" s="60" t="n">
        <x:v>4195.82</x:v>
      </x:c>
      <x:c r="L1642" s="60" t="n">
        <x:v>537.8</x:v>
      </x:c>
      <x:c r="M1642" s="50" t="n">
        <x:v>129</x:v>
      </x:c>
      <x:c r="N1642" s="50" t="n">
        <x:v>51</x:v>
      </x:c>
      <x:c r="O1642" s="50" t="n">
        <x:v>143</x:v>
      </x:c>
      <x:c r="P1642" s="50" t="n">
        <x:v>20</x:v>
      </x:c>
    </x:row>
    <x:row r="1643" ht="36" customHeight="1">
      <x:c r="A1643" s="53" t="n">
        <x:v>1624</x:v>
      </x:c>
      <x:c r="B1643" s="53" t="n">
        <x:v>3</x:v>
      </x:c>
      <x:c r="C1643" s="40" t="str">
        <x:v>Low-Value Low-Engagement Shoppers</x:v>
      </x:c>
      <x:c r="D1643" s="60" t="n">
        <x:v>1567.81</x:v>
      </x:c>
      <x:c r="E1643" s="50" t="n">
        <x:v>82</x:v>
      </x:c>
      <x:c r="F1643" s="46" t="n">
        <x:v>4.555555555555556</x:v>
      </x:c>
      <x:c r="G1643" s="46" t="n">
        <x:v>28</x:v>
      </x:c>
      <x:c r="H1643" s="61" t="n">
        <x:v>19.119634146341465</x:v>
      </x:c>
      <x:c r="I1643" s="52" t="n">
        <x:v>0.7682926829268292</x:v>
      </x:c>
      <x:c r="J1643" s="52" t="n">
        <x:v>0.4022171053890458</x:v>
      </x:c>
      <x:c r="K1643" s="60" t="n">
        <x:v>1415.97</x:v>
      </x:c>
      <x:c r="L1643" s="60" t="n">
        <x:v>151.84</x:v>
      </x:c>
      <x:c r="M1643" s="50" t="n">
        <x:v>63</x:v>
      </x:c>
      <x:c r="N1643" s="50" t="n">
        <x:v>19</x:v>
      </x:c>
      <x:c r="O1643" s="50" t="n">
        <x:v>86</x:v>
      </x:c>
      <x:c r="P1643" s="50" t="n">
        <x:v>18</x:v>
      </x:c>
    </x:row>
    <x:row r="1644" ht="36" customHeight="1">
      <x:c r="A1644" s="53" t="n">
        <x:v>1625</x:v>
      </x:c>
      <x:c r="B1644" s="53" t="n">
        <x:v>3</x:v>
      </x:c>
      <x:c r="C1644" s="40" t="str">
        <x:v>Low-Value Low-Engagement Shoppers</x:v>
      </x:c>
      <x:c r="D1644" s="60" t="n">
        <x:v>464.64</x:v>
      </x:c>
      <x:c r="E1644" s="50" t="n">
        <x:v>41</x:v>
      </x:c>
      <x:c r="F1644" s="46" t="n">
        <x:v>2.7333333333333334</x:v>
      </x:c>
      <x:c r="G1644" s="46" t="n">
        <x:v>10</x:v>
      </x:c>
      <x:c r="H1644" s="61" t="n">
        <x:v>11.332682926829268</x:v>
      </x:c>
      <x:c r="I1644" s="52" t="n">
        <x:v>0.7317073170731707</x:v>
      </x:c>
      <x:c r="J1644" s="52" t="n">
        <x:v>0.3647339876033057</x:v>
      </x:c>
      <x:c r="K1644" s="60" t="n">
        <x:v>388.63</x:v>
      </x:c>
      <x:c r="L1644" s="60" t="n">
        <x:v>76.01</x:v>
      </x:c>
      <x:c r="M1644" s="50" t="n">
        <x:v>30</x:v>
      </x:c>
      <x:c r="N1644" s="50" t="n">
        <x:v>11</x:v>
      </x:c>
      <x:c r="O1644" s="50" t="n">
        <x:v>65</x:v>
      </x:c>
      <x:c r="P1644" s="50" t="n">
        <x:v>15</x:v>
      </x:c>
    </x:row>
    <x:row r="1645" ht="36" customHeight="1">
      <x:c r="A1645" s="53" t="n">
        <x:v>1626</x:v>
      </x:c>
      <x:c r="B1645" s="53" t="n">
        <x:v>3</x:v>
      </x:c>
      <x:c r="C1645" s="40" t="str">
        <x:v>Low-Value Low-Engagement Shoppers</x:v>
      </x:c>
      <x:c r="D1645" s="60" t="n">
        <x:v>42.96</x:v>
      </x:c>
      <x:c r="E1645" s="50" t="n">
        <x:v>2</x:v>
      </x:c>
      <x:c r="F1645" s="46" t="n">
        <x:v>1</x:v>
      </x:c>
      <x:c r="G1645" s="46" t="n">
        <x:v>272</x:v>
      </x:c>
      <x:c r="H1645" s="61" t="n">
        <x:v>21.48</x:v>
      </x:c>
      <x:c r="I1645" s="52" t="n">
        <x:v>1</x:v>
      </x:c>
      <x:c r="J1645" s="52" t="n">
        <x:v>0.3209962756052141</x:v>
      </x:c>
      <x:c r="K1645" s="60" t="n">
        <x:v>42.96</x:v>
      </x:c>
      <x:c r="L1645" s="60" t="n">
        <x:v>0</x:v>
      </x:c>
      <x:c r="M1645" s="50" t="n">
        <x:v>2</x:v>
      </x:c>
      <x:c r="N1645" s="50" t="n">
        <x:v>0</x:v>
      </x:c>
      <x:c r="O1645" s="50" t="n">
        <x:v>3</x:v>
      </x:c>
      <x:c r="P1645" s="50" t="n">
        <x:v>2</x:v>
      </x:c>
    </x:row>
    <x:row r="1646" ht="36" customHeight="1">
      <x:c r="A1646" s="53" t="n">
        <x:v>1627</x:v>
      </x:c>
      <x:c r="B1646" s="53" t="n">
        <x:v>1</x:v>
      </x:c>
      <x:c r="C1646" s="40" t="str">
        <x:v>High-Value Frequent Shoppers</x:v>
      </x:c>
      <x:c r="D1646" s="60" t="n">
        <x:v>3484.02</x:v>
      </x:c>
      <x:c r="E1646" s="50" t="n">
        <x:v>114</x:v>
      </x:c>
      <x:c r="F1646" s="46" t="n">
        <x:v>6</x:v>
      </x:c>
      <x:c r="G1646" s="46" t="n">
        <x:v>0</x:v>
      </x:c>
      <x:c r="H1646" s="61" t="n">
        <x:v>30.56157894736842</x:v>
      </x:c>
      <x:c r="I1646" s="52" t="n">
        <x:v>0.8157894736842105</x:v>
      </x:c>
      <x:c r="J1646" s="52" t="n">
        <x:v>0.4837429176640777</x:v>
      </x:c>
      <x:c r="K1646" s="60" t="n">
        <x:v>3023.38</x:v>
      </x:c>
      <x:c r="L1646" s="60" t="n">
        <x:v>460.64</x:v>
      </x:c>
      <x:c r="M1646" s="50" t="n">
        <x:v>93</x:v>
      </x:c>
      <x:c r="N1646" s="50" t="n">
        <x:v>21</x:v>
      </x:c>
      <x:c r="O1646" s="50" t="n">
        <x:v>130</x:v>
      </x:c>
      <x:c r="P1646" s="50" t="n">
        <x:v>19</x:v>
      </x:c>
    </x:row>
    <x:row r="1647" ht="36" customHeight="1">
      <x:c r="A1647" s="53" t="n">
        <x:v>1628</x:v>
      </x:c>
      <x:c r="B1647" s="53" t="n">
        <x:v>3</x:v>
      </x:c>
      <x:c r="C1647" s="40" t="str">
        <x:v>Low-Value Low-Engagement Shoppers</x:v>
      </x:c>
      <x:c r="D1647" s="60" t="n">
        <x:v>546.78</x:v>
      </x:c>
      <x:c r="E1647" s="50" t="n">
        <x:v>18</x:v>
      </x:c>
      <x:c r="F1647" s="46" t="n">
        <x:v>2.571428571428572</x:v>
      </x:c>
      <x:c r="G1647" s="46" t="n">
        <x:v>9</x:v>
      </x:c>
      <x:c r="H1647" s="61" t="n">
        <x:v>30.376666666666665</x:v>
      </x:c>
      <x:c r="I1647" s="52" t="n">
        <x:v>0.7777777777777777</x:v>
      </x:c>
      <x:c r="J1647" s="52" t="n">
        <x:v>0.505962178572735</x:v>
      </x:c>
      <x:c r="K1647" s="60" t="n">
        <x:v>529.03</x:v>
      </x:c>
      <x:c r="L1647" s="60" t="n">
        <x:v>17.75</x:v>
      </x:c>
      <x:c r="M1647" s="50" t="n">
        <x:v>14</x:v>
      </x:c>
      <x:c r="N1647" s="50" t="n">
        <x:v>4</x:v>
      </x:c>
      <x:c r="O1647" s="50" t="n">
        <x:v>70</x:v>
      </x:c>
      <x:c r="P1647" s="50" t="n">
        <x:v>7</x:v>
      </x:c>
    </x:row>
    <x:row r="1648" ht="36" customHeight="1">
      <x:c r="A1648" s="53" t="n">
        <x:v>1629</x:v>
      </x:c>
      <x:c r="B1648" s="53" t="n">
        <x:v>2</x:v>
      </x:c>
      <x:c r="C1648" s="40" t="str">
        <x:v>Large-Basket Occasional Shoppers</x:v>
      </x:c>
      <x:c r="D1648" s="60" t="n">
        <x:v>590.71</x:v>
      </x:c>
      <x:c r="E1648" s="50" t="n">
        <x:v>9</x:v>
      </x:c>
      <x:c r="F1648" s="46" t="n">
        <x:v>1.2857142857142856</x:v>
      </x:c>
      <x:c r="G1648" s="46" t="n">
        <x:v>48</x:v>
      </x:c>
      <x:c r="H1648" s="61" t="n">
        <x:v>65.63444444444445</x:v>
      </x:c>
      <x:c r="I1648" s="52" t="n">
        <x:v>1</x:v>
      </x:c>
      <x:c r="J1648" s="52" t="n">
        <x:v>0.4363223916981259</x:v>
      </x:c>
      <x:c r="K1648" s="60" t="n">
        <x:v>590.71</x:v>
      </x:c>
      <x:c r="L1648" s="60" t="n">
        <x:v>0</x:v>
      </x:c>
      <x:c r="M1648" s="50" t="n">
        <x:v>9</x:v>
      </x:c>
      <x:c r="N1648" s="50" t="n">
        <x:v>0</x:v>
      </x:c>
      <x:c r="O1648" s="50" t="n">
        <x:v>76</x:v>
      </x:c>
      <x:c r="P1648" s="50" t="n">
        <x:v>7</x:v>
      </x:c>
    </x:row>
    <x:row r="1649" ht="36" customHeight="1">
      <x:c r="A1649" s="53" t="n">
        <x:v>1630</x:v>
      </x:c>
      <x:c r="B1649" s="53" t="n">
        <x:v>1</x:v>
      </x:c>
      <x:c r="C1649" s="40" t="str">
        <x:v>High-Value Frequent Shoppers</x:v>
      </x:c>
      <x:c r="D1649" s="60" t="n">
        <x:v>9265.32</x:v>
      </x:c>
      <x:c r="E1649" s="50" t="n">
        <x:v>188</x:v>
      </x:c>
      <x:c r="F1649" s="46" t="n">
        <x:v>8.952380952380953</x:v>
      </x:c>
      <x:c r="G1649" s="46" t="n">
        <x:v>1</x:v>
      </x:c>
      <x:c r="H1649" s="61" t="n">
        <x:v>49.2836170212766</x:v>
      </x:c>
      <x:c r="I1649" s="52" t="n">
        <x:v>0.952127659574468</x:v>
      </x:c>
      <x:c r="J1649" s="52" t="n">
        <x:v>0.4421142496967185</x:v>
      </x:c>
      <x:c r="K1649" s="60" t="n">
        <x:v>9064.06</x:v>
      </x:c>
      <x:c r="L1649" s="60" t="n">
        <x:v>201.26</x:v>
      </x:c>
      <x:c r="M1649" s="50" t="n">
        <x:v>179</x:v>
      </x:c>
      <x:c r="N1649" s="50" t="n">
        <x:v>9</x:v>
      </x:c>
      <x:c r="O1649" s="50" t="n">
        <x:v>156</x:v>
      </x:c>
      <x:c r="P1649" s="50" t="n">
        <x:v>21</x:v>
      </x:c>
    </x:row>
    <x:row r="1650" ht="36" customHeight="1">
      <x:c r="A1650" s="53" t="n">
        <x:v>1631</x:v>
      </x:c>
      <x:c r="B1650" s="53" t="n">
        <x:v>1</x:v>
      </x:c>
      <x:c r="C1650" s="40" t="str">
        <x:v>High-Value Frequent Shoppers</x:v>
      </x:c>
      <x:c r="D1650" s="60" t="n">
        <x:v>10427.21</x:v>
      </x:c>
      <x:c r="E1650" s="50" t="n">
        <x:v>352</x:v>
      </x:c>
      <x:c r="F1650" s="46" t="n">
        <x:v>16.76190476190476</x:v>
      </x:c>
      <x:c r="G1650" s="46" t="n">
        <x:v>0</x:v>
      </x:c>
      <x:c r="H1650" s="61" t="n">
        <x:v>29.62275568181818</x:v>
      </x:c>
      <x:c r="I1650" s="52" t="n">
        <x:v>0.8323863636363636</x:v>
      </x:c>
      <x:c r="J1650" s="52" t="n">
        <x:v>0.5951524904552608</x:v>
      </x:c>
      <x:c r="K1650" s="60" t="n">
        <x:v>10070.91</x:v>
      </x:c>
      <x:c r="L1650" s="60" t="n">
        <x:v>356.3</x:v>
      </x:c>
      <x:c r="M1650" s="50" t="n">
        <x:v>293</x:v>
      </x:c>
      <x:c r="N1650" s="50" t="n">
        <x:v>59</x:v>
      </x:c>
      <x:c r="O1650" s="50" t="n">
        <x:v>163</x:v>
      </x:c>
      <x:c r="P1650" s="50" t="n">
        <x:v>21</x:v>
      </x:c>
    </x:row>
    <x:row r="1651" ht="36" customHeight="1">
      <x:c r="A1651" s="53" t="n">
        <x:v>1632</x:v>
      </x:c>
      <x:c r="B1651" s="53" t="n">
        <x:v>2</x:v>
      </x:c>
      <x:c r="C1651" s="40" t="str">
        <x:v>Large-Basket Occasional Shoppers</x:v>
      </x:c>
      <x:c r="D1651" s="60" t="n">
        <x:v>2104.91</x:v>
      </x:c>
      <x:c r="E1651" s="50" t="n">
        <x:v>64</x:v>
      </x:c>
      <x:c r="F1651" s="46" t="n">
        <x:v>3.2</x:v>
      </x:c>
      <x:c r="G1651" s="46" t="n">
        <x:v>38</x:v>
      </x:c>
      <x:c r="H1651" s="61" t="n">
        <x:v>32.88921875</x:v>
      </x:c>
      <x:c r="I1651" s="52" t="n">
        <x:v>0.90625</x:v>
      </x:c>
      <x:c r="J1651" s="52" t="n">
        <x:v>0.5023160135112665</x:v>
      </x:c>
      <x:c r="K1651" s="60" t="n">
        <x:v>2049.77</x:v>
      </x:c>
      <x:c r="L1651" s="60" t="n">
        <x:v>55.14</x:v>
      </x:c>
      <x:c r="M1651" s="50" t="n">
        <x:v>58</x:v>
      </x:c>
      <x:c r="N1651" s="50" t="n">
        <x:v>6</x:v>
      </x:c>
      <x:c r="O1651" s="50" t="n">
        <x:v>107</x:v>
      </x:c>
      <x:c r="P1651" s="50" t="n">
        <x:v>20</x:v>
      </x:c>
    </x:row>
    <x:row r="1652" ht="36" customHeight="1">
      <x:c r="A1652" s="53" t="n">
        <x:v>1633</x:v>
      </x:c>
      <x:c r="B1652" s="53" t="n">
        <x:v>1</x:v>
      </x:c>
      <x:c r="C1652" s="40" t="str">
        <x:v>High-Value Frequent Shoppers</x:v>
      </x:c>
      <x:c r="D1652" s="60" t="n">
        <x:v>10162.78</x:v>
      </x:c>
      <x:c r="E1652" s="50" t="n">
        <x:v>219</x:v>
      </x:c>
      <x:c r="F1652" s="46" t="n">
        <x:v>9.125</x:v>
      </x:c>
      <x:c r="G1652" s="46" t="n">
        <x:v>5</x:v>
      </x:c>
      <x:c r="H1652" s="61" t="n">
        <x:v>46.40538812785388</x:v>
      </x:c>
      <x:c r="I1652" s="52" t="n">
        <x:v>0.7990867579908675</x:v>
      </x:c>
      <x:c r="J1652" s="52" t="n">
        <x:v>0.5363758735306677</x:v>
      </x:c>
      <x:c r="K1652" s="60" t="n">
        <x:v>9758.18</x:v>
      </x:c>
      <x:c r="L1652" s="60" t="n">
        <x:v>404.6</x:v>
      </x:c>
      <x:c r="M1652" s="50" t="n">
        <x:v>175</x:v>
      </x:c>
      <x:c r="N1652" s="50" t="n">
        <x:v>44</x:v>
      </x:c>
      <x:c r="O1652" s="50" t="n">
        <x:v>192</x:v>
      </x:c>
      <x:c r="P1652" s="50" t="n">
        <x:v>24</x:v>
      </x:c>
    </x:row>
    <x:row r="1653" ht="36" customHeight="1">
      <x:c r="A1653" s="53" t="n">
        <x:v>1634</x:v>
      </x:c>
      <x:c r="B1653" s="53" t="n">
        <x:v>1</x:v>
      </x:c>
      <x:c r="C1653" s="40" t="str">
        <x:v>High-Value Frequent Shoppers</x:v>
      </x:c>
      <x:c r="D1653" s="60" t="n">
        <x:v>4616.14</x:v>
      </x:c>
      <x:c r="E1653" s="50" t="n">
        <x:v>85</x:v>
      </x:c>
      <x:c r="F1653" s="46" t="n">
        <x:v>3.863636363636364</x:v>
      </x:c>
      <x:c r="G1653" s="46" t="n">
        <x:v>2</x:v>
      </x:c>
      <x:c r="H1653" s="61" t="n">
        <x:v>54.30752941176471</x:v>
      </x:c>
      <x:c r="I1653" s="52" t="n">
        <x:v>0.8705882352941176</x:v>
      </x:c>
      <x:c r="J1653" s="52" t="n">
        <x:v>0.4702608673047177</x:v>
      </x:c>
      <x:c r="K1653" s="60" t="n">
        <x:v>4514.16</x:v>
      </x:c>
      <x:c r="L1653" s="60" t="n">
        <x:v>101.98</x:v>
      </x:c>
      <x:c r="M1653" s="50" t="n">
        <x:v>74</x:v>
      </x:c>
      <x:c r="N1653" s="50" t="n">
        <x:v>11</x:v>
      </x:c>
      <x:c r="O1653" s="50" t="n">
        <x:v>136</x:v>
      </x:c>
      <x:c r="P1653" s="50" t="n">
        <x:v>22</x:v>
      </x:c>
    </x:row>
    <x:row r="1654" ht="36" customHeight="1">
      <x:c r="A1654" s="53" t="n">
        <x:v>1635</x:v>
      </x:c>
      <x:c r="B1654" s="53" t="n">
        <x:v>3</x:v>
      </x:c>
      <x:c r="C1654" s="40" t="str">
        <x:v>Low-Value Low-Engagement Shoppers</x:v>
      </x:c>
      <x:c r="D1654" s="60" t="n">
        <x:v>128.98</x:v>
      </x:c>
      <x:c r="E1654" s="50" t="n">
        <x:v>20</x:v>
      </x:c>
      <x:c r="F1654" s="46" t="n">
        <x:v>1.8181818181818183</x:v>
      </x:c>
      <x:c r="G1654" s="46" t="n">
        <x:v>48</x:v>
      </x:c>
      <x:c r="H1654" s="61" t="n">
        <x:v>6.449</x:v>
      </x:c>
      <x:c r="I1654" s="52" t="n">
        <x:v>0.55</x:v>
      </x:c>
      <x:c r="J1654" s="52" t="n">
        <x:v>0.3922313536982477</x:v>
      </x:c>
      <x:c r="K1654" s="60" t="n">
        <x:v>80.51</x:v>
      </x:c>
      <x:c r="L1654" s="60" t="n">
        <x:v>48.47</x:v>
      </x:c>
      <x:c r="M1654" s="50" t="n">
        <x:v>11</x:v>
      </x:c>
      <x:c r="N1654" s="50" t="n">
        <x:v>9</x:v>
      </x:c>
      <x:c r="O1654" s="50" t="n">
        <x:v>29</x:v>
      </x:c>
      <x:c r="P1654" s="50" t="n">
        <x:v>11</x:v>
      </x:c>
    </x:row>
    <x:row r="1655" ht="36" customHeight="1">
      <x:c r="A1655" s="53" t="n">
        <x:v>1636</x:v>
      </x:c>
      <x:c r="B1655" s="53" t="n">
        <x:v>2</x:v>
      </x:c>
      <x:c r="C1655" s="40" t="str">
        <x:v>Large-Basket Occasional Shoppers</x:v>
      </x:c>
      <x:c r="D1655" s="60" t="n">
        <x:v>1197.77</x:v>
      </x:c>
      <x:c r="E1655" s="50" t="n">
        <x:v>22</x:v>
      </x:c>
      <x:c r="F1655" s="46" t="n">
        <x:v>4.4</x:v>
      </x:c>
      <x:c r="G1655" s="46" t="n">
        <x:v>1</x:v>
      </x:c>
      <x:c r="H1655" s="61" t="n">
        <x:v>54.4440909090909</x:v>
      </x:c>
      <x:c r="I1655" s="52" t="n">
        <x:v>1</x:v>
      </x:c>
      <x:c r="J1655" s="52" t="n">
        <x:v>0.5243744625428922</x:v>
      </x:c>
      <x:c r="K1655" s="60" t="n">
        <x:v>1197.77</x:v>
      </x:c>
      <x:c r="L1655" s="60" t="n">
        <x:v>0</x:v>
      </x:c>
      <x:c r="M1655" s="50" t="n">
        <x:v>22</x:v>
      </x:c>
      <x:c r="N1655" s="50" t="n">
        <x:v>0</x:v>
      </x:c>
      <x:c r="O1655" s="50" t="n">
        <x:v>102</x:v>
      </x:c>
      <x:c r="P1655" s="50" t="n">
        <x:v>5</x:v>
      </x:c>
    </x:row>
    <x:row r="1656" ht="36" customHeight="1">
      <x:c r="A1656" s="53" t="n">
        <x:v>1637</x:v>
      </x:c>
      <x:c r="B1656" s="53" t="n">
        <x:v>3</x:v>
      </x:c>
      <x:c r="C1656" s="40" t="str">
        <x:v>Low-Value Low-Engagement Shoppers</x:v>
      </x:c>
      <x:c r="D1656" s="60" t="n">
        <x:v>1170.13</x:v>
      </x:c>
      <x:c r="E1656" s="50" t="n">
        <x:v>66</x:v>
      </x:c>
      <x:c r="F1656" s="46" t="n">
        <x:v>3.473684210526316</x:v>
      </x:c>
      <x:c r="G1656" s="46" t="n">
        <x:v>0</x:v>
      </x:c>
      <x:c r="H1656" s="61" t="n">
        <x:v>17.729242424242425</x:v>
      </x:c>
      <x:c r="I1656" s="52" t="n">
        <x:v>0.7878787878787878</x:v>
      </x:c>
      <x:c r="J1656" s="52" t="n">
        <x:v>0.5479305718168066</x:v>
      </x:c>
      <x:c r="K1656" s="60" t="n">
        <x:v>875.28</x:v>
      </x:c>
      <x:c r="L1656" s="60" t="n">
        <x:v>294.85</x:v>
      </x:c>
      <x:c r="M1656" s="50" t="n">
        <x:v>52</x:v>
      </x:c>
      <x:c r="N1656" s="50" t="n">
        <x:v>14</x:v>
      </x:c>
      <x:c r="O1656" s="50" t="n">
        <x:v>58</x:v>
      </x:c>
      <x:c r="P1656" s="50" t="n">
        <x:v>19</x:v>
      </x:c>
    </x:row>
    <x:row r="1657" ht="36" customHeight="1">
      <x:c r="A1657" s="53" t="n">
        <x:v>1638</x:v>
      </x:c>
      <x:c r="B1657" s="53" t="n">
        <x:v>3</x:v>
      </x:c>
      <x:c r="C1657" s="40" t="str">
        <x:v>Low-Value Low-Engagement Shoppers</x:v>
      </x:c>
      <x:c r="D1657" s="60" t="n">
        <x:v>552.18</x:v>
      </x:c>
      <x:c r="E1657" s="50" t="n">
        <x:v>51</x:v>
      </x:c>
      <x:c r="F1657" s="46" t="n">
        <x:v>2.6842105263157894</x:v>
      </x:c>
      <x:c r="G1657" s="46" t="n">
        <x:v>15</x:v>
      </x:c>
      <x:c r="H1657" s="61" t="n">
        <x:v>10.827058823529413</x:v>
      </x:c>
      <x:c r="I1657" s="52" t="n">
        <x:v>0.8431372549019607</x:v>
      </x:c>
      <x:c r="J1657" s="52" t="n">
        <x:v>0.5939367597522546</x:v>
      </x:c>
      <x:c r="K1657" s="60" t="n">
        <x:v>520.17</x:v>
      </x:c>
      <x:c r="L1657" s="60" t="n">
        <x:v>32.01</x:v>
      </x:c>
      <x:c r="M1657" s="50" t="n">
        <x:v>43</x:v>
      </x:c>
      <x:c r="N1657" s="50" t="n">
        <x:v>8</x:v>
      </x:c>
      <x:c r="O1657" s="50" t="n">
        <x:v>80</x:v>
      </x:c>
      <x:c r="P1657" s="50" t="n">
        <x:v>19</x:v>
      </x:c>
    </x:row>
    <x:row r="1658" ht="36" customHeight="1">
      <x:c r="A1658" s="53" t="n">
        <x:v>1639</x:v>
      </x:c>
      <x:c r="B1658" s="53" t="n">
        <x:v>1</x:v>
      </x:c>
      <x:c r="C1658" s="40" t="str">
        <x:v>High-Value Frequent Shoppers</x:v>
      </x:c>
      <x:c r="D1658" s="60" t="n">
        <x:v>2578.1</x:v>
      </x:c>
      <x:c r="E1658" s="50" t="n">
        <x:v>110</x:v>
      </x:c>
      <x:c r="F1658" s="46" t="n">
        <x:v>5.238095238095238</x:v>
      </x:c>
      <x:c r="G1658" s="46" t="n">
        <x:v>0</x:v>
      </x:c>
      <x:c r="H1658" s="61" t="n">
        <x:v>23.437272727272727</x:v>
      </x:c>
      <x:c r="I1658" s="52" t="n">
        <x:v>0.8727272727272727</x:v>
      </x:c>
      <x:c r="J1658" s="52" t="n">
        <x:v>0.4956014118924789</x:v>
      </x:c>
      <x:c r="K1658" s="60" t="n">
        <x:v>2413.74</x:v>
      </x:c>
      <x:c r="L1658" s="60" t="n">
        <x:v>164.36</x:v>
      </x:c>
      <x:c r="M1658" s="50" t="n">
        <x:v>96</x:v>
      </x:c>
      <x:c r="N1658" s="50" t="n">
        <x:v>14</x:v>
      </x:c>
      <x:c r="O1658" s="50" t="n">
        <x:v>134</x:v>
      </x:c>
      <x:c r="P1658" s="50" t="n">
        <x:v>21</x:v>
      </x:c>
    </x:row>
    <x:row r="1659" ht="36" customHeight="1">
      <x:c r="A1659" s="53" t="n">
        <x:v>1640</x:v>
      </x:c>
      <x:c r="B1659" s="53" t="n">
        <x:v>1</x:v>
      </x:c>
      <x:c r="C1659" s="40" t="str">
        <x:v>High-Value Frequent Shoppers</x:v>
      </x:c>
      <x:c r="D1659" s="60" t="n">
        <x:v>4410.1</x:v>
      </x:c>
      <x:c r="E1659" s="50" t="n">
        <x:v>151</x:v>
      </x:c>
      <x:c r="F1659" s="46" t="n">
        <x:v>7.190476190476192</x:v>
      </x:c>
      <x:c r="G1659" s="46" t="n">
        <x:v>0</x:v>
      </x:c>
      <x:c r="H1659" s="61" t="n">
        <x:v>29.205960264900664</x:v>
      </x:c>
      <x:c r="I1659" s="52" t="n">
        <x:v>0.8344370860927152</x:v>
      </x:c>
      <x:c r="J1659" s="52" t="n">
        <x:v>0.5766127752205165</x:v>
      </x:c>
      <x:c r="K1659" s="60" t="n">
        <x:v>4149.51</x:v>
      </x:c>
      <x:c r="L1659" s="60" t="n">
        <x:v>260.59</x:v>
      </x:c>
      <x:c r="M1659" s="50" t="n">
        <x:v>126</x:v>
      </x:c>
      <x:c r="N1659" s="50" t="n">
        <x:v>25</x:v>
      </x:c>
      <x:c r="O1659" s="50" t="n">
        <x:v>140</x:v>
      </x:c>
      <x:c r="P1659" s="50" t="n">
        <x:v>21</x:v>
      </x:c>
    </x:row>
    <x:row r="1660" ht="36" customHeight="1">
      <x:c r="A1660" s="53" t="n">
        <x:v>1641</x:v>
      </x:c>
      <x:c r="B1660" s="53" t="n">
        <x:v>3</x:v>
      </x:c>
      <x:c r="C1660" s="40" t="str">
        <x:v>Low-Value Low-Engagement Shoppers</x:v>
      </x:c>
      <x:c r="D1660" s="60" t="n">
        <x:v>577.62</x:v>
      </x:c>
      <x:c r="E1660" s="50" t="n">
        <x:v>47</x:v>
      </x:c>
      <x:c r="F1660" s="46" t="n">
        <x:v>2.7647058823529407</x:v>
      </x:c>
      <x:c r="G1660" s="46" t="n">
        <x:v>4</x:v>
      </x:c>
      <x:c r="H1660" s="61" t="n">
        <x:v>12.289787234042551</x:v>
      </x:c>
      <x:c r="I1660" s="52" t="n">
        <x:v>0.8085106382978723</x:v>
      </x:c>
      <x:c r="J1660" s="52" t="n">
        <x:v>0.5911152660918944</x:v>
      </x:c>
      <x:c r="K1660" s="60" t="n">
        <x:v>554.99</x:v>
      </x:c>
      <x:c r="L1660" s="60" t="n">
        <x:v>22.63</x:v>
      </x:c>
      <x:c r="M1660" s="50" t="n">
        <x:v>38</x:v>
      </x:c>
      <x:c r="N1660" s="50" t="n">
        <x:v>9</x:v>
      </x:c>
      <x:c r="O1660" s="50" t="n">
        <x:v>70</x:v>
      </x:c>
      <x:c r="P1660" s="50" t="n">
        <x:v>17</x:v>
      </x:c>
    </x:row>
    <x:row r="1661" ht="36" customHeight="1">
      <x:c r="A1661" s="53" t="n">
        <x:v>1642</x:v>
      </x:c>
      <x:c r="B1661" s="53" t="n">
        <x:v>2</x:v>
      </x:c>
      <x:c r="C1661" s="40" t="str">
        <x:v>Large-Basket Occasional Shoppers</x:v>
      </x:c>
      <x:c r="D1661" s="60" t="n">
        <x:v>2096.12</x:v>
      </x:c>
      <x:c r="E1661" s="50" t="n">
        <x:v>125</x:v>
      </x:c>
      <x:c r="F1661" s="46" t="n">
        <x:v>5.208333333333333</x:v>
      </x:c>
      <x:c r="G1661" s="46" t="n">
        <x:v>6</x:v>
      </x:c>
      <x:c r="H1661" s="61" t="n">
        <x:v>16.76896</x:v>
      </x:c>
      <x:c r="I1661" s="52" t="n">
        <x:v>0.912</x:v>
      </x:c>
      <x:c r="J1661" s="52" t="n">
        <x:v>0.4762418182165143</x:v>
      </x:c>
      <x:c r="K1661" s="60" t="n">
        <x:v>2046.25</x:v>
      </x:c>
      <x:c r="L1661" s="60" t="n">
        <x:v>49.87</x:v>
      </x:c>
      <x:c r="M1661" s="50" t="n">
        <x:v>114</x:v>
      </x:c>
      <x:c r="N1661" s="50" t="n">
        <x:v>11</x:v>
      </x:c>
      <x:c r="O1661" s="50" t="n">
        <x:v>97</x:v>
      </x:c>
      <x:c r="P1661" s="50" t="n">
        <x:v>24</x:v>
      </x:c>
    </x:row>
    <x:row r="1662" ht="36" customHeight="1">
      <x:c r="A1662" s="53" t="n">
        <x:v>1643</x:v>
      </x:c>
      <x:c r="B1662" s="53" t="n">
        <x:v>2</x:v>
      </x:c>
      <x:c r="C1662" s="40" t="str">
        <x:v>Large-Basket Occasional Shoppers</x:v>
      </x:c>
      <x:c r="D1662" s="60" t="n">
        <x:v>1461.4</x:v>
      </x:c>
      <x:c r="E1662" s="50" t="n">
        <x:v>46</x:v>
      </x:c>
      <x:c r="F1662" s="46" t="n">
        <x:v>2.555555555555556</x:v>
      </x:c>
      <x:c r="G1662" s="46" t="n">
        <x:v>9</x:v>
      </x:c>
      <x:c r="H1662" s="61" t="n">
        <x:v>31.769565217391303</x:v>
      </x:c>
      <x:c r="I1662" s="52" t="n">
        <x:v>0.8913043478260869</x:v>
      </x:c>
      <x:c r="J1662" s="52" t="n">
        <x:v>0.6508211304228821</x:v>
      </x:c>
      <x:c r="K1662" s="60" t="n">
        <x:v>1448.32</x:v>
      </x:c>
      <x:c r="L1662" s="60" t="n">
        <x:v>13.08</x:v>
      </x:c>
      <x:c r="M1662" s="50" t="n">
        <x:v>41</x:v>
      </x:c>
      <x:c r="N1662" s="50" t="n">
        <x:v>5</x:v>
      </x:c>
      <x:c r="O1662" s="50" t="n">
        <x:v>103</x:v>
      </x:c>
      <x:c r="P1662" s="50" t="n">
        <x:v>18</x:v>
      </x:c>
    </x:row>
    <x:row r="1663" ht="36" customHeight="1">
      <x:c r="A1663" s="53" t="n">
        <x:v>1644</x:v>
      </x:c>
      <x:c r="B1663" s="53" t="n">
        <x:v>3</x:v>
      </x:c>
      <x:c r="C1663" s="40" t="str">
        <x:v>Low-Value Low-Engagement Shoppers</x:v>
      </x:c>
      <x:c r="D1663" s="60" t="n">
        <x:v>397.48</x:v>
      </x:c>
      <x:c r="E1663" s="50" t="n">
        <x:v>26</x:v>
      </x:c>
      <x:c r="F1663" s="46" t="n">
        <x:v>5.2</x:v>
      </x:c>
      <x:c r="G1663" s="46" t="n">
        <x:v>0</x:v>
      </x:c>
      <x:c r="H1663" s="61" t="n">
        <x:v>15.287692307692309</x:v>
      </x:c>
      <x:c r="I1663" s="52" t="n">
        <x:v>0.5769230769230769</x:v>
      </x:c>
      <x:c r="J1663" s="52" t="n">
        <x:v>0.4882258226829022</x:v>
      </x:c>
      <x:c r="K1663" s="60" t="n">
        <x:v>298.18</x:v>
      </x:c>
      <x:c r="L1663" s="60" t="n">
        <x:v>99.3</x:v>
      </x:c>
      <x:c r="M1663" s="50" t="n">
        <x:v>15</x:v>
      </x:c>
      <x:c r="N1663" s="50" t="n">
        <x:v>11</x:v>
      </x:c>
      <x:c r="O1663" s="50" t="n">
        <x:v>57</x:v>
      </x:c>
      <x:c r="P1663" s="50" t="n">
        <x:v>5</x:v>
      </x:c>
    </x:row>
    <x:row r="1664" ht="36" customHeight="1">
      <x:c r="A1664" s="53" t="n">
        <x:v>1645</x:v>
      </x:c>
      <x:c r="B1664" s="53" t="n">
        <x:v>3</x:v>
      </x:c>
      <x:c r="C1664" s="40" t="str">
        <x:v>Low-Value Low-Engagement Shoppers</x:v>
      </x:c>
      <x:c r="D1664" s="60" t="n">
        <x:v>296.52</x:v>
      </x:c>
      <x:c r="E1664" s="50" t="n">
        <x:v>8</x:v>
      </x:c>
      <x:c r="F1664" s="46" t="n">
        <x:v>2</x:v>
      </x:c>
      <x:c r="G1664" s="46" t="n">
        <x:v>45</x:v>
      </x:c>
      <x:c r="H1664" s="61" t="n">
        <x:v>37.065</x:v>
      </x:c>
      <x:c r="I1664" s="52" t="n">
        <x:v>0.875</x:v>
      </x:c>
      <x:c r="J1664" s="52" t="n">
        <x:v>0.480574666127074</x:v>
      </x:c>
      <x:c r="K1664" s="60" t="n">
        <x:v>281.53</x:v>
      </x:c>
      <x:c r="L1664" s="60" t="n">
        <x:v>14.99</x:v>
      </x:c>
      <x:c r="M1664" s="50" t="n">
        <x:v>7</x:v>
      </x:c>
      <x:c r="N1664" s="50" t="n">
        <x:v>1</x:v>
      </x:c>
      <x:c r="O1664" s="50" t="n">
        <x:v>39</x:v>
      </x:c>
      <x:c r="P1664" s="50" t="n">
        <x:v>4</x:v>
      </x:c>
    </x:row>
    <x:row r="1665" ht="36" customHeight="1">
      <x:c r="A1665" s="53" t="n">
        <x:v>1646</x:v>
      </x:c>
      <x:c r="B1665" s="53" t="n">
        <x:v>3</x:v>
      </x:c>
      <x:c r="C1665" s="40" t="str">
        <x:v>Low-Value Low-Engagement Shoppers</x:v>
      </x:c>
      <x:c r="D1665" s="60" t="n">
        <x:v>1553.53</x:v>
      </x:c>
      <x:c r="E1665" s="50" t="n">
        <x:v>68</x:v>
      </x:c>
      <x:c r="F1665" s="46" t="n">
        <x:v>3.7777777777777777</x:v>
      </x:c>
      <x:c r="G1665" s="46" t="n">
        <x:v>12</x:v>
      </x:c>
      <x:c r="H1665" s="61" t="n">
        <x:v>22.846029411764704</x:v>
      </x:c>
      <x:c r="I1665" s="52" t="n">
        <x:v>0.676470588235294</x:v>
      </x:c>
      <x:c r="J1665" s="52" t="n">
        <x:v>0.3036503961944732</x:v>
      </x:c>
      <x:c r="K1665" s="60" t="n">
        <x:v>1220.15</x:v>
      </x:c>
      <x:c r="L1665" s="60" t="n">
        <x:v>333.38</x:v>
      </x:c>
      <x:c r="M1665" s="50" t="n">
        <x:v>46</x:v>
      </x:c>
      <x:c r="N1665" s="50" t="n">
        <x:v>22</x:v>
      </x:c>
      <x:c r="O1665" s="50" t="n">
        <x:v>65</x:v>
      </x:c>
      <x:c r="P1665" s="50" t="n">
        <x:v>18</x:v>
      </x:c>
    </x:row>
    <x:row r="1666" ht="36" customHeight="1">
      <x:c r="A1666" s="53" t="n">
        <x:v>1647</x:v>
      </x:c>
      <x:c r="B1666" s="53" t="n">
        <x:v>3</x:v>
      </x:c>
      <x:c r="C1666" s="40" t="str">
        <x:v>Low-Value Low-Engagement Shoppers</x:v>
      </x:c>
      <x:c r="D1666" s="60" t="n">
        <x:v>50.49</x:v>
      </x:c>
      <x:c r="E1666" s="50" t="n">
        <x:v>12</x:v>
      </x:c>
      <x:c r="F1666" s="46" t="n">
        <x:v>1.5</x:v>
      </x:c>
      <x:c r="G1666" s="46" t="n">
        <x:v>38</x:v>
      </x:c>
      <x:c r="H1666" s="61" t="n">
        <x:v>4.2075</x:v>
      </x:c>
      <x:c r="I1666" s="52" t="n">
        <x:v>0.6666666666666666</x:v>
      </x:c>
      <x:c r="J1666" s="52" t="n">
        <x:v>0.3574965339671222</x:v>
      </x:c>
      <x:c r="K1666" s="60" t="n">
        <x:v>32</x:v>
      </x:c>
      <x:c r="L1666" s="60" t="n">
        <x:v>18.49</x:v>
      </x:c>
      <x:c r="M1666" s="50" t="n">
        <x:v>8</x:v>
      </x:c>
      <x:c r="N1666" s="50" t="n">
        <x:v>4</x:v>
      </x:c>
      <x:c r="O1666" s="50" t="n">
        <x:v>17</x:v>
      </x:c>
      <x:c r="P1666" s="50" t="n">
        <x:v>8</x:v>
      </x:c>
    </x:row>
    <x:row r="1667" ht="36" customHeight="1">
      <x:c r="A1667" s="53" t="n">
        <x:v>1648</x:v>
      </x:c>
      <x:c r="B1667" s="53" t="n">
        <x:v>1</x:v>
      </x:c>
      <x:c r="C1667" s="40" t="str">
        <x:v>High-Value Frequent Shoppers</x:v>
      </x:c>
      <x:c r="D1667" s="60" t="n">
        <x:v>5250.36</x:v>
      </x:c>
      <x:c r="E1667" s="50" t="n">
        <x:v>116</x:v>
      </x:c>
      <x:c r="F1667" s="46" t="n">
        <x:v>5.8</x:v>
      </x:c>
      <x:c r="G1667" s="46" t="n">
        <x:v>27</x:v>
      </x:c>
      <x:c r="H1667" s="61" t="n">
        <x:v>45.26172413793104</x:v>
      </x:c>
      <x:c r="I1667" s="52" t="n">
        <x:v>0.853448275862069</x:v>
      </x:c>
      <x:c r="J1667" s="52" t="n">
        <x:v>0.6763440983094492</x:v>
      </x:c>
      <x:c r="K1667" s="60" t="n">
        <x:v>5067.63</x:v>
      </x:c>
      <x:c r="L1667" s="60" t="n">
        <x:v>182.73</x:v>
      </x:c>
      <x:c r="M1667" s="50" t="n">
        <x:v>99</x:v>
      </x:c>
      <x:c r="N1667" s="50" t="n">
        <x:v>17</x:v>
      </x:c>
      <x:c r="O1667" s="50" t="n">
        <x:v>146</x:v>
      </x:c>
      <x:c r="P1667" s="50" t="n">
        <x:v>20</x:v>
      </x:c>
    </x:row>
    <x:row r="1668" ht="36" customHeight="1">
      <x:c r="A1668" s="53" t="n">
        <x:v>1649</x:v>
      </x:c>
      <x:c r="B1668" s="53" t="n">
        <x:v>2</x:v>
      </x:c>
      <x:c r="C1668" s="40" t="str">
        <x:v>Large-Basket Occasional Shoppers</x:v>
      </x:c>
      <x:c r="D1668" s="60" t="n">
        <x:v>1132.4</x:v>
      </x:c>
      <x:c r="E1668" s="50" t="n">
        <x:v>48</x:v>
      </x:c>
      <x:c r="F1668" s="46" t="n">
        <x:v>2.526315789473684</x:v>
      </x:c>
      <x:c r="G1668" s="46" t="n">
        <x:v>0</x:v>
      </x:c>
      <x:c r="H1668" s="61" t="n">
        <x:v>23.591666666666665</x:v>
      </x:c>
      <x:c r="I1668" s="52" t="n">
        <x:v>0.7708333333333333</x:v>
      </x:c>
      <x:c r="J1668" s="52" t="n">
        <x:v>0.3793359237018721</x:v>
      </x:c>
      <x:c r="K1668" s="60" t="n">
        <x:v>1001.75</x:v>
      </x:c>
      <x:c r="L1668" s="60" t="n">
        <x:v>130.65</x:v>
      </x:c>
      <x:c r="M1668" s="50" t="n">
        <x:v>37</x:v>
      </x:c>
      <x:c r="N1668" s="50" t="n">
        <x:v>11</x:v>
      </x:c>
      <x:c r="O1668" s="50" t="n">
        <x:v>91</x:v>
      </x:c>
      <x:c r="P1668" s="50" t="n">
        <x:v>19</x:v>
      </x:c>
    </x:row>
    <x:row r="1669" ht="36" customHeight="1">
      <x:c r="A1669" s="53" t="n">
        <x:v>1650</x:v>
      </x:c>
      <x:c r="B1669" s="53" t="n">
        <x:v>1</x:v>
      </x:c>
      <x:c r="C1669" s="40" t="str">
        <x:v>High-Value Frequent Shoppers</x:v>
      </x:c>
      <x:c r="D1669" s="60" t="n">
        <x:v>2259.16</x:v>
      </x:c>
      <x:c r="E1669" s="50" t="n">
        <x:v>105</x:v>
      </x:c>
      <x:c r="F1669" s="46" t="n">
        <x:v>5.526315789473684</x:v>
      </x:c>
      <x:c r="G1669" s="46" t="n">
        <x:v>6</x:v>
      </x:c>
      <x:c r="H1669" s="61" t="n">
        <x:v>21.515809523809523</x:v>
      </x:c>
      <x:c r="I1669" s="52" t="n">
        <x:v>0.7428571428571428</x:v>
      </x:c>
      <x:c r="J1669" s="52" t="n">
        <x:v>0.3534455284264948</x:v>
      </x:c>
      <x:c r="K1669" s="60" t="n">
        <x:v>1878.41</x:v>
      </x:c>
      <x:c r="L1669" s="60" t="n">
        <x:v>380.75</x:v>
      </x:c>
      <x:c r="M1669" s="50" t="n">
        <x:v>78</x:v>
      </x:c>
      <x:c r="N1669" s="50" t="n">
        <x:v>27</x:v>
      </x:c>
      <x:c r="O1669" s="50" t="n">
        <x:v>117</x:v>
      </x:c>
      <x:c r="P1669" s="50" t="n">
        <x:v>19</x:v>
      </x:c>
    </x:row>
    <x:row r="1670" ht="36" customHeight="1">
      <x:c r="A1670" s="53" t="n">
        <x:v>1651</x:v>
      </x:c>
      <x:c r="B1670" s="53" t="n">
        <x:v>2</x:v>
      </x:c>
      <x:c r="C1670" s="40" t="str">
        <x:v>Large-Basket Occasional Shoppers</x:v>
      </x:c>
      <x:c r="D1670" s="60" t="n">
        <x:v>2025.08</x:v>
      </x:c>
      <x:c r="E1670" s="50" t="n">
        <x:v>65</x:v>
      </x:c>
      <x:c r="F1670" s="46" t="n">
        <x:v>2.9545454545454546</x:v>
      </x:c>
      <x:c r="G1670" s="46" t="n">
        <x:v>0</x:v>
      </x:c>
      <x:c r="H1670" s="61" t="n">
        <x:v>31.155076923076923</x:v>
      </x:c>
      <x:c r="I1670" s="52" t="n">
        <x:v>0.9076923076923076</x:v>
      </x:c>
      <x:c r="J1670" s="52" t="n">
        <x:v>0.484449997037154</x:v>
      </x:c>
      <x:c r="K1670" s="60" t="n">
        <x:v>1897.43</x:v>
      </x:c>
      <x:c r="L1670" s="60" t="n">
        <x:v>127.65</x:v>
      </x:c>
      <x:c r="M1670" s="50" t="n">
        <x:v>59</x:v>
      </x:c>
      <x:c r="N1670" s="50" t="n">
        <x:v>6</x:v>
      </x:c>
      <x:c r="O1670" s="50" t="n">
        <x:v>132</x:v>
      </x:c>
      <x:c r="P1670" s="50" t="n">
        <x:v>22</x:v>
      </x:c>
    </x:row>
    <x:row r="1671" ht="36" customHeight="1">
      <x:c r="A1671" s="53" t="n">
        <x:v>1652</x:v>
      </x:c>
      <x:c r="B1671" s="53" t="n">
        <x:v>3</x:v>
      </x:c>
      <x:c r="C1671" s="40" t="str">
        <x:v>Low-Value Low-Engagement Shoppers</x:v>
      </x:c>
      <x:c r="D1671" s="60" t="n">
        <x:v>946</x:v>
      </x:c>
      <x:c r="E1671" s="50" t="n">
        <x:v>38</x:v>
      </x:c>
      <x:c r="F1671" s="46" t="n">
        <x:v>1.9</x:v>
      </x:c>
      <x:c r="G1671" s="46" t="n">
        <x:v>3</x:v>
      </x:c>
      <x:c r="H1671" s="61" t="n">
        <x:v>24.894736842105264</x:v>
      </x:c>
      <x:c r="I1671" s="52" t="n">
        <x:v>0.7631578947368421</x:v>
      </x:c>
      <x:c r="J1671" s="52" t="n">
        <x:v>0.3726004228329809</x:v>
      </x:c>
      <x:c r="K1671" s="60" t="n">
        <x:v>844.51</x:v>
      </x:c>
      <x:c r="L1671" s="60" t="n">
        <x:v>101.49</x:v>
      </x:c>
      <x:c r="M1671" s="50" t="n">
        <x:v>29</x:v>
      </x:c>
      <x:c r="N1671" s="50" t="n">
        <x:v>9</x:v>
      </x:c>
      <x:c r="O1671" s="50" t="n">
        <x:v>74</x:v>
      </x:c>
      <x:c r="P1671" s="50" t="n">
        <x:v>20</x:v>
      </x:c>
    </x:row>
    <x:row r="1672" ht="36" customHeight="1">
      <x:c r="A1672" s="53" t="n">
        <x:v>1653</x:v>
      </x:c>
      <x:c r="B1672" s="53" t="n">
        <x:v>1</x:v>
      </x:c>
      <x:c r="C1672" s="40" t="str">
        <x:v>High-Value Frequent Shoppers</x:v>
      </x:c>
      <x:c r="D1672" s="60" t="n">
        <x:v>19153.75</x:v>
      </x:c>
      <x:c r="E1672" s="50" t="n">
        <x:v>538</x:v>
      </x:c>
      <x:c r="F1672" s="46" t="n">
        <x:v>24.454545454545453</x:v>
      </x:c>
      <x:c r="G1672" s="46" t="n">
        <x:v>1</x:v>
      </x:c>
      <x:c r="H1672" s="61" t="n">
        <x:v>35.601765799256505</x:v>
      </x:c>
      <x:c r="I1672" s="52" t="n">
        <x:v>0.91635687732342</x:v>
      </x:c>
      <x:c r="J1672" s="52" t="n">
        <x:v>0.6033246753246753</x:v>
      </x:c>
      <x:c r="K1672" s="60" t="n">
        <x:v>18639.43</x:v>
      </x:c>
      <x:c r="L1672" s="60" t="n">
        <x:v>514.32</x:v>
      </x:c>
      <x:c r="M1672" s="50" t="n">
        <x:v>493</x:v>
      </x:c>
      <x:c r="N1672" s="50" t="n">
        <x:v>45</x:v>
      </x:c>
      <x:c r="O1672" s="50" t="n">
        <x:v>195</x:v>
      </x:c>
      <x:c r="P1672" s="50" t="n">
        <x:v>22</x:v>
      </x:c>
    </x:row>
    <x:row r="1673" ht="36" customHeight="1">
      <x:c r="A1673" s="53" t="n">
        <x:v>1654</x:v>
      </x:c>
      <x:c r="B1673" s="53" t="n">
        <x:v>3</x:v>
      </x:c>
      <x:c r="C1673" s="40" t="str">
        <x:v>Low-Value Low-Engagement Shoppers</x:v>
      </x:c>
      <x:c r="D1673" s="60" t="n">
        <x:v>786.53</x:v>
      </x:c>
      <x:c r="E1673" s="50" t="n">
        <x:v>39</x:v>
      </x:c>
      <x:c r="F1673" s="46" t="n">
        <x:v>2.294117647058824</x:v>
      </x:c>
      <x:c r="G1673" s="46" t="n">
        <x:v>32</x:v>
      </x:c>
      <x:c r="H1673" s="61" t="n">
        <x:v>20.167435897435897</x:v>
      </x:c>
      <x:c r="I1673" s="52" t="n">
        <x:v>0.641025641025641</x:v>
      </x:c>
      <x:c r="J1673" s="52" t="n">
        <x:v>0.2940129429265253</x:v>
      </x:c>
      <x:c r="K1673" s="60" t="n">
        <x:v>572.53</x:v>
      </x:c>
      <x:c r="L1673" s="60" t="n">
        <x:v>214</x:v>
      </x:c>
      <x:c r="M1673" s="50" t="n">
        <x:v>25</x:v>
      </x:c>
      <x:c r="N1673" s="50" t="n">
        <x:v>14</x:v>
      </x:c>
      <x:c r="O1673" s="50" t="n">
        <x:v>74</x:v>
      </x:c>
      <x:c r="P1673" s="50" t="n">
        <x:v>17</x:v>
      </x:c>
    </x:row>
    <x:row r="1674" ht="36" customHeight="1">
      <x:c r="A1674" s="53" t="n">
        <x:v>1655</x:v>
      </x:c>
      <x:c r="B1674" s="53" t="n">
        <x:v>3</x:v>
      </x:c>
      <x:c r="C1674" s="40" t="str">
        <x:v>Low-Value Low-Engagement Shoppers</x:v>
      </x:c>
      <x:c r="D1674" s="60" t="n">
        <x:v>502.77</x:v>
      </x:c>
      <x:c r="E1674" s="50" t="n">
        <x:v>40</x:v>
      </x:c>
      <x:c r="F1674" s="46" t="n">
        <x:v>5.7142857142857135</x:v>
      </x:c>
      <x:c r="G1674" s="46" t="n">
        <x:v>0</x:v>
      </x:c>
      <x:c r="H1674" s="61" t="n">
        <x:v>12.56925</x:v>
      </x:c>
      <x:c r="I1674" s="52" t="n">
        <x:v>0.8</x:v>
      </x:c>
      <x:c r="J1674" s="52" t="n">
        <x:v>0.4819698868269785</x:v>
      </x:c>
      <x:c r="K1674" s="60" t="n">
        <x:v>440.41</x:v>
      </x:c>
      <x:c r="L1674" s="60" t="n">
        <x:v>62.36</x:v>
      </x:c>
      <x:c r="M1674" s="50" t="n">
        <x:v>32</x:v>
      </x:c>
      <x:c r="N1674" s="50" t="n">
        <x:v>8</x:v>
      </x:c>
      <x:c r="O1674" s="50" t="n">
        <x:v>86</x:v>
      </x:c>
      <x:c r="P1674" s="50" t="n">
        <x:v>7</x:v>
      </x:c>
    </x:row>
    <x:row r="1675" ht="36" customHeight="1">
      <x:c r="A1675" s="53" t="n">
        <x:v>1656</x:v>
      </x:c>
      <x:c r="B1675" s="53" t="n">
        <x:v>2</x:v>
      </x:c>
      <x:c r="C1675" s="40" t="str">
        <x:v>Large-Basket Occasional Shoppers</x:v>
      </x:c>
      <x:c r="D1675" s="60" t="n">
        <x:v>458.22</x:v>
      </x:c>
      <x:c r="E1675" s="50" t="n">
        <x:v>10</x:v>
      </x:c>
      <x:c r="F1675" s="46" t="n">
        <x:v>1.1111111111111112</x:v>
      </x:c>
      <x:c r="G1675" s="46" t="n">
        <x:v>51</x:v>
      </x:c>
      <x:c r="H1675" s="61" t="n">
        <x:v>45.822</x:v>
      </x:c>
      <x:c r="I1675" s="52" t="n">
        <x:v>0.9</x:v>
      </x:c>
      <x:c r="J1675" s="52" t="n">
        <x:v>0.4456156431408493</x:v>
      </x:c>
      <x:c r="K1675" s="60" t="n">
        <x:v>447.6</x:v>
      </x:c>
      <x:c r="L1675" s="60" t="n">
        <x:v>10.62</x:v>
      </x:c>
      <x:c r="M1675" s="50" t="n">
        <x:v>9</x:v>
      </x:c>
      <x:c r="N1675" s="50" t="n">
        <x:v>1</x:v>
      </x:c>
      <x:c r="O1675" s="50" t="n">
        <x:v>40</x:v>
      </x:c>
      <x:c r="P1675" s="50" t="n">
        <x:v>9</x:v>
      </x:c>
    </x:row>
    <x:row r="1676" ht="36" customHeight="1">
      <x:c r="A1676" s="53" t="n">
        <x:v>1657</x:v>
      </x:c>
      <x:c r="B1676" s="53" t="n">
        <x:v>3</x:v>
      </x:c>
      <x:c r="C1676" s="40" t="str">
        <x:v>Low-Value Low-Engagement Shoppers</x:v>
      </x:c>
      <x:c r="D1676" s="60" t="n">
        <x:v>647.9</x:v>
      </x:c>
      <x:c r="E1676" s="50" t="n">
        <x:v>50</x:v>
      </x:c>
      <x:c r="F1676" s="46" t="n">
        <x:v>3.8461538461538463</x:v>
      </x:c>
      <x:c r="G1676" s="46" t="n">
        <x:v>30</x:v>
      </x:c>
      <x:c r="H1676" s="61" t="n">
        <x:v>12.958</x:v>
      </x:c>
      <x:c r="I1676" s="52" t="n">
        <x:v>0.72</x:v>
      </x:c>
      <x:c r="J1676" s="52" t="n">
        <x:v>0.3411946288007408</x:v>
      </x:c>
      <x:c r="K1676" s="60" t="n">
        <x:v>456.32</x:v>
      </x:c>
      <x:c r="L1676" s="60" t="n">
        <x:v>191.58</x:v>
      </x:c>
      <x:c r="M1676" s="50" t="n">
        <x:v>36</x:v>
      </x:c>
      <x:c r="N1676" s="50" t="n">
        <x:v>14</x:v>
      </x:c>
      <x:c r="O1676" s="50" t="n">
        <x:v>53</x:v>
      </x:c>
      <x:c r="P1676" s="50" t="n">
        <x:v>13</x:v>
      </x:c>
    </x:row>
    <x:row r="1677" ht="36" customHeight="1">
      <x:c r="A1677" s="53" t="n">
        <x:v>1658</x:v>
      </x:c>
      <x:c r="B1677" s="53" t="n">
        <x:v>2</x:v>
      </x:c>
      <x:c r="C1677" s="40" t="str">
        <x:v>Large-Basket Occasional Shoppers</x:v>
      </x:c>
      <x:c r="D1677" s="60" t="n">
        <x:v>1778.67</x:v>
      </x:c>
      <x:c r="E1677" s="50" t="n">
        <x:v>68</x:v>
      </x:c>
      <x:c r="F1677" s="46" t="n">
        <x:v>3.5789473684210527</x:v>
      </x:c>
      <x:c r="G1677" s="46" t="n">
        <x:v>4</x:v>
      </x:c>
      <x:c r="H1677" s="61" t="n">
        <x:v>26.15691176470588</x:v>
      </x:c>
      <x:c r="I1677" s="52" t="n">
        <x:v>0.7647058823529411</x:v>
      </x:c>
      <x:c r="J1677" s="52" t="n">
        <x:v>0.5230031427977084</x:v>
      </x:c>
      <x:c r="K1677" s="60" t="n">
        <x:v>1651.43</x:v>
      </x:c>
      <x:c r="L1677" s="60" t="n">
        <x:v>127.24</x:v>
      </x:c>
      <x:c r="M1677" s="50" t="n">
        <x:v>52</x:v>
      </x:c>
      <x:c r="N1677" s="50" t="n">
        <x:v>16</x:v>
      </x:c>
      <x:c r="O1677" s="50" t="n">
        <x:v>93</x:v>
      </x:c>
      <x:c r="P1677" s="50" t="n">
        <x:v>19</x:v>
      </x:c>
    </x:row>
    <x:row r="1678" ht="36" customHeight="1">
      <x:c r="A1678" s="53" t="n">
        <x:v>1659</x:v>
      </x:c>
      <x:c r="B1678" s="53" t="n">
        <x:v>1</x:v>
      </x:c>
      <x:c r="C1678" s="40" t="str">
        <x:v>High-Value Frequent Shoppers</x:v>
      </x:c>
      <x:c r="D1678" s="60" t="n">
        <x:v>2820.61</x:v>
      </x:c>
      <x:c r="E1678" s="50" t="n">
        <x:v>130</x:v>
      </x:c>
      <x:c r="F1678" s="46" t="n">
        <x:v>6.190476190476192</x:v>
      </x:c>
      <x:c r="G1678" s="46" t="n">
        <x:v>2</x:v>
      </x:c>
      <x:c r="H1678" s="61" t="n">
        <x:v>21.697</x:v>
      </x:c>
      <x:c r="I1678" s="52" t="n">
        <x:v>0.9538461538461538</x:v>
      </x:c>
      <x:c r="J1678" s="52" t="n">
        <x:v>0.5702135353700086</x:v>
      </x:c>
      <x:c r="K1678" s="60" t="n">
        <x:v>2740.55</x:v>
      </x:c>
      <x:c r="L1678" s="60" t="n">
        <x:v>80.06</x:v>
      </x:c>
      <x:c r="M1678" s="50" t="n">
        <x:v>124</x:v>
      </x:c>
      <x:c r="N1678" s="50" t="n">
        <x:v>6</x:v>
      </x:c>
      <x:c r="O1678" s="50" t="n">
        <x:v>145</x:v>
      </x:c>
      <x:c r="P1678" s="50" t="n">
        <x:v>21</x:v>
      </x:c>
    </x:row>
    <x:row r="1679" ht="36" customHeight="1">
      <x:c r="A1679" s="53" t="n">
        <x:v>1660</x:v>
      </x:c>
      <x:c r="B1679" s="53" t="n">
        <x:v>2</x:v>
      </x:c>
      <x:c r="C1679" s="40" t="str">
        <x:v>Large-Basket Occasional Shoppers</x:v>
      </x:c>
      <x:c r="D1679" s="60" t="n">
        <x:v>2045.5</x:v>
      </x:c>
      <x:c r="E1679" s="50" t="n">
        <x:v>62</x:v>
      </x:c>
      <x:c r="F1679" s="46" t="n">
        <x:v>3.1</x:v>
      </x:c>
      <x:c r="G1679" s="46" t="n">
        <x:v>7</x:v>
      </x:c>
      <x:c r="H1679" s="61" t="n">
        <x:v>32.99193548387097</x:v>
      </x:c>
      <x:c r="I1679" s="52" t="n">
        <x:v>0.9032258064516128</x:v>
      </x:c>
      <x:c r="J1679" s="52" t="n">
        <x:v>0.6016524077242728</x:v>
      </x:c>
      <x:c r="K1679" s="60" t="n">
        <x:v>1992.98</x:v>
      </x:c>
      <x:c r="L1679" s="60" t="n">
        <x:v>52.52</x:v>
      </x:c>
      <x:c r="M1679" s="50" t="n">
        <x:v>56</x:v>
      </x:c>
      <x:c r="N1679" s="50" t="n">
        <x:v>6</x:v>
      </x:c>
      <x:c r="O1679" s="50" t="n">
        <x:v>110</x:v>
      </x:c>
      <x:c r="P1679" s="50" t="n">
        <x:v>20</x:v>
      </x:c>
    </x:row>
    <x:row r="1680" ht="36" customHeight="1">
      <x:c r="A1680" s="53" t="n">
        <x:v>1661</x:v>
      </x:c>
      <x:c r="B1680" s="53" t="n">
        <x:v>2</x:v>
      </x:c>
      <x:c r="C1680" s="40" t="str">
        <x:v>Large-Basket Occasional Shoppers</x:v>
      </x:c>
      <x:c r="D1680" s="60" t="n">
        <x:v>1425.4</x:v>
      </x:c>
      <x:c r="E1680" s="50" t="n">
        <x:v>44</x:v>
      </x:c>
      <x:c r="F1680" s="46" t="n">
        <x:v>2.75</x:v>
      </x:c>
      <x:c r="G1680" s="46" t="n">
        <x:v>2</x:v>
      </x:c>
      <x:c r="H1680" s="61" t="n">
        <x:v>32.39545454545454</x:v>
      </x:c>
      <x:c r="I1680" s="52" t="n">
        <x:v>0.9545454545454544</x:v>
      </x:c>
      <x:c r="J1680" s="52" t="n">
        <x:v>0.4307983723866984</x:v>
      </x:c>
      <x:c r="K1680" s="60" t="n">
        <x:v>1402.52</x:v>
      </x:c>
      <x:c r="L1680" s="60" t="n">
        <x:v>22.88</x:v>
      </x:c>
      <x:c r="M1680" s="50" t="n">
        <x:v>42</x:v>
      </x:c>
      <x:c r="N1680" s="50" t="n">
        <x:v>2</x:v>
      </x:c>
      <x:c r="O1680" s="50" t="n">
        <x:v>98</x:v>
      </x:c>
      <x:c r="P1680" s="50" t="n">
        <x:v>16</x:v>
      </x:c>
    </x:row>
    <x:row r="1681" ht="36" customHeight="1">
      <x:c r="A1681" s="53" t="n">
        <x:v>1662</x:v>
      </x:c>
      <x:c r="B1681" s="53" t="n">
        <x:v>1</x:v>
      </x:c>
      <x:c r="C1681" s="40" t="str">
        <x:v>High-Value Frequent Shoppers</x:v>
      </x:c>
      <x:c r="D1681" s="60" t="n">
        <x:v>8617.94</x:v>
      </x:c>
      <x:c r="E1681" s="50" t="n">
        <x:v>83</x:v>
      </x:c>
      <x:c r="F1681" s="46" t="n">
        <x:v>3.772727272727273</x:v>
      </x:c>
      <x:c r="G1681" s="46" t="n">
        <x:v>9</x:v>
      </x:c>
      <x:c r="H1681" s="61" t="n">
        <x:v>103.83060240963856</x:v>
      </x:c>
      <x:c r="I1681" s="52" t="n">
        <x:v>0.9518072289156626</x:v>
      </x:c>
      <x:c r="J1681" s="52" t="n">
        <x:v>0.3925044732267804</x:v>
      </x:c>
      <x:c r="K1681" s="60" t="n">
        <x:v>8556.39</x:v>
      </x:c>
      <x:c r="L1681" s="60" t="n">
        <x:v>61.55</x:v>
      </x:c>
      <x:c r="M1681" s="50" t="n">
        <x:v>79</x:v>
      </x:c>
      <x:c r="N1681" s="50" t="n">
        <x:v>4</x:v>
      </x:c>
      <x:c r="O1681" s="50" t="n">
        <x:v>175</x:v>
      </x:c>
      <x:c r="P1681" s="50" t="n">
        <x:v>22</x:v>
      </x:c>
    </x:row>
    <x:row r="1682" ht="36" customHeight="1">
      <x:c r="A1682" s="53" t="n">
        <x:v>1663</x:v>
      </x:c>
      <x:c r="B1682" s="53" t="n">
        <x:v>3</x:v>
      </x:c>
      <x:c r="C1682" s="40" t="str">
        <x:v>Low-Value Low-Engagement Shoppers</x:v>
      </x:c>
      <x:c r="D1682" s="60" t="n">
        <x:v>1834.06</x:v>
      </x:c>
      <x:c r="E1682" s="50" t="n">
        <x:v>196</x:v>
      </x:c>
      <x:c r="F1682" s="46" t="n">
        <x:v>9.33333333333333</x:v>
      </x:c>
      <x:c r="G1682" s="46" t="n">
        <x:v>2</x:v>
      </x:c>
      <x:c r="H1682" s="61" t="n">
        <x:v>9.357448979591837</x:v>
      </x:c>
      <x:c r="I1682" s="52" t="n">
        <x:v>0.6836734693877551</x:v>
      </x:c>
      <x:c r="J1682" s="52" t="n">
        <x:v>0.742445721514018</x:v>
      </x:c>
      <x:c r="K1682" s="60" t="n">
        <x:v>1538.47</x:v>
      </x:c>
      <x:c r="L1682" s="60" t="n">
        <x:v>295.59</x:v>
      </x:c>
      <x:c r="M1682" s="50" t="n">
        <x:v>134</x:v>
      </x:c>
      <x:c r="N1682" s="50" t="n">
        <x:v>62</x:v>
      </x:c>
      <x:c r="O1682" s="50" t="n">
        <x:v>62</x:v>
      </x:c>
      <x:c r="P1682" s="50" t="n">
        <x:v>21</x:v>
      </x:c>
    </x:row>
    <x:row r="1683" ht="36" customHeight="1">
      <x:c r="A1683" s="53" t="n">
        <x:v>1664</x:v>
      </x:c>
      <x:c r="B1683" s="53" t="n">
        <x:v>2</x:v>
      </x:c>
      <x:c r="C1683" s="40" t="str">
        <x:v>Large-Basket Occasional Shoppers</x:v>
      </x:c>
      <x:c r="D1683" s="60" t="n">
        <x:v>2194.31</x:v>
      </x:c>
      <x:c r="E1683" s="50" t="n">
        <x:v>41</x:v>
      </x:c>
      <x:c r="F1683" s="46" t="n">
        <x:v>4.555555555555556</x:v>
      </x:c>
      <x:c r="G1683" s="46" t="n">
        <x:v>14</x:v>
      </x:c>
      <x:c r="H1683" s="61" t="n">
        <x:v>53.51975609756098</x:v>
      </x:c>
      <x:c r="I1683" s="52" t="n">
        <x:v>0.9756097560975608</x:v>
      </x:c>
      <x:c r="J1683" s="52" t="n">
        <x:v>0.5865306178251933</x:v>
      </x:c>
      <x:c r="K1683" s="60" t="n">
        <x:v>2191.92</x:v>
      </x:c>
      <x:c r="L1683" s="60" t="n">
        <x:v>2.39</x:v>
      </x:c>
      <x:c r="M1683" s="50" t="n">
        <x:v>40</x:v>
      </x:c>
      <x:c r="N1683" s="50" t="n">
        <x:v>1</x:v>
      </x:c>
      <x:c r="O1683" s="50" t="n">
        <x:v>115</x:v>
      </x:c>
      <x:c r="P1683" s="50" t="n">
        <x:v>9</x:v>
      </x:c>
    </x:row>
    <x:row r="1684" ht="36" customHeight="1">
      <x:c r="A1684" s="53" t="n">
        <x:v>1665</x:v>
      </x:c>
      <x:c r="B1684" s="53" t="n">
        <x:v>3</x:v>
      </x:c>
      <x:c r="C1684" s="40" t="str">
        <x:v>Low-Value Low-Engagement Shoppers</x:v>
      </x:c>
      <x:c r="D1684" s="60" t="n">
        <x:v>1556.84</x:v>
      </x:c>
      <x:c r="E1684" s="50" t="n">
        <x:v>108</x:v>
      </x:c>
      <x:c r="F1684" s="46" t="n">
        <x:v>5.4</x:v>
      </x:c>
      <x:c r="G1684" s="46" t="n">
        <x:v>4</x:v>
      </x:c>
      <x:c r="H1684" s="61" t="n">
        <x:v>14.415185185185184</x:v>
      </x:c>
      <x:c r="I1684" s="52" t="n">
        <x:v>0.7962962962962962</x:v>
      </x:c>
      <x:c r="J1684" s="52" t="n">
        <x:v>0.5826032219110505</x:v>
      </x:c>
      <x:c r="K1684" s="60" t="n">
        <x:v>1442.48</x:v>
      </x:c>
      <x:c r="L1684" s="60" t="n">
        <x:v>114.36</x:v>
      </x:c>
      <x:c r="M1684" s="50" t="n">
        <x:v>86</x:v>
      </x:c>
      <x:c r="N1684" s="50" t="n">
        <x:v>22</x:v>
      </x:c>
      <x:c r="O1684" s="50" t="n">
        <x:v>102</x:v>
      </x:c>
      <x:c r="P1684" s="50" t="n">
        <x:v>20</x:v>
      </x:c>
    </x:row>
    <x:row r="1685" ht="36" customHeight="1">
      <x:c r="A1685" s="53" t="n">
        <x:v>1666</x:v>
      </x:c>
      <x:c r="B1685" s="53" t="n">
        <x:v>3</x:v>
      </x:c>
      <x:c r="C1685" s="40" t="str">
        <x:v>Low-Value Low-Engagement Shoppers</x:v>
      </x:c>
      <x:c r="D1685" s="60" t="n">
        <x:v>1078.47</x:v>
      </x:c>
      <x:c r="E1685" s="50" t="n">
        <x:v>82</x:v>
      </x:c>
      <x:c r="F1685" s="46" t="n">
        <x:v>4.315789473684211</x:v>
      </x:c>
      <x:c r="G1685" s="46" t="n">
        <x:v>37</x:v>
      </x:c>
      <x:c r="H1685" s="61" t="n">
        <x:v>13.152073170731708</x:v>
      </x:c>
      <x:c r="I1685" s="52" t="n">
        <x:v>0.7560975609756097</x:v>
      </x:c>
      <x:c r="J1685" s="52" t="n">
        <x:v>0.4014761653082607</x:v>
      </x:c>
      <x:c r="K1685" s="60" t="n">
        <x:v>836.99</x:v>
      </x:c>
      <x:c r="L1685" s="60" t="n">
        <x:v>241.48</x:v>
      </x:c>
      <x:c r="M1685" s="50" t="n">
        <x:v>62</x:v>
      </x:c>
      <x:c r="N1685" s="50" t="n">
        <x:v>20</x:v>
      </x:c>
      <x:c r="O1685" s="50" t="n">
        <x:v>71</x:v>
      </x:c>
      <x:c r="P1685" s="50" t="n">
        <x:v>19</x:v>
      </x:c>
    </x:row>
    <x:row r="1686" ht="36" customHeight="1">
      <x:c r="A1686" s="53" t="n">
        <x:v>1667</x:v>
      </x:c>
      <x:c r="B1686" s="53" t="n">
        <x:v>2</x:v>
      </x:c>
      <x:c r="C1686" s="40" t="str">
        <x:v>Large-Basket Occasional Shoppers</x:v>
      </x:c>
      <x:c r="D1686" s="60" t="n">
        <x:v>891.1</x:v>
      </x:c>
      <x:c r="E1686" s="50" t="n">
        <x:v>42</x:v>
      </x:c>
      <x:c r="F1686" s="46" t="n">
        <x:v>2.625</x:v>
      </x:c>
      <x:c r="G1686" s="46" t="n">
        <x:v>10</x:v>
      </x:c>
      <x:c r="H1686" s="61" t="n">
        <x:v>21.216666666666665</x:v>
      </x:c>
      <x:c r="I1686" s="52" t="n">
        <x:v>0.8809523809523809</x:v>
      </x:c>
      <x:c r="J1686" s="52" t="n">
        <x:v>0.6586241723712265</x:v>
      </x:c>
      <x:c r="K1686" s="60" t="n">
        <x:v>862.63</x:v>
      </x:c>
      <x:c r="L1686" s="60" t="n">
        <x:v>28.47</x:v>
      </x:c>
      <x:c r="M1686" s="50" t="n">
        <x:v>37</x:v>
      </x:c>
      <x:c r="N1686" s="50" t="n">
        <x:v>5</x:v>
      </x:c>
      <x:c r="O1686" s="50" t="n">
        <x:v>94</x:v>
      </x:c>
      <x:c r="P1686" s="50" t="n">
        <x:v>16</x:v>
      </x:c>
    </x:row>
    <x:row r="1687" ht="36" customHeight="1">
      <x:c r="A1687" s="53" t="n">
        <x:v>1668</x:v>
      </x:c>
      <x:c r="B1687" s="53" t="n">
        <x:v>1</x:v>
      </x:c>
      <x:c r="C1687" s="40" t="str">
        <x:v>High-Value Frequent Shoppers</x:v>
      </x:c>
      <x:c r="D1687" s="60" t="n">
        <x:v>2283.69</x:v>
      </x:c>
      <x:c r="E1687" s="50" t="n">
        <x:v>94</x:v>
      </x:c>
      <x:c r="F1687" s="46" t="n">
        <x:v>4.947368421052632</x:v>
      </x:c>
      <x:c r="G1687" s="46" t="n">
        <x:v>15</x:v>
      </x:c>
      <x:c r="H1687" s="61" t="n">
        <x:v>24.294574468085106</x:v>
      </x:c>
      <x:c r="I1687" s="52" t="n">
        <x:v>0.7553191489361702</x:v>
      </x:c>
      <x:c r="J1687" s="52" t="n">
        <x:v>0.3799683845005232</x:v>
      </x:c>
      <x:c r="K1687" s="60" t="n">
        <x:v>1972.16</x:v>
      </x:c>
      <x:c r="L1687" s="60" t="n">
        <x:v>311.53</x:v>
      </x:c>
      <x:c r="M1687" s="50" t="n">
        <x:v>71</x:v>
      </x:c>
      <x:c r="N1687" s="50" t="n">
        <x:v>23</x:v>
      </x:c>
      <x:c r="O1687" s="50" t="n">
        <x:v>141</x:v>
      </x:c>
      <x:c r="P1687" s="50" t="n">
        <x:v>19</x:v>
      </x:c>
    </x:row>
    <x:row r="1688" ht="36" customHeight="1">
      <x:c r="A1688" s="53" t="n">
        <x:v>1669</x:v>
      </x:c>
      <x:c r="B1688" s="53" t="n">
        <x:v>3</x:v>
      </x:c>
      <x:c r="C1688" s="40" t="str">
        <x:v>Low-Value Low-Engagement Shoppers</x:v>
      </x:c>
      <x:c r="D1688" s="60" t="n">
        <x:v>297.97</x:v>
      </x:c>
      <x:c r="E1688" s="50" t="n">
        <x:v>10</x:v>
      </x:c>
      <x:c r="F1688" s="46" t="n">
        <x:v>1.25</x:v>
      </x:c>
      <x:c r="G1688" s="46" t="n">
        <x:v>8</x:v>
      </x:c>
      <x:c r="H1688" s="61" t="n">
        <x:v>29.797</x:v>
      </x:c>
      <x:c r="I1688" s="52" t="n">
        <x:v>0.7</x:v>
      </x:c>
      <x:c r="J1688" s="52" t="n">
        <x:v>0.4313521495452562</x:v>
      </x:c>
      <x:c r="K1688" s="60" t="n">
        <x:v>284</x:v>
      </x:c>
      <x:c r="L1688" s="60" t="n">
        <x:v>13.97</x:v>
      </x:c>
      <x:c r="M1688" s="50" t="n">
        <x:v>7</x:v>
      </x:c>
      <x:c r="N1688" s="50" t="n">
        <x:v>3</x:v>
      </x:c>
      <x:c r="O1688" s="50" t="n">
        <x:v>43</x:v>
      </x:c>
      <x:c r="P1688" s="50" t="n">
        <x:v>8</x:v>
      </x:c>
    </x:row>
    <x:row r="1689" ht="36" customHeight="1">
      <x:c r="A1689" s="53" t="n">
        <x:v>1670</x:v>
      </x:c>
      <x:c r="B1689" s="53" t="n">
        <x:v>3</x:v>
      </x:c>
      <x:c r="C1689" s="40" t="str">
        <x:v>Low-Value Low-Engagement Shoppers</x:v>
      </x:c>
      <x:c r="D1689" s="60" t="n">
        <x:v>96.48</x:v>
      </x:c>
      <x:c r="E1689" s="50" t="n">
        <x:v>19</x:v>
      </x:c>
      <x:c r="F1689" s="46" t="n">
        <x:v>2.111111111111111</x:v>
      </x:c>
      <x:c r="G1689" s="46" t="n">
        <x:v>87</x:v>
      </x:c>
      <x:c r="H1689" s="61" t="n">
        <x:v>5.077894736842105</x:v>
      </x:c>
      <x:c r="I1689" s="52" t="n">
        <x:v>0.5263157894736842</x:v>
      </x:c>
      <x:c r="J1689" s="52" t="n">
        <x:v>0.2650290215588723</x:v>
      </x:c>
      <x:c r="K1689" s="60" t="n">
        <x:v>64.39</x:v>
      </x:c>
      <x:c r="L1689" s="60" t="n">
        <x:v>32.09</x:v>
      </x:c>
      <x:c r="M1689" s="50" t="n">
        <x:v>10</x:v>
      </x:c>
      <x:c r="N1689" s="50" t="n">
        <x:v>9</x:v>
      </x:c>
      <x:c r="O1689" s="50" t="n">
        <x:v>35</x:v>
      </x:c>
      <x:c r="P1689" s="50" t="n">
        <x:v>9</x:v>
      </x:c>
    </x:row>
    <x:row r="1690" ht="36" customHeight="1">
      <x:c r="A1690" s="53" t="n">
        <x:v>1671</x:v>
      </x:c>
      <x:c r="B1690" s="53" t="n">
        <x:v>2</x:v>
      </x:c>
      <x:c r="C1690" s="40" t="str">
        <x:v>Large-Basket Occasional Shoppers</x:v>
      </x:c>
      <x:c r="D1690" s="60" t="n">
        <x:v>1420.41</x:v>
      </x:c>
      <x:c r="E1690" s="50" t="n">
        <x:v>38</x:v>
      </x:c>
      <x:c r="F1690" s="46" t="n">
        <x:v>2.235294117647059</x:v>
      </x:c>
      <x:c r="G1690" s="46" t="n">
        <x:v>1</x:v>
      </x:c>
      <x:c r="H1690" s="61" t="n">
        <x:v>37.37921052631578</x:v>
      </x:c>
      <x:c r="I1690" s="52" t="n">
        <x:v>0.9210526315789472</x:v>
      </x:c>
      <x:c r="J1690" s="52" t="n">
        <x:v>0.4622327356185889</x:v>
      </x:c>
      <x:c r="K1690" s="60" t="n">
        <x:v>1375.59</x:v>
      </x:c>
      <x:c r="L1690" s="60" t="n">
        <x:v>44.82</x:v>
      </x:c>
      <x:c r="M1690" s="50" t="n">
        <x:v>35</x:v>
      </x:c>
      <x:c r="N1690" s="50" t="n">
        <x:v>3</x:v>
      </x:c>
      <x:c r="O1690" s="50" t="n">
        <x:v>107</x:v>
      </x:c>
      <x:c r="P1690" s="50" t="n">
        <x:v>17</x:v>
      </x:c>
    </x:row>
    <x:row r="1691" ht="36" customHeight="1">
      <x:c r="A1691" s="53" t="n">
        <x:v>1672</x:v>
      </x:c>
      <x:c r="B1691" s="53" t="n">
        <x:v>2</x:v>
      </x:c>
      <x:c r="C1691" s="40" t="str">
        <x:v>Large-Basket Occasional Shoppers</x:v>
      </x:c>
      <x:c r="D1691" s="60" t="n">
        <x:v>1718.08</x:v>
      </x:c>
      <x:c r="E1691" s="50" t="n">
        <x:v>73</x:v>
      </x:c>
      <x:c r="F1691" s="46" t="n">
        <x:v>3.1739130434782608</x:v>
      </x:c>
      <x:c r="G1691" s="46" t="n">
        <x:v>10</x:v>
      </x:c>
      <x:c r="H1691" s="61" t="n">
        <x:v>23.535342465753423</x:v>
      </x:c>
      <x:c r="I1691" s="52" t="n">
        <x:v>0.8082191780821917</x:v>
      </x:c>
      <x:c r="J1691" s="52" t="n">
        <x:v>0.3961049543676662</x:v>
      </x:c>
      <x:c r="K1691" s="60" t="n">
        <x:v>1505.56</x:v>
      </x:c>
      <x:c r="L1691" s="60" t="n">
        <x:v>212.52</x:v>
      </x:c>
      <x:c r="M1691" s="50" t="n">
        <x:v>59</x:v>
      </x:c>
      <x:c r="N1691" s="50" t="n">
        <x:v>14</x:v>
      </x:c>
      <x:c r="O1691" s="50" t="n">
        <x:v>119</x:v>
      </x:c>
      <x:c r="P1691" s="50" t="n">
        <x:v>23</x:v>
      </x:c>
    </x:row>
    <x:row r="1692" ht="36" customHeight="1">
      <x:c r="A1692" s="53" t="n">
        <x:v>1673</x:v>
      </x:c>
      <x:c r="B1692" s="53" t="n">
        <x:v>1</x:v>
      </x:c>
      <x:c r="C1692" s="40" t="str">
        <x:v>High-Value Frequent Shoppers</x:v>
      </x:c>
      <x:c r="D1692" s="60" t="n">
        <x:v>4773.85</x:v>
      </x:c>
      <x:c r="E1692" s="50" t="n">
        <x:v>110</x:v>
      </x:c>
      <x:c r="F1692" s="46" t="n">
        <x:v>6.111111111111112</x:v>
      </x:c>
      <x:c r="G1692" s="46" t="n">
        <x:v>18</x:v>
      </x:c>
      <x:c r="H1692" s="61" t="n">
        <x:v>43.39863636363636</x:v>
      </x:c>
      <x:c r="I1692" s="52" t="n">
        <x:v>0.8818181818181818</x:v>
      </x:c>
      <x:c r="J1692" s="52" t="n">
        <x:v>0.5402934738209202</x:v>
      </x:c>
      <x:c r="K1692" s="60" t="n">
        <x:v>4670.19</x:v>
      </x:c>
      <x:c r="L1692" s="60" t="n">
        <x:v>103.66</x:v>
      </x:c>
      <x:c r="M1692" s="50" t="n">
        <x:v>97</x:v>
      </x:c>
      <x:c r="N1692" s="50" t="n">
        <x:v>13</x:v>
      </x:c>
      <x:c r="O1692" s="50" t="n">
        <x:v>168</x:v>
      </x:c>
      <x:c r="P1692" s="50" t="n">
        <x:v>18</x:v>
      </x:c>
    </x:row>
    <x:row r="1693" ht="36" customHeight="1">
      <x:c r="A1693" s="53" t="n">
        <x:v>1674</x:v>
      </x:c>
      <x:c r="B1693" s="53" t="n">
        <x:v>3</x:v>
      </x:c>
      <x:c r="C1693" s="40" t="str">
        <x:v>Low-Value Low-Engagement Shoppers</x:v>
      </x:c>
      <x:c r="D1693" s="60" t="n">
        <x:v>120.28</x:v>
      </x:c>
      <x:c r="E1693" s="50" t="n">
        <x:v>8</x:v>
      </x:c>
      <x:c r="F1693" s="46" t="n">
        <x:v>1.3333333333333333</x:v>
      </x:c>
      <x:c r="G1693" s="46" t="n">
        <x:v>292</x:v>
      </x:c>
      <x:c r="H1693" s="61" t="n">
        <x:v>15.035</x:v>
      </x:c>
      <x:c r="I1693" s="52" t="n">
        <x:v>1</x:v>
      </x:c>
      <x:c r="J1693" s="52" t="n">
        <x:v>0.8078649817093448</x:v>
      </x:c>
      <x:c r="K1693" s="60" t="n">
        <x:v>120.28</x:v>
      </x:c>
      <x:c r="L1693" s="60" t="n">
        <x:v>0</x:v>
      </x:c>
      <x:c r="M1693" s="50" t="n">
        <x:v>8</x:v>
      </x:c>
      <x:c r="N1693" s="50" t="n">
        <x:v>0</x:v>
      </x:c>
      <x:c r="O1693" s="50" t="n">
        <x:v>25</x:v>
      </x:c>
      <x:c r="P1693" s="50" t="n">
        <x:v>6</x:v>
      </x:c>
    </x:row>
    <x:row r="1694" ht="36" customHeight="1">
      <x:c r="A1694" s="53" t="n">
        <x:v>1675</x:v>
      </x:c>
      <x:c r="B1694" s="53" t="n">
        <x:v>2</x:v>
      </x:c>
      <x:c r="C1694" s="40" t="str">
        <x:v>Large-Basket Occasional Shoppers</x:v>
      </x:c>
      <x:c r="D1694" s="60" t="n">
        <x:v>4862.09</x:v>
      </x:c>
      <x:c r="E1694" s="50" t="n">
        <x:v>102</x:v>
      </x:c>
      <x:c r="F1694" s="46" t="n">
        <x:v>5.1</x:v>
      </x:c>
      <x:c r="G1694" s="46" t="n">
        <x:v>78</x:v>
      </x:c>
      <x:c r="H1694" s="61" t="n">
        <x:v>47.66754901960784</x:v>
      </x:c>
      <x:c r="I1694" s="52" t="n">
        <x:v>0.96078431372549</x:v>
      </x:c>
      <x:c r="J1694" s="52" t="n">
        <x:v>0.6615344430070196</x:v>
      </x:c>
      <x:c r="K1694" s="60" t="n">
        <x:v>4839.27</x:v>
      </x:c>
      <x:c r="L1694" s="60" t="n">
        <x:v>22.82</x:v>
      </x:c>
      <x:c r="M1694" s="50" t="n">
        <x:v>98</x:v>
      </x:c>
      <x:c r="N1694" s="50" t="n">
        <x:v>4</x:v>
      </x:c>
      <x:c r="O1694" s="50" t="n">
        <x:v>147</x:v>
      </x:c>
      <x:c r="P1694" s="50" t="n">
        <x:v>20</x:v>
      </x:c>
    </x:row>
    <x:row r="1695" ht="36" customHeight="1">
      <x:c r="A1695" s="53" t="n">
        <x:v>1676</x:v>
      </x:c>
      <x:c r="B1695" s="53" t="n">
        <x:v>1</x:v>
      </x:c>
      <x:c r="C1695" s="40" t="str">
        <x:v>High-Value Frequent Shoppers</x:v>
      </x:c>
      <x:c r="D1695" s="60" t="n">
        <x:v>5203.43</x:v>
      </x:c>
      <x:c r="E1695" s="50" t="n">
        <x:v>97</x:v>
      </x:c>
      <x:c r="F1695" s="46" t="n">
        <x:v>4.61904761904762</x:v>
      </x:c>
      <x:c r="G1695" s="46" t="n">
        <x:v>5</x:v>
      </x:c>
      <x:c r="H1695" s="61" t="n">
        <x:v>53.64360824742268</x:v>
      </x:c>
      <x:c r="I1695" s="52" t="n">
        <x:v>0.9175257731958762</x:v>
      </x:c>
      <x:c r="J1695" s="52" t="n">
        <x:v>0.5172357464211106</x:v>
      </x:c>
      <x:c r="K1695" s="60" t="n">
        <x:v>5122.39</x:v>
      </x:c>
      <x:c r="L1695" s="60" t="n">
        <x:v>81.04</x:v>
      </x:c>
      <x:c r="M1695" s="50" t="n">
        <x:v>89</x:v>
      </x:c>
      <x:c r="N1695" s="50" t="n">
        <x:v>8</x:v>
      </x:c>
      <x:c r="O1695" s="50" t="n">
        <x:v>149</x:v>
      </x:c>
      <x:c r="P1695" s="50" t="n">
        <x:v>21</x:v>
      </x:c>
    </x:row>
    <x:row r="1696" ht="36" customHeight="1">
      <x:c r="A1696" s="53" t="n">
        <x:v>1677</x:v>
      </x:c>
      <x:c r="B1696" s="53" t="n">
        <x:v>1</x:v>
      </x:c>
      <x:c r="C1696" s="40" t="str">
        <x:v>High-Value Frequent Shoppers</x:v>
      </x:c>
      <x:c r="D1696" s="60" t="n">
        <x:v>12559.61</x:v>
      </x:c>
      <x:c r="E1696" s="50" t="n">
        <x:v>193</x:v>
      </x:c>
      <x:c r="F1696" s="46" t="n">
        <x:v>8.041666666666666</x:v>
      </x:c>
      <x:c r="G1696" s="46" t="n">
        <x:v>7</x:v>
      </x:c>
      <x:c r="H1696" s="61" t="n">
        <x:v>65.07569948186529</x:v>
      </x:c>
      <x:c r="I1696" s="52" t="n">
        <x:v>0.8704663212435233</x:v>
      </x:c>
      <x:c r="J1696" s="52" t="n">
        <x:v>0.4299440826586175</x:v>
      </x:c>
      <x:c r="K1696" s="60" t="n">
        <x:v>12198.74</x:v>
      </x:c>
      <x:c r="L1696" s="60" t="n">
        <x:v>360.87</x:v>
      </x:c>
      <x:c r="M1696" s="50" t="n">
        <x:v>168</x:v>
      </x:c>
      <x:c r="N1696" s="50" t="n">
        <x:v>25</x:v>
      </x:c>
      <x:c r="O1696" s="50" t="n">
        <x:v>188</x:v>
      </x:c>
      <x:c r="P1696" s="50" t="n">
        <x:v>24</x:v>
      </x:c>
    </x:row>
    <x:row r="1697" ht="36" customHeight="1">
      <x:c r="A1697" s="53" t="n">
        <x:v>1678</x:v>
      </x:c>
      <x:c r="B1697" s="53" t="n">
        <x:v>2</x:v>
      </x:c>
      <x:c r="C1697" s="40" t="str">
        <x:v>Large-Basket Occasional Shoppers</x:v>
      </x:c>
      <x:c r="D1697" s="60" t="n">
        <x:v>2613.99</x:v>
      </x:c>
      <x:c r="E1697" s="50" t="n">
        <x:v>79</x:v>
      </x:c>
      <x:c r="F1697" s="46" t="n">
        <x:v>4.157894736842104</x:v>
      </x:c>
      <x:c r="G1697" s="46" t="n">
        <x:v>12</x:v>
      </x:c>
      <x:c r="H1697" s="61" t="n">
        <x:v>33.08848101265823</x:v>
      </x:c>
      <x:c r="I1697" s="52" t="n">
        <x:v>0.7594936708860759</x:v>
      </x:c>
      <x:c r="J1697" s="52" t="n">
        <x:v>0.5029322988993837</x:v>
      </x:c>
      <x:c r="K1697" s="60" t="n">
        <x:v>2417.83</x:v>
      </x:c>
      <x:c r="L1697" s="60" t="n">
        <x:v>196.16</x:v>
      </x:c>
      <x:c r="M1697" s="50" t="n">
        <x:v>60</x:v>
      </x:c>
      <x:c r="N1697" s="50" t="n">
        <x:v>19</x:v>
      </x:c>
      <x:c r="O1697" s="50" t="n">
        <x:v>133</x:v>
      </x:c>
      <x:c r="P1697" s="50" t="n">
        <x:v>19</x:v>
      </x:c>
    </x:row>
    <x:row r="1698" ht="36" customHeight="1">
      <x:c r="A1698" s="53" t="n">
        <x:v>1679</x:v>
      </x:c>
      <x:c r="B1698" s="53" t="n">
        <x:v>3</x:v>
      </x:c>
      <x:c r="C1698" s="40" t="str">
        <x:v>Low-Value Low-Engagement Shoppers</x:v>
      </x:c>
      <x:c r="D1698" s="60" t="n">
        <x:v>276.13</x:v>
      </x:c>
      <x:c r="E1698" s="50" t="n">
        <x:v>46</x:v>
      </x:c>
      <x:c r="F1698" s="46" t="n">
        <x:v>5.111111111111112</x:v>
      </x:c>
      <x:c r="G1698" s="46" t="n">
        <x:v>2</x:v>
      </x:c>
      <x:c r="H1698" s="61" t="n">
        <x:v>6.002826086956522</x:v>
      </x:c>
      <x:c r="I1698" s="52" t="n">
        <x:v>0.782608695652174</x:v>
      </x:c>
      <x:c r="J1698" s="52" t="n">
        <x:v>0.5749103683047839</x:v>
      </x:c>
      <x:c r="K1698" s="60" t="n">
        <x:v>244.26</x:v>
      </x:c>
      <x:c r="L1698" s="60" t="n">
        <x:v>31.87</x:v>
      </x:c>
      <x:c r="M1698" s="50" t="n">
        <x:v>36</x:v>
      </x:c>
      <x:c r="N1698" s="50" t="n">
        <x:v>10</x:v>
      </x:c>
      <x:c r="O1698" s="50" t="n">
        <x:v>45</x:v>
      </x:c>
      <x:c r="P1698" s="50" t="n">
        <x:v>9</x:v>
      </x:c>
    </x:row>
    <x:row r="1699" ht="36" customHeight="1">
      <x:c r="A1699" s="53" t="n">
        <x:v>1680</x:v>
      </x:c>
      <x:c r="B1699" s="53" t="n">
        <x:v>2</x:v>
      </x:c>
      <x:c r="C1699" s="40" t="str">
        <x:v>Large-Basket Occasional Shoppers</x:v>
      </x:c>
      <x:c r="D1699" s="60" t="n">
        <x:v>2039.68</x:v>
      </x:c>
      <x:c r="E1699" s="50" t="n">
        <x:v>51</x:v>
      </x:c>
      <x:c r="F1699" s="46" t="n">
        <x:v>2.833333333333333</x:v>
      </x:c>
      <x:c r="G1699" s="46" t="n">
        <x:v>23</x:v>
      </x:c>
      <x:c r="H1699" s="61" t="n">
        <x:v>39.99372549019608</x:v>
      </x:c>
      <x:c r="I1699" s="52" t="n">
        <x:v>0.96078431372549</x:v>
      </x:c>
      <x:c r="J1699" s="52" t="n">
        <x:v>0.6392865547536868</x:v>
      </x:c>
      <x:c r="K1699" s="60" t="n">
        <x:v>2016.91</x:v>
      </x:c>
      <x:c r="L1699" s="60" t="n">
        <x:v>22.77</x:v>
      </x:c>
      <x:c r="M1699" s="50" t="n">
        <x:v>49</x:v>
      </x:c>
      <x:c r="N1699" s="50" t="n">
        <x:v>2</x:v>
      </x:c>
      <x:c r="O1699" s="50" t="n">
        <x:v>125</x:v>
      </x:c>
      <x:c r="P1699" s="50" t="n">
        <x:v>18</x:v>
      </x:c>
    </x:row>
    <x:row r="1700" ht="36" customHeight="1">
      <x:c r="A1700" s="53" t="n">
        <x:v>1681</x:v>
      </x:c>
      <x:c r="B1700" s="53" t="n">
        <x:v>2</x:v>
      </x:c>
      <x:c r="C1700" s="40" t="str">
        <x:v>Large-Basket Occasional Shoppers</x:v>
      </x:c>
      <x:c r="D1700" s="60" t="n">
        <x:v>2602.28</x:v>
      </x:c>
      <x:c r="E1700" s="50" t="n">
        <x:v>90</x:v>
      </x:c>
      <x:c r="F1700" s="46" t="n">
        <x:v>6.428571428571429</x:v>
      </x:c>
      <x:c r="G1700" s="46" t="n">
        <x:v>67</x:v>
      </x:c>
      <x:c r="H1700" s="61" t="n">
        <x:v>28.914222222222225</x:v>
      </x:c>
      <x:c r="I1700" s="52" t="n">
        <x:v>0.9333333333333332</x:v>
      </x:c>
      <x:c r="J1700" s="52" t="n">
        <x:v>0.5212121677913214</x:v>
      </x:c>
      <x:c r="K1700" s="60" t="n">
        <x:v>2573.76</x:v>
      </x:c>
      <x:c r="L1700" s="60" t="n">
        <x:v>28.52</x:v>
      </x:c>
      <x:c r="M1700" s="50" t="n">
        <x:v>84</x:v>
      </x:c>
      <x:c r="N1700" s="50" t="n">
        <x:v>6</x:v>
      </x:c>
      <x:c r="O1700" s="50" t="n">
        <x:v>113</x:v>
      </x:c>
      <x:c r="P1700" s="50" t="n">
        <x:v>14</x:v>
      </x:c>
    </x:row>
    <x:row r="1701" ht="36" customHeight="1">
      <x:c r="A1701" s="53" t="n">
        <x:v>1682</x:v>
      </x:c>
      <x:c r="B1701" s="53" t="n">
        <x:v>3</x:v>
      </x:c>
      <x:c r="C1701" s="40" t="str">
        <x:v>Low-Value Low-Engagement Shoppers</x:v>
      </x:c>
      <x:c r="D1701" s="60" t="n">
        <x:v>158.93</x:v>
      </x:c>
      <x:c r="E1701" s="50" t="n">
        <x:v>10</x:v>
      </x:c>
      <x:c r="F1701" s="46" t="n">
        <x:v>1.25</x:v>
      </x:c>
      <x:c r="G1701" s="46" t="n">
        <x:v>8</x:v>
      </x:c>
      <x:c r="H1701" s="61" t="n">
        <x:v>15.893</x:v>
      </x:c>
      <x:c r="I1701" s="52" t="n">
        <x:v>0.6</x:v>
      </x:c>
      <x:c r="J1701" s="52" t="n">
        <x:v>0.3466305920845655</x:v>
      </x:c>
      <x:c r="K1701" s="60" t="n">
        <x:v>77.42</x:v>
      </x:c>
      <x:c r="L1701" s="60" t="n">
        <x:v>81.51</x:v>
      </x:c>
      <x:c r="M1701" s="50" t="n">
        <x:v>6</x:v>
      </x:c>
      <x:c r="N1701" s="50" t="n">
        <x:v>4</x:v>
      </x:c>
      <x:c r="O1701" s="50" t="n">
        <x:v>25</x:v>
      </x:c>
      <x:c r="P1701" s="50" t="n">
        <x:v>8</x:v>
      </x:c>
    </x:row>
    <x:row r="1702" ht="36" customHeight="1">
      <x:c r="A1702" s="53" t="n">
        <x:v>1683</x:v>
      </x:c>
      <x:c r="B1702" s="53" t="n">
        <x:v>3</x:v>
      </x:c>
      <x:c r="C1702" s="40" t="str">
        <x:v>Low-Value Low-Engagement Shoppers</x:v>
      </x:c>
      <x:c r="D1702" s="60" t="n">
        <x:v>1920.99</x:v>
      </x:c>
      <x:c r="E1702" s="50" t="n">
        <x:v>86</x:v>
      </x:c>
      <x:c r="F1702" s="46" t="n">
        <x:v>3.583333333333333</x:v>
      </x:c>
      <x:c r="G1702" s="46" t="n">
        <x:v>8</x:v>
      </x:c>
      <x:c r="H1702" s="61" t="n">
        <x:v>22.33709302325581</x:v>
      </x:c>
      <x:c r="I1702" s="52" t="n">
        <x:v>0.6744186046511627</x:v>
      </x:c>
      <x:c r="J1702" s="52" t="n">
        <x:v>0.3604807937573855</x:v>
      </x:c>
      <x:c r="K1702" s="60" t="n">
        <x:v>1648.07</x:v>
      </x:c>
      <x:c r="L1702" s="60" t="n">
        <x:v>272.92</x:v>
      </x:c>
      <x:c r="M1702" s="50" t="n">
        <x:v>58</x:v>
      </x:c>
      <x:c r="N1702" s="50" t="n">
        <x:v>28</x:v>
      </x:c>
      <x:c r="O1702" s="50" t="n">
        <x:v>125</x:v>
      </x:c>
      <x:c r="P1702" s="50" t="n">
        <x:v>24</x:v>
      </x:c>
    </x:row>
    <x:row r="1703" ht="36" customHeight="1">
      <x:c r="A1703" s="53" t="n">
        <x:v>1684</x:v>
      </x:c>
      <x:c r="B1703" s="53" t="n">
        <x:v>2</x:v>
      </x:c>
      <x:c r="C1703" s="40" t="str">
        <x:v>Large-Basket Occasional Shoppers</x:v>
      </x:c>
      <x:c r="D1703" s="60" t="n">
        <x:v>1449.58</x:v>
      </x:c>
      <x:c r="E1703" s="50" t="n">
        <x:v>50</x:v>
      </x:c>
      <x:c r="F1703" s="46" t="n">
        <x:v>3.125</x:v>
      </x:c>
      <x:c r="G1703" s="46" t="n">
        <x:v>4</x:v>
      </x:c>
      <x:c r="H1703" s="61" t="n">
        <x:v>28.9916</x:v>
      </x:c>
      <x:c r="I1703" s="52" t="n">
        <x:v>0.84</x:v>
      </x:c>
      <x:c r="J1703" s="52" t="n">
        <x:v>0.4839815670746009</x:v>
      </x:c>
      <x:c r="K1703" s="60" t="n">
        <x:v>1383.06</x:v>
      </x:c>
      <x:c r="L1703" s="60" t="n">
        <x:v>66.52</x:v>
      </x:c>
      <x:c r="M1703" s="50" t="n">
        <x:v>42</x:v>
      </x:c>
      <x:c r="N1703" s="50" t="n">
        <x:v>8</x:v>
      </x:c>
      <x:c r="O1703" s="50" t="n">
        <x:v>99</x:v>
      </x:c>
      <x:c r="P1703" s="50" t="n">
        <x:v>16</x:v>
      </x:c>
    </x:row>
    <x:row r="1704" ht="36" customHeight="1">
      <x:c r="A1704" s="53" t="n">
        <x:v>1685</x:v>
      </x:c>
      <x:c r="B1704" s="53" t="n">
        <x:v>3</x:v>
      </x:c>
      <x:c r="C1704" s="40" t="str">
        <x:v>Low-Value Low-Engagement Shoppers</x:v>
      </x:c>
      <x:c r="D1704" s="60" t="n">
        <x:v>1571.37</x:v>
      </x:c>
      <x:c r="E1704" s="50" t="n">
        <x:v>97</x:v>
      </x:c>
      <x:c r="F1704" s="46" t="n">
        <x:v>4.217391304347825</x:v>
      </x:c>
      <x:c r="G1704" s="46" t="n">
        <x:v>4</x:v>
      </x:c>
      <x:c r="H1704" s="61" t="n">
        <x:v>16.199690721649485</x:v>
      </x:c>
      <x:c r="I1704" s="52" t="n">
        <x:v>0.690721649484536</x:v>
      </x:c>
      <x:c r="J1704" s="52" t="n">
        <x:v>0.4189083411290784</x:v>
      </x:c>
      <x:c r="K1704" s="60" t="n">
        <x:v>1343.95</x:v>
      </x:c>
      <x:c r="L1704" s="60" t="n">
        <x:v>227.42</x:v>
      </x:c>
      <x:c r="M1704" s="50" t="n">
        <x:v>67</x:v>
      </x:c>
      <x:c r="N1704" s="50" t="n">
        <x:v>30</x:v>
      </x:c>
      <x:c r="O1704" s="50" t="n">
        <x:v>113</x:v>
      </x:c>
      <x:c r="P1704" s="50" t="n">
        <x:v>23</x:v>
      </x:c>
    </x:row>
    <x:row r="1705" ht="36" customHeight="1">
      <x:c r="A1705" s="53" t="n">
        <x:v>1686</x:v>
      </x:c>
      <x:c r="B1705" s="53" t="n">
        <x:v>1</x:v>
      </x:c>
      <x:c r="C1705" s="40" t="str">
        <x:v>High-Value Frequent Shoppers</x:v>
      </x:c>
      <x:c r="D1705" s="60" t="n">
        <x:v>1313.76</x:v>
      </x:c>
      <x:c r="E1705" s="50" t="n">
        <x:v>94</x:v>
      </x:c>
      <x:c r="F1705" s="46" t="n">
        <x:v>4.476190476190476</x:v>
      </x:c>
      <x:c r="G1705" s="46" t="n">
        <x:v>0</x:v>
      </x:c>
      <x:c r="H1705" s="61" t="n">
        <x:v>13.976170212765956</x:v>
      </x:c>
      <x:c r="I1705" s="52" t="n">
        <x:v>0.8404255319148936</x:v>
      </x:c>
      <x:c r="J1705" s="52" t="n">
        <x:v>0.5045061502862014</x:v>
      </x:c>
      <x:c r="K1705" s="60" t="n">
        <x:v>1200.38</x:v>
      </x:c>
      <x:c r="L1705" s="60" t="n">
        <x:v>113.38</x:v>
      </x:c>
      <x:c r="M1705" s="50" t="n">
        <x:v>79</x:v>
      </x:c>
      <x:c r="N1705" s="50" t="n">
        <x:v>15</x:v>
      </x:c>
      <x:c r="O1705" s="50" t="n">
        <x:v>97</x:v>
      </x:c>
      <x:c r="P1705" s="50" t="n">
        <x:v>21</x:v>
      </x:c>
    </x:row>
    <x:row r="1706" ht="36" customHeight="1">
      <x:c r="A1706" s="53" t="n">
        <x:v>1687</x:v>
      </x:c>
      <x:c r="B1706" s="53" t="n">
        <x:v>1</x:v>
      </x:c>
      <x:c r="C1706" s="40" t="str">
        <x:v>High-Value Frequent Shoppers</x:v>
      </x:c>
      <x:c r="D1706" s="60" t="n">
        <x:v>3766.27</x:v>
      </x:c>
      <x:c r="E1706" s="50" t="n">
        <x:v>106</x:v>
      </x:c>
      <x:c r="F1706" s="46" t="n">
        <x:v>5.047619047619048</x:v>
      </x:c>
      <x:c r="G1706" s="46" t="n">
        <x:v>6</x:v>
      </x:c>
      <x:c r="H1706" s="61" t="n">
        <x:v>35.53084905660377</x:v>
      </x:c>
      <x:c r="I1706" s="52" t="n">
        <x:v>0.9056603773584904</x:v>
      </x:c>
      <x:c r="J1706" s="52" t="n">
        <x:v>0.5324498774649719</x:v>
      </x:c>
      <x:c r="K1706" s="60" t="n">
        <x:v>3714.23</x:v>
      </x:c>
      <x:c r="L1706" s="60" t="n">
        <x:v>52.04</x:v>
      </x:c>
      <x:c r="M1706" s="50" t="n">
        <x:v>96</x:v>
      </x:c>
      <x:c r="N1706" s="50" t="n">
        <x:v>10</x:v>
      </x:c>
      <x:c r="O1706" s="50" t="n">
        <x:v>137</x:v>
      </x:c>
      <x:c r="P1706" s="50" t="n">
        <x:v>21</x:v>
      </x:c>
    </x:row>
    <x:row r="1707" ht="36" customHeight="1">
      <x:c r="A1707" s="53" t="n">
        <x:v>1688</x:v>
      </x:c>
      <x:c r="B1707" s="53" t="n">
        <x:v>2</x:v>
      </x:c>
      <x:c r="C1707" s="40" t="str">
        <x:v>Large-Basket Occasional Shoppers</x:v>
      </x:c>
      <x:c r="D1707" s="60" t="n">
        <x:v>971.12</x:v>
      </x:c>
      <x:c r="E1707" s="50" t="n">
        <x:v>36</x:v>
      </x:c>
      <x:c r="F1707" s="46" t="n">
        <x:v>2.571428571428572</x:v>
      </x:c>
      <x:c r="G1707" s="46" t="n">
        <x:v>28</x:v>
      </x:c>
      <x:c r="H1707" s="61" t="n">
        <x:v>26.975555555555555</x:v>
      </x:c>
      <x:c r="I1707" s="52" t="n">
        <x:v>0.861111111111111</x:v>
      </x:c>
      <x:c r="J1707" s="52" t="n">
        <x:v>0.5640394595930472</x:v>
      </x:c>
      <x:c r="K1707" s="60" t="n">
        <x:v>945.45</x:v>
      </x:c>
      <x:c r="L1707" s="60" t="n">
        <x:v>25.67</x:v>
      </x:c>
      <x:c r="M1707" s="50" t="n">
        <x:v>31</x:v>
      </x:c>
      <x:c r="N1707" s="50" t="n">
        <x:v>5</x:v>
      </x:c>
      <x:c r="O1707" s="50" t="n">
        <x:v>95</x:v>
      </x:c>
      <x:c r="P1707" s="50" t="n">
        <x:v>14</x:v>
      </x:c>
    </x:row>
    <x:row r="1708" ht="36" customHeight="1">
      <x:c r="A1708" s="53" t="n">
        <x:v>1689</x:v>
      </x:c>
      <x:c r="B1708" s="53" t="n">
        <x:v>1</x:v>
      </x:c>
      <x:c r="C1708" s="40" t="str">
        <x:v>High-Value Frequent Shoppers</x:v>
      </x:c>
      <x:c r="D1708" s="60" t="n">
        <x:v>2711.79</x:v>
      </x:c>
      <x:c r="E1708" s="50" t="n">
        <x:v>122</x:v>
      </x:c>
      <x:c r="F1708" s="46" t="n">
        <x:v>5.304347826086957</x:v>
      </x:c>
      <x:c r="G1708" s="46" t="n">
        <x:v>1</x:v>
      </x:c>
      <x:c r="H1708" s="61" t="n">
        <x:v>22.2277868852459</x:v>
      </x:c>
      <x:c r="I1708" s="52" t="n">
        <x:v>0.8360655737704918</x:v>
      </x:c>
      <x:c r="J1708" s="52" t="n">
        <x:v>0.5494193871944361</x:v>
      </x:c>
      <x:c r="K1708" s="60" t="n">
        <x:v>2538.75</x:v>
      </x:c>
      <x:c r="L1708" s="60" t="n">
        <x:v>173.04</x:v>
      </x:c>
      <x:c r="M1708" s="50" t="n">
        <x:v>102</x:v>
      </x:c>
      <x:c r="N1708" s="50" t="n">
        <x:v>20</x:v>
      </x:c>
      <x:c r="O1708" s="50" t="n">
        <x:v>109</x:v>
      </x:c>
      <x:c r="P1708" s="50" t="n">
        <x:v>23</x:v>
      </x:c>
    </x:row>
    <x:row r="1709" ht="36" customHeight="1">
      <x:c r="A1709" s="53" t="n">
        <x:v>1690</x:v>
      </x:c>
      <x:c r="B1709" s="53" t="n">
        <x:v>2</x:v>
      </x:c>
      <x:c r="C1709" s="40" t="str">
        <x:v>Large-Basket Occasional Shoppers</x:v>
      </x:c>
      <x:c r="D1709" s="60" t="n">
        <x:v>1508.04</x:v>
      </x:c>
      <x:c r="E1709" s="50" t="n">
        <x:v>59</x:v>
      </x:c>
      <x:c r="F1709" s="46" t="n">
        <x:v>3.2777777777777777</x:v>
      </x:c>
      <x:c r="G1709" s="46" t="n">
        <x:v>16</x:v>
      </x:c>
      <x:c r="H1709" s="61" t="n">
        <x:v>25.56</x:v>
      </x:c>
      <x:c r="I1709" s="52" t="n">
        <x:v>0.8644067796610169</x:v>
      </x:c>
      <x:c r="J1709" s="52" t="n">
        <x:v>0.5628100050396541</x:v>
      </x:c>
      <x:c r="K1709" s="60" t="n">
        <x:v>1408.19</x:v>
      </x:c>
      <x:c r="L1709" s="60" t="n">
        <x:v>99.85</x:v>
      </x:c>
      <x:c r="M1709" s="50" t="n">
        <x:v>51</x:v>
      </x:c>
      <x:c r="N1709" s="50" t="n">
        <x:v>8</x:v>
      </x:c>
      <x:c r="O1709" s="50" t="n">
        <x:v>111</x:v>
      </x:c>
      <x:c r="P1709" s="50" t="n">
        <x:v>18</x:v>
      </x:c>
    </x:row>
    <x:row r="1710" ht="36" customHeight="1">
      <x:c r="A1710" s="53" t="n">
        <x:v>1691</x:v>
      </x:c>
      <x:c r="B1710" s="53" t="n">
        <x:v>2</x:v>
      </x:c>
      <x:c r="C1710" s="40" t="str">
        <x:v>Large-Basket Occasional Shoppers</x:v>
      </x:c>
      <x:c r="D1710" s="60" t="n">
        <x:v>2283.69</x:v>
      </x:c>
      <x:c r="E1710" s="50" t="n">
        <x:v>50</x:v>
      </x:c>
      <x:c r="F1710" s="46" t="n">
        <x:v>2.631578947368421</x:v>
      </x:c>
      <x:c r="G1710" s="46" t="n">
        <x:v>1</x:v>
      </x:c>
      <x:c r="H1710" s="61" t="n">
        <x:v>45.6738</x:v>
      </x:c>
      <x:c r="I1710" s="52" t="n">
        <x:v>0.94</x:v>
      </x:c>
      <x:c r="J1710" s="52" t="n">
        <x:v>0.4642661657230184</x:v>
      </x:c>
      <x:c r="K1710" s="60" t="n">
        <x:v>2246.12</x:v>
      </x:c>
      <x:c r="L1710" s="60" t="n">
        <x:v>37.57</x:v>
      </x:c>
      <x:c r="M1710" s="50" t="n">
        <x:v>47</x:v>
      </x:c>
      <x:c r="N1710" s="50" t="n">
        <x:v>3</x:v>
      </x:c>
      <x:c r="O1710" s="50" t="n">
        <x:v>123</x:v>
      </x:c>
      <x:c r="P1710" s="50" t="n">
        <x:v>19</x:v>
      </x:c>
    </x:row>
    <x:row r="1711" ht="36" customHeight="1">
      <x:c r="A1711" s="53" t="n">
        <x:v>1692</x:v>
      </x:c>
      <x:c r="B1711" s="53" t="n">
        <x:v>1</x:v>
      </x:c>
      <x:c r="C1711" s="40" t="str">
        <x:v>High-Value Frequent Shoppers</x:v>
      </x:c>
      <x:c r="D1711" s="60" t="n">
        <x:v>2017.18</x:v>
      </x:c>
      <x:c r="E1711" s="50" t="n">
        <x:v>150</x:v>
      </x:c>
      <x:c r="F1711" s="46" t="n">
        <x:v>6.8181818181818175</x:v>
      </x:c>
      <x:c r="G1711" s="46" t="n">
        <x:v>1</x:v>
      </x:c>
      <x:c r="H1711" s="61" t="n">
        <x:v>13.447866666666666</x:v>
      </x:c>
      <x:c r="I1711" s="52" t="n">
        <x:v>0.88</x:v>
      </x:c>
      <x:c r="J1711" s="52" t="n">
        <x:v>0.710600937943069</x:v>
      </x:c>
      <x:c r="K1711" s="60" t="n">
        <x:v>1918.41</x:v>
      </x:c>
      <x:c r="L1711" s="60" t="n">
        <x:v>98.77</x:v>
      </x:c>
      <x:c r="M1711" s="50" t="n">
        <x:v>132</x:v>
      </x:c>
      <x:c r="N1711" s="50" t="n">
        <x:v>18</x:v>
      </x:c>
      <x:c r="O1711" s="50" t="n">
        <x:v>123</x:v>
      </x:c>
      <x:c r="P1711" s="50" t="n">
        <x:v>22</x:v>
      </x:c>
    </x:row>
    <x:row r="1712" ht="36" customHeight="1">
      <x:c r="A1712" s="53" t="n">
        <x:v>1693</x:v>
      </x:c>
      <x:c r="B1712" s="53" t="n">
        <x:v>1</x:v>
      </x:c>
      <x:c r="C1712" s="40" t="str">
        <x:v>High-Value Frequent Shoppers</x:v>
      </x:c>
      <x:c r="D1712" s="60" t="n">
        <x:v>8354.55</x:v>
      </x:c>
      <x:c r="E1712" s="50" t="n">
        <x:v>164</x:v>
      </x:c>
      <x:c r="F1712" s="46" t="n">
        <x:v>7.809523809523809</x:v>
      </x:c>
      <x:c r="G1712" s="46" t="n">
        <x:v>1</x:v>
      </x:c>
      <x:c r="H1712" s="61" t="n">
        <x:v>50.94237804878049</x:v>
      </x:c>
      <x:c r="I1712" s="52" t="n">
        <x:v>0.8658536585365852</x:v>
      </x:c>
      <x:c r="J1712" s="52" t="n">
        <x:v>0.4726514294605933</x:v>
      </x:c>
      <x:c r="K1712" s="60" t="n">
        <x:v>8090.32</x:v>
      </x:c>
      <x:c r="L1712" s="60" t="n">
        <x:v>264.23</x:v>
      </x:c>
      <x:c r="M1712" s="50" t="n">
        <x:v>142</x:v>
      </x:c>
      <x:c r="N1712" s="50" t="n">
        <x:v>22</x:v>
      </x:c>
      <x:c r="O1712" s="50" t="n">
        <x:v>192</x:v>
      </x:c>
      <x:c r="P1712" s="50" t="n">
        <x:v>21</x:v>
      </x:c>
    </x:row>
    <x:row r="1713" ht="36" customHeight="1">
      <x:c r="A1713" s="53" t="n">
        <x:v>1694</x:v>
      </x:c>
      <x:c r="B1713" s="53" t="n">
        <x:v>1</x:v>
      </x:c>
      <x:c r="C1713" s="40" t="str">
        <x:v>High-Value Frequent Shoppers</x:v>
      </x:c>
      <x:c r="D1713" s="60" t="n">
        <x:v>8055.47</x:v>
      </x:c>
      <x:c r="E1713" s="50" t="n">
        <x:v>249</x:v>
      </x:c>
      <x:c r="F1713" s="46" t="n">
        <x:v>11.857142857142856</x:v>
      </x:c>
      <x:c r="G1713" s="46" t="n">
        <x:v>0</x:v>
      </x:c>
      <x:c r="H1713" s="61" t="n">
        <x:v>32.35128514056225</x:v>
      </x:c>
      <x:c r="I1713" s="52" t="n">
        <x:v>0.7991967871485943</x:v>
      </x:c>
      <x:c r="J1713" s="52" t="n">
        <x:v>0.5586104845527324</x:v>
      </x:c>
      <x:c r="K1713" s="60" t="n">
        <x:v>7236.23</x:v>
      </x:c>
      <x:c r="L1713" s="60" t="n">
        <x:v>819.24</x:v>
      </x:c>
      <x:c r="M1713" s="50" t="n">
        <x:v>199</x:v>
      </x:c>
      <x:c r="N1713" s="50" t="n">
        <x:v>50</x:v>
      </x:c>
      <x:c r="O1713" s="50" t="n">
        <x:v>146</x:v>
      </x:c>
      <x:c r="P1713" s="50" t="n">
        <x:v>21</x:v>
      </x:c>
    </x:row>
    <x:row r="1714" ht="36" customHeight="1">
      <x:c r="A1714" s="53" t="n">
        <x:v>1695</x:v>
      </x:c>
      <x:c r="B1714" s="53" t="n">
        <x:v>3</x:v>
      </x:c>
      <x:c r="C1714" s="40" t="str">
        <x:v>Low-Value Low-Engagement Shoppers</x:v>
      </x:c>
      <x:c r="D1714" s="60" t="n">
        <x:v>1174.56</x:v>
      </x:c>
      <x:c r="E1714" s="50" t="n">
        <x:v>160</x:v>
      </x:c>
      <x:c r="F1714" s="46" t="n">
        <x:v>6.666666666666666</x:v>
      </x:c>
      <x:c r="G1714" s="46" t="n">
        <x:v>1</x:v>
      </x:c>
      <x:c r="H1714" s="61" t="n">
        <x:v>7.341</x:v>
      </x:c>
      <x:c r="I1714" s="52" t="n">
        <x:v>0.6625</x:v>
      </x:c>
      <x:c r="J1714" s="52" t="n">
        <x:v>0.5197605912001089</x:v>
      </x:c>
      <x:c r="K1714" s="60" t="n">
        <x:v>886.87</x:v>
      </x:c>
      <x:c r="L1714" s="60" t="n">
        <x:v>287.69</x:v>
      </x:c>
      <x:c r="M1714" s="50" t="n">
        <x:v>106</x:v>
      </x:c>
      <x:c r="N1714" s="50" t="n">
        <x:v>54</x:v>
      </x:c>
      <x:c r="O1714" s="50" t="n">
        <x:v>95</x:v>
      </x:c>
      <x:c r="P1714" s="50" t="n">
        <x:v>24</x:v>
      </x:c>
    </x:row>
    <x:row r="1715" ht="36" customHeight="1">
      <x:c r="A1715" s="53" t="n">
        <x:v>1696</x:v>
      </x:c>
      <x:c r="B1715" s="53" t="n">
        <x:v>2</x:v>
      </x:c>
      <x:c r="C1715" s="40" t="str">
        <x:v>Large-Basket Occasional Shoppers</x:v>
      </x:c>
      <x:c r="D1715" s="60" t="n">
        <x:v>2640.01</x:v>
      </x:c>
      <x:c r="E1715" s="50" t="n">
        <x:v>62</x:v>
      </x:c>
      <x:c r="F1715" s="46" t="n">
        <x:v>3.444444444444444</x:v>
      </x:c>
      <x:c r="G1715" s="46" t="n">
        <x:v>7</x:v>
      </x:c>
      <x:c r="H1715" s="61" t="n">
        <x:v>42.580806451612894</x:v>
      </x:c>
      <x:c r="I1715" s="52" t="n">
        <x:v>0.935483870967742</x:v>
      </x:c>
      <x:c r="J1715" s="52" t="n">
        <x:v>0.3233965022859761</x:v>
      </x:c>
      <x:c r="K1715" s="60" t="n">
        <x:v>2587.08</x:v>
      </x:c>
      <x:c r="L1715" s="60" t="n">
        <x:v>52.93</x:v>
      </x:c>
      <x:c r="M1715" s="50" t="n">
        <x:v>58</x:v>
      </x:c>
      <x:c r="N1715" s="50" t="n">
        <x:v>4</x:v>
      </x:c>
      <x:c r="O1715" s="50" t="n">
        <x:v>137</x:v>
      </x:c>
      <x:c r="P1715" s="50" t="n">
        <x:v>18</x:v>
      </x:c>
    </x:row>
    <x:row r="1716" ht="36" customHeight="1">
      <x:c r="A1716" s="53" t="n">
        <x:v>1697</x:v>
      </x:c>
      <x:c r="B1716" s="53" t="n">
        <x:v>2</x:v>
      </x:c>
      <x:c r="C1716" s="40" t="str">
        <x:v>Large-Basket Occasional Shoppers</x:v>
      </x:c>
      <x:c r="D1716" s="60" t="n">
        <x:v>949.01</x:v>
      </x:c>
      <x:c r="E1716" s="50" t="n">
        <x:v>42</x:v>
      </x:c>
      <x:c r="F1716" s="46" t="n">
        <x:v>2.625</x:v>
      </x:c>
      <x:c r="G1716" s="46" t="n">
        <x:v>13</x:v>
      </x:c>
      <x:c r="H1716" s="61" t="n">
        <x:v>22.59547619047619</x:v>
      </x:c>
      <x:c r="I1716" s="52" t="n">
        <x:v>0.8809523809523809</x:v>
      </x:c>
      <x:c r="J1716" s="52" t="n">
        <x:v>0.5392145498993688</x:v>
      </x:c>
      <x:c r="K1716" s="60" t="n">
        <x:v>870.21</x:v>
      </x:c>
      <x:c r="L1716" s="60" t="n">
        <x:v>78.8</x:v>
      </x:c>
      <x:c r="M1716" s="50" t="n">
        <x:v>37</x:v>
      </x:c>
      <x:c r="N1716" s="50" t="n">
        <x:v>5</x:v>
      </x:c>
      <x:c r="O1716" s="50" t="n">
        <x:v>84</x:v>
      </x:c>
      <x:c r="P1716" s="50" t="n">
        <x:v>16</x:v>
      </x:c>
    </x:row>
    <x:row r="1717" ht="36" customHeight="1">
      <x:c r="A1717" s="53" t="n">
        <x:v>1698</x:v>
      </x:c>
      <x:c r="B1717" s="53" t="n">
        <x:v>2</x:v>
      </x:c>
      <x:c r="C1717" s="40" t="str">
        <x:v>Large-Basket Occasional Shoppers</x:v>
      </x:c>
      <x:c r="D1717" s="60" t="n">
        <x:v>1757.51</x:v>
      </x:c>
      <x:c r="E1717" s="50" t="n">
        <x:v>38</x:v>
      </x:c>
      <x:c r="F1717" s="46" t="n">
        <x:v>2.533333333333333</x:v>
      </x:c>
      <x:c r="G1717" s="46" t="n">
        <x:v>9</x:v>
      </x:c>
      <x:c r="H1717" s="61" t="n">
        <x:v>46.250263157894736</x:v>
      </x:c>
      <x:c r="I1717" s="52" t="n">
        <x:v>0.7631578947368421</x:v>
      </x:c>
      <x:c r="J1717" s="52" t="n">
        <x:v>0.4112693526637117</x:v>
      </x:c>
      <x:c r="K1717" s="60" t="n">
        <x:v>1682.25</x:v>
      </x:c>
      <x:c r="L1717" s="60" t="n">
        <x:v>75.26</x:v>
      </x:c>
      <x:c r="M1717" s="50" t="n">
        <x:v>29</x:v>
      </x:c>
      <x:c r="N1717" s="50" t="n">
        <x:v>9</x:v>
      </x:c>
      <x:c r="O1717" s="50" t="n">
        <x:v>119</x:v>
      </x:c>
      <x:c r="P1717" s="50" t="n">
        <x:v>15</x:v>
      </x:c>
    </x:row>
    <x:row r="1718" ht="36" customHeight="1">
      <x:c r="A1718" s="53" t="n">
        <x:v>1699</x:v>
      </x:c>
      <x:c r="B1718" s="53" t="n">
        <x:v>2</x:v>
      </x:c>
      <x:c r="C1718" s="40" t="str">
        <x:v>Large-Basket Occasional Shoppers</x:v>
      </x:c>
      <x:c r="D1718" s="60" t="n">
        <x:v>1064.84</x:v>
      </x:c>
      <x:c r="E1718" s="50" t="n">
        <x:v>29</x:v>
      </x:c>
      <x:c r="F1718" s="46" t="n">
        <x:v>2.230769230769231</x:v>
      </x:c>
      <x:c r="G1718" s="46" t="n">
        <x:v>13</x:v>
      </x:c>
      <x:c r="H1718" s="61" t="n">
        <x:v>36.71862068965517</x:v>
      </x:c>
      <x:c r="I1718" s="52" t="n">
        <x:v>0.9310344827586206</x:v>
      </x:c>
      <x:c r="J1718" s="52" t="n">
        <x:v>0.7019833965666203</x:v>
      </x:c>
      <x:c r="K1718" s="60" t="n">
        <x:v>1042.37</x:v>
      </x:c>
      <x:c r="L1718" s="60" t="n">
        <x:v>22.47</x:v>
      </x:c>
      <x:c r="M1718" s="50" t="n">
        <x:v>27</x:v>
      </x:c>
      <x:c r="N1718" s="50" t="n">
        <x:v>2</x:v>
      </x:c>
      <x:c r="O1718" s="50" t="n">
        <x:v>76</x:v>
      </x:c>
      <x:c r="P1718" s="50" t="n">
        <x:v>13</x:v>
      </x:c>
    </x:row>
    <x:row r="1719" ht="36" customHeight="1">
      <x:c r="A1719" s="53" t="n">
        <x:v>1700</x:v>
      </x:c>
      <x:c r="B1719" s="53" t="n">
        <x:v>2</x:v>
      </x:c>
      <x:c r="C1719" s="40" t="str">
        <x:v>Large-Basket Occasional Shoppers</x:v>
      </x:c>
      <x:c r="D1719" s="60" t="n">
        <x:v>1606.69</x:v>
      </x:c>
      <x:c r="E1719" s="50" t="n">
        <x:v>33</x:v>
      </x:c>
      <x:c r="F1719" s="46" t="n">
        <x:v>2.75</x:v>
      </x:c>
      <x:c r="G1719" s="46" t="n">
        <x:v>34</x:v>
      </x:c>
      <x:c r="H1719" s="61" t="n">
        <x:v>48.68757575757576</x:v>
      </x:c>
      <x:c r="I1719" s="52" t="n">
        <x:v>1</x:v>
      </x:c>
      <x:c r="J1719" s="52" t="n">
        <x:v>0.5726493598640683</x:v>
      </x:c>
      <x:c r="K1719" s="60" t="n">
        <x:v>1606.69</x:v>
      </x:c>
      <x:c r="L1719" s="60" t="n">
        <x:v>0</x:v>
      </x:c>
      <x:c r="M1719" s="50" t="n">
        <x:v>33</x:v>
      </x:c>
      <x:c r="N1719" s="50" t="n">
        <x:v>0</x:v>
      </x:c>
      <x:c r="O1719" s="50" t="n">
        <x:v>84</x:v>
      </x:c>
      <x:c r="P1719" s="50" t="n">
        <x:v>12</x:v>
      </x:c>
    </x:row>
    <x:row r="1720" ht="36" customHeight="1">
      <x:c r="A1720" s="53" t="n">
        <x:v>1701</x:v>
      </x:c>
      <x:c r="B1720" s="53" t="n">
        <x:v>2</x:v>
      </x:c>
      <x:c r="C1720" s="40" t="str">
        <x:v>Large-Basket Occasional Shoppers</x:v>
      </x:c>
      <x:c r="D1720" s="60" t="n">
        <x:v>1390.28</x:v>
      </x:c>
      <x:c r="E1720" s="50" t="n">
        <x:v>30</x:v>
      </x:c>
      <x:c r="F1720" s="46" t="n">
        <x:v>2</x:v>
      </x:c>
      <x:c r="G1720" s="46" t="n">
        <x:v>27</x:v>
      </x:c>
      <x:c r="H1720" s="61" t="n">
        <x:v>46.342666666666666</x:v>
      </x:c>
      <x:c r="I1720" s="52" t="n">
        <x:v>0.8333333333333333</x:v>
      </x:c>
      <x:c r="J1720" s="52" t="n">
        <x:v>0.4705383088298759</x:v>
      </x:c>
      <x:c r="K1720" s="60" t="n">
        <x:v>1323.03</x:v>
      </x:c>
      <x:c r="L1720" s="60" t="n">
        <x:v>67.25</x:v>
      </x:c>
      <x:c r="M1720" s="50" t="n">
        <x:v>25</x:v>
      </x:c>
      <x:c r="N1720" s="50" t="n">
        <x:v>5</x:v>
      </x:c>
      <x:c r="O1720" s="50" t="n">
        <x:v>82</x:v>
      </x:c>
      <x:c r="P1720" s="50" t="n">
        <x:v>15</x:v>
      </x:c>
    </x:row>
    <x:row r="1721" ht="36" customHeight="1">
      <x:c r="A1721" s="53" t="n">
        <x:v>1702</x:v>
      </x:c>
      <x:c r="B1721" s="53" t="n">
        <x:v>2</x:v>
      </x:c>
      <x:c r="C1721" s="40" t="str">
        <x:v>Large-Basket Occasional Shoppers</x:v>
      </x:c>
      <x:c r="D1721" s="60" t="n">
        <x:v>1927.05</x:v>
      </x:c>
      <x:c r="E1721" s="50" t="n">
        <x:v>30</x:v>
      </x:c>
      <x:c r="F1721" s="46" t="n">
        <x:v>2.307692307692308</x:v>
      </x:c>
      <x:c r="G1721" s="46" t="n">
        <x:v>55</x:v>
      </x:c>
      <x:c r="H1721" s="61" t="n">
        <x:v>64.235</x:v>
      </x:c>
      <x:c r="I1721" s="52" t="n">
        <x:v>0.9666666666666666</x:v>
      </x:c>
      <x:c r="J1721" s="52" t="n">
        <x:v>0.5387976440673568</x:v>
      </x:c>
      <x:c r="K1721" s="60" t="n">
        <x:v>1905.87</x:v>
      </x:c>
      <x:c r="L1721" s="60" t="n">
        <x:v>21.18</x:v>
      </x:c>
      <x:c r="M1721" s="50" t="n">
        <x:v>29</x:v>
      </x:c>
      <x:c r="N1721" s="50" t="n">
        <x:v>1</x:v>
      </x:c>
      <x:c r="O1721" s="50" t="n">
        <x:v>87</x:v>
      </x:c>
      <x:c r="P1721" s="50" t="n">
        <x:v>13</x:v>
      </x:c>
    </x:row>
    <x:row r="1722" ht="36" customHeight="1">
      <x:c r="A1722" s="53" t="n">
        <x:v>1703</x:v>
      </x:c>
      <x:c r="B1722" s="53" t="n">
        <x:v>1</x:v>
      </x:c>
      <x:c r="C1722" s="40" t="str">
        <x:v>High-Value Frequent Shoppers</x:v>
      </x:c>
      <x:c r="D1722" s="60" t="n">
        <x:v>4648.88</x:v>
      </x:c>
      <x:c r="E1722" s="50" t="n">
        <x:v>233</x:v>
      </x:c>
      <x:c r="F1722" s="46" t="n">
        <x:v>11.65</x:v>
      </x:c>
      <x:c r="G1722" s="46" t="n">
        <x:v>3</x:v>
      </x:c>
      <x:c r="H1722" s="61" t="n">
        <x:v>19.95227467811159</x:v>
      </x:c>
      <x:c r="I1722" s="52" t="n">
        <x:v>0.8025751072961373</x:v>
      </x:c>
      <x:c r="J1722" s="52" t="n">
        <x:v>0.4275890106864449</x:v>
      </x:c>
      <x:c r="K1722" s="60" t="n">
        <x:v>4295.64</x:v>
      </x:c>
      <x:c r="L1722" s="60" t="n">
        <x:v>353.24</x:v>
      </x:c>
      <x:c r="M1722" s="50" t="n">
        <x:v>187</x:v>
      </x:c>
      <x:c r="N1722" s="50" t="n">
        <x:v>46</x:v>
      </x:c>
      <x:c r="O1722" s="50" t="n">
        <x:v>141</x:v>
      </x:c>
      <x:c r="P1722" s="50" t="n">
        <x:v>20</x:v>
      </x:c>
    </x:row>
    <x:row r="1723" ht="36" customHeight="1">
      <x:c r="A1723" s="53" t="n">
        <x:v>1704</x:v>
      </x:c>
      <x:c r="B1723" s="53" t="n">
        <x:v>3</x:v>
      </x:c>
      <x:c r="C1723" s="40" t="str">
        <x:v>Low-Value Low-Engagement Shoppers</x:v>
      </x:c>
      <x:c r="D1723" s="60" t="n">
        <x:v>400.83</x:v>
      </x:c>
      <x:c r="E1723" s="50" t="n">
        <x:v>46</x:v>
      </x:c>
      <x:c r="F1723" s="46" t="n">
        <x:v>3.5384615384615383</x:v>
      </x:c>
      <x:c r="G1723" s="46" t="n">
        <x:v>1</x:v>
      </x:c>
      <x:c r="H1723" s="61" t="n">
        <x:v>8.713695652173914</x:v>
      </x:c>
      <x:c r="I1723" s="52" t="n">
        <x:v>0.7608695652173914</x:v>
      </x:c>
      <x:c r="J1723" s="52" t="n">
        <x:v>0.5564453758451213</x:v>
      </x:c>
      <x:c r="K1723" s="60" t="n">
        <x:v>343.37</x:v>
      </x:c>
      <x:c r="L1723" s="60" t="n">
        <x:v>57.46</x:v>
      </x:c>
      <x:c r="M1723" s="50" t="n">
        <x:v>35</x:v>
      </x:c>
      <x:c r="N1723" s="50" t="n">
        <x:v>11</x:v>
      </x:c>
      <x:c r="O1723" s="50" t="n">
        <x:v>47</x:v>
      </x:c>
      <x:c r="P1723" s="50" t="n">
        <x:v>13</x:v>
      </x:c>
    </x:row>
    <x:row r="1724" ht="36" customHeight="1">
      <x:c r="A1724" s="53" t="n">
        <x:v>1705</x:v>
      </x:c>
      <x:c r="B1724" s="53" t="n">
        <x:v>1</x:v>
      </x:c>
      <x:c r="C1724" s="40" t="str">
        <x:v>High-Value Frequent Shoppers</x:v>
      </x:c>
      <x:c r="D1724" s="60" t="n">
        <x:v>1805.93</x:v>
      </x:c>
      <x:c r="E1724" s="50" t="n">
        <x:v>176</x:v>
      </x:c>
      <x:c r="F1724" s="46" t="n">
        <x:v>8</x:v>
      </x:c>
      <x:c r="G1724" s="46" t="n">
        <x:v>2</x:v>
      </x:c>
      <x:c r="H1724" s="61" t="n">
        <x:v>10.260965909090908</x:v>
      </x:c>
      <x:c r="I1724" s="52" t="n">
        <x:v>0.8068181818181818</x:v>
      </x:c>
      <x:c r="J1724" s="52" t="n">
        <x:v>0.4805501874380513</x:v>
      </x:c>
      <x:c r="K1724" s="60" t="n">
        <x:v>1635.8</x:v>
      </x:c>
      <x:c r="L1724" s="60" t="n">
        <x:v>170.13</x:v>
      </x:c>
      <x:c r="M1724" s="50" t="n">
        <x:v>142</x:v>
      </x:c>
      <x:c r="N1724" s="50" t="n">
        <x:v>34</x:v>
      </x:c>
      <x:c r="O1724" s="50" t="n">
        <x:v>129</x:v>
      </x:c>
      <x:c r="P1724" s="50" t="n">
        <x:v>22</x:v>
      </x:c>
    </x:row>
    <x:row r="1725" ht="36" customHeight="1">
      <x:c r="A1725" s="53" t="n">
        <x:v>1706</x:v>
      </x:c>
      <x:c r="B1725" s="53" t="n">
        <x:v>3</x:v>
      </x:c>
      <x:c r="C1725" s="40" t="str">
        <x:v>Low-Value Low-Engagement Shoppers</x:v>
      </x:c>
      <x:c r="D1725" s="60" t="n">
        <x:v>360.07</x:v>
      </x:c>
      <x:c r="E1725" s="50" t="n">
        <x:v>18</x:v>
      </x:c>
      <x:c r="F1725" s="46" t="n">
        <x:v>2.25</x:v>
      </x:c>
      <x:c r="G1725" s="46" t="n">
        <x:v>20</x:v>
      </x:c>
      <x:c r="H1725" s="61" t="n">
        <x:v>20.003888888888888</x:v>
      </x:c>
      <x:c r="I1725" s="52" t="n">
        <x:v>0.8333333333333333</x:v>
      </x:c>
      <x:c r="J1725" s="52" t="n">
        <x:v>0.5156775071513872</x:v>
      </x:c>
      <x:c r="K1725" s="60" t="n">
        <x:v>349.14</x:v>
      </x:c>
      <x:c r="L1725" s="60" t="n">
        <x:v>10.93</x:v>
      </x:c>
      <x:c r="M1725" s="50" t="n">
        <x:v>15</x:v>
      </x:c>
      <x:c r="N1725" s="50" t="n">
        <x:v>3</x:v>
      </x:c>
      <x:c r="O1725" s="50" t="n">
        <x:v>66</x:v>
      </x:c>
      <x:c r="P1725" s="50" t="n">
        <x:v>8</x:v>
      </x:c>
    </x:row>
    <x:row r="1726" ht="36" customHeight="1">
      <x:c r="A1726" s="53" t="n">
        <x:v>1707</x:v>
      </x:c>
      <x:c r="B1726" s="53" t="n">
        <x:v>1</x:v>
      </x:c>
      <x:c r="C1726" s="40" t="str">
        <x:v>High-Value Frequent Shoppers</x:v>
      </x:c>
      <x:c r="D1726" s="60" t="n">
        <x:v>6580.49</x:v>
      </x:c>
      <x:c r="E1726" s="50" t="n">
        <x:v>744</x:v>
      </x:c>
      <x:c r="F1726" s="46" t="n">
        <x:v>31</x:v>
      </x:c>
      <x:c r="G1726" s="46" t="n">
        <x:v>2</x:v>
      </x:c>
      <x:c r="H1726" s="61" t="n">
        <x:v>8.844744623655913</x:v>
      </x:c>
      <x:c r="I1726" s="52" t="n">
        <x:v>0.6236559139784946</x:v>
      </x:c>
      <x:c r="J1726" s="52" t="n">
        <x:v>0.529006198626546</x:v>
      </x:c>
      <x:c r="K1726" s="60" t="n">
        <x:v>5546.11</x:v>
      </x:c>
      <x:c r="L1726" s="60" t="n">
        <x:v>1034.38</x:v>
      </x:c>
      <x:c r="M1726" s="50" t="n">
        <x:v>464</x:v>
      </x:c>
      <x:c r="N1726" s="50" t="n">
        <x:v>280</x:v>
      </x:c>
      <x:c r="O1726" s="50" t="n">
        <x:v>180</x:v>
      </x:c>
      <x:c r="P1726" s="50" t="n">
        <x:v>24</x:v>
      </x:c>
    </x:row>
    <x:row r="1727" ht="36" customHeight="1">
      <x:c r="A1727" s="53" t="n">
        <x:v>1708</x:v>
      </x:c>
      <x:c r="B1727" s="53" t="n">
        <x:v>2</x:v>
      </x:c>
      <x:c r="C1727" s="40" t="str">
        <x:v>Large-Basket Occasional Shoppers</x:v>
      </x:c>
      <x:c r="D1727" s="60" t="n">
        <x:v>3571.6</x:v>
      </x:c>
      <x:c r="E1727" s="50" t="n">
        <x:v>58</x:v>
      </x:c>
      <x:c r="F1727" s="46" t="n">
        <x:v>2.9</x:v>
      </x:c>
      <x:c r="G1727" s="46" t="n">
        <x:v>11</x:v>
      </x:c>
      <x:c r="H1727" s="61" t="n">
        <x:v>61.57931034482759</x:v>
      </x:c>
      <x:c r="I1727" s="52" t="n">
        <x:v>0.9827586206896552</x:v>
      </x:c>
      <x:c r="J1727" s="52" t="n">
        <x:v>0.6296785754283794</x:v>
      </x:c>
      <x:c r="K1727" s="60" t="n">
        <x:v>3557.62</x:v>
      </x:c>
      <x:c r="L1727" s="60" t="n">
        <x:v>13.98</x:v>
      </x:c>
      <x:c r="M1727" s="50" t="n">
        <x:v>57</x:v>
      </x:c>
      <x:c r="N1727" s="50" t="n">
        <x:v>1</x:v>
      </x:c>
      <x:c r="O1727" s="50" t="n">
        <x:v>119</x:v>
      </x:c>
      <x:c r="P1727" s="50" t="n">
        <x:v>20</x:v>
      </x:c>
    </x:row>
    <x:row r="1728" ht="36" customHeight="1">
      <x:c r="A1728" s="53" t="n">
        <x:v>1709</x:v>
      </x:c>
      <x:c r="B1728" s="53" t="n">
        <x:v>1</x:v>
      </x:c>
      <x:c r="C1728" s="40" t="str">
        <x:v>High-Value Frequent Shoppers</x:v>
      </x:c>
      <x:c r="D1728" s="60" t="n">
        <x:v>2141.64</x:v>
      </x:c>
      <x:c r="E1728" s="50" t="n">
        <x:v>87</x:v>
      </x:c>
      <x:c r="F1728" s="46" t="n">
        <x:v>4.142857142857143</x:v>
      </x:c>
      <x:c r="G1728" s="46" t="n">
        <x:v>4</x:v>
      </x:c>
      <x:c r="H1728" s="61" t="n">
        <x:v>24.616551724137928</x:v>
      </x:c>
      <x:c r="I1728" s="52" t="n">
        <x:v>0.8505747126436781</x:v>
      </x:c>
      <x:c r="J1728" s="52" t="n">
        <x:v>0.527492949328552</x:v>
      </x:c>
      <x:c r="K1728" s="60" t="n">
        <x:v>2034.13</x:v>
      </x:c>
      <x:c r="L1728" s="60" t="n">
        <x:v>107.51</x:v>
      </x:c>
      <x:c r="M1728" s="50" t="n">
        <x:v>74</x:v>
      </x:c>
      <x:c r="N1728" s="50" t="n">
        <x:v>13</x:v>
      </x:c>
      <x:c r="O1728" s="50" t="n">
        <x:v>143</x:v>
      </x:c>
      <x:c r="P1728" s="50" t="n">
        <x:v>21</x:v>
      </x:c>
    </x:row>
    <x:row r="1729" ht="36" customHeight="1">
      <x:c r="A1729" s="53" t="n">
        <x:v>1710</x:v>
      </x:c>
      <x:c r="B1729" s="53" t="n">
        <x:v>1</x:v>
      </x:c>
      <x:c r="C1729" s="40" t="str">
        <x:v>High-Value Frequent Shoppers</x:v>
      </x:c>
      <x:c r="D1729" s="60" t="n">
        <x:v>11984.59</x:v>
      </x:c>
      <x:c r="E1729" s="50" t="n">
        <x:v>214</x:v>
      </x:c>
      <x:c r="F1729" s="46" t="n">
        <x:v>9.304347826086955</x:v>
      </x:c>
      <x:c r="G1729" s="46" t="n">
        <x:v>6</x:v>
      </x:c>
      <x:c r="H1729" s="61" t="n">
        <x:v>56.00275700934579</x:v>
      </x:c>
      <x:c r="I1729" s="52" t="n">
        <x:v>0.925233644859813</x:v>
      </x:c>
      <x:c r="J1729" s="52" t="n">
        <x:v>0.5529450736320558</x:v>
      </x:c>
      <x:c r="K1729" s="60" t="n">
        <x:v>11846.14</x:v>
      </x:c>
      <x:c r="L1729" s="60" t="n">
        <x:v>138.45</x:v>
      </x:c>
      <x:c r="M1729" s="50" t="n">
        <x:v>198</x:v>
      </x:c>
      <x:c r="N1729" s="50" t="n">
        <x:v>16</x:v>
      </x:c>
      <x:c r="O1729" s="50" t="n">
        <x:v>179</x:v>
      </x:c>
      <x:c r="P1729" s="50" t="n">
        <x:v>23</x:v>
      </x:c>
    </x:row>
    <x:row r="1730" ht="36" customHeight="1">
      <x:c r="A1730" s="53" t="n">
        <x:v>1711</x:v>
      </x:c>
      <x:c r="B1730" s="53" t="n">
        <x:v>2</x:v>
      </x:c>
      <x:c r="C1730" s="40" t="str">
        <x:v>Large-Basket Occasional Shoppers</x:v>
      </x:c>
      <x:c r="D1730" s="60" t="n">
        <x:v>664.98</x:v>
      </x:c>
      <x:c r="E1730" s="50" t="n">
        <x:v>11</x:v>
      </x:c>
      <x:c r="F1730" s="46" t="n">
        <x:v>1.375</x:v>
      </x:c>
      <x:c r="G1730" s="46" t="n">
        <x:v>66</x:v>
      </x:c>
      <x:c r="H1730" s="61" t="n">
        <x:v>60.45272727272727</x:v>
      </x:c>
      <x:c r="I1730" s="52" t="n">
        <x:v>1</x:v>
      </x:c>
      <x:c r="J1730" s="52" t="n">
        <x:v>0.5546783361905621</x:v>
      </x:c>
      <x:c r="K1730" s="60" t="n">
        <x:v>664.98</x:v>
      </x:c>
      <x:c r="L1730" s="60" t="n">
        <x:v>0</x:v>
      </x:c>
      <x:c r="M1730" s="50" t="n">
        <x:v>11</x:v>
      </x:c>
      <x:c r="N1730" s="50" t="n">
        <x:v>0</x:v>
      </x:c>
      <x:c r="O1730" s="50" t="n">
        <x:v>82</x:v>
      </x:c>
      <x:c r="P1730" s="50" t="n">
        <x:v>8</x:v>
      </x:c>
    </x:row>
    <x:row r="1731" ht="36" customHeight="1">
      <x:c r="A1731" s="53" t="n">
        <x:v>1712</x:v>
      </x:c>
      <x:c r="B1731" s="53" t="n">
        <x:v>2</x:v>
      </x:c>
      <x:c r="C1731" s="40" t="str">
        <x:v>Large-Basket Occasional Shoppers</x:v>
      </x:c>
      <x:c r="D1731" s="60" t="n">
        <x:v>728.93</x:v>
      </x:c>
      <x:c r="E1731" s="50" t="n">
        <x:v>33</x:v>
      </x:c>
      <x:c r="F1731" s="46" t="n">
        <x:v>3.3</x:v>
      </x:c>
      <x:c r="G1731" s="46" t="n">
        <x:v>21</x:v>
      </x:c>
      <x:c r="H1731" s="61" t="n">
        <x:v>22.08878787878788</x:v>
      </x:c>
      <x:c r="I1731" s="52" t="n">
        <x:v>0.8787878787878787</x:v>
      </x:c>
      <x:c r="J1731" s="52" t="n">
        <x:v>0.4497002455654178</x:v>
      </x:c>
      <x:c r="K1731" s="60" t="n">
        <x:v>682.77</x:v>
      </x:c>
      <x:c r="L1731" s="60" t="n">
        <x:v>46.16</x:v>
      </x:c>
      <x:c r="M1731" s="50" t="n">
        <x:v>29</x:v>
      </x:c>
      <x:c r="N1731" s="50" t="n">
        <x:v>4</x:v>
      </x:c>
      <x:c r="O1731" s="50" t="n">
        <x:v>92</x:v>
      </x:c>
      <x:c r="P1731" s="50" t="n">
        <x:v>10</x:v>
      </x:c>
    </x:row>
    <x:row r="1732" ht="36" customHeight="1">
      <x:c r="A1732" s="53" t="n">
        <x:v>1713</x:v>
      </x:c>
      <x:c r="B1732" s="53" t="n">
        <x:v>2</x:v>
      </x:c>
      <x:c r="C1732" s="40" t="str">
        <x:v>Large-Basket Occasional Shoppers</x:v>
      </x:c>
      <x:c r="D1732" s="60" t="n">
        <x:v>1733.81</x:v>
      </x:c>
      <x:c r="E1732" s="50" t="n">
        <x:v>37</x:v>
      </x:c>
      <x:c r="F1732" s="46" t="n">
        <x:v>1.947368421052632</x:v>
      </x:c>
      <x:c r="G1732" s="46" t="n">
        <x:v>7</x:v>
      </x:c>
      <x:c r="H1732" s="61" t="n">
        <x:v>46.85972972972973</x:v>
      </x:c>
      <x:c r="I1732" s="52" t="n">
        <x:v>0.8378378378378378</x:v>
      </x:c>
      <x:c r="J1732" s="52" t="n">
        <x:v>0.3984115906587226</x:v>
      </x:c>
      <x:c r="K1732" s="60" t="n">
        <x:v>1664.39</x:v>
      </x:c>
      <x:c r="L1732" s="60" t="n">
        <x:v>69.42</x:v>
      </x:c>
      <x:c r="M1732" s="50" t="n">
        <x:v>31</x:v>
      </x:c>
      <x:c r="N1732" s="50" t="n">
        <x:v>6</x:v>
      </x:c>
      <x:c r="O1732" s="50" t="n">
        <x:v>57</x:v>
      </x:c>
      <x:c r="P1732" s="50" t="n">
        <x:v>19</x:v>
      </x:c>
    </x:row>
    <x:row r="1733" ht="36" customHeight="1">
      <x:c r="A1733" s="53" t="n">
        <x:v>1714</x:v>
      </x:c>
      <x:c r="B1733" s="53" t="n">
        <x:v>3</x:v>
      </x:c>
      <x:c r="C1733" s="40" t="str">
        <x:v>Low-Value Low-Engagement Shoppers</x:v>
      </x:c>
      <x:c r="D1733" s="60" t="n">
        <x:v>264.72</x:v>
      </x:c>
      <x:c r="E1733" s="50" t="n">
        <x:v>9</x:v>
      </x:c>
      <x:c r="F1733" s="46" t="n">
        <x:v>1.2857142857142856</x:v>
      </x:c>
      <x:c r="G1733" s="46" t="n">
        <x:v>58</x:v>
      </x:c>
      <x:c r="H1733" s="61" t="n">
        <x:v>29.41333333333333</x:v>
      </x:c>
      <x:c r="I1733" s="52" t="n">
        <x:v>0.8888888888888888</x:v>
      </x:c>
      <x:c r="J1733" s="52" t="n">
        <x:v>0.5019265639165911</x:v>
      </x:c>
      <x:c r="K1733" s="60" t="n">
        <x:v>261.47</x:v>
      </x:c>
      <x:c r="L1733" s="60" t="n">
        <x:v>3.25</x:v>
      </x:c>
      <x:c r="M1733" s="50" t="n">
        <x:v>8</x:v>
      </x:c>
      <x:c r="N1733" s="50" t="n">
        <x:v>1</x:v>
      </x:c>
      <x:c r="O1733" s="50" t="n">
        <x:v>43</x:v>
      </x:c>
      <x:c r="P1733" s="50" t="n">
        <x:v>7</x:v>
      </x:c>
    </x:row>
    <x:row r="1734" ht="36" customHeight="1">
      <x:c r="A1734" s="53" t="n">
        <x:v>1715</x:v>
      </x:c>
      <x:c r="B1734" s="53" t="n">
        <x:v>2</x:v>
      </x:c>
      <x:c r="C1734" s="40" t="str">
        <x:v>Large-Basket Occasional Shoppers</x:v>
      </x:c>
      <x:c r="D1734" s="60" t="n">
        <x:v>983.53</x:v>
      </x:c>
      <x:c r="E1734" s="50" t="n">
        <x:v>53</x:v>
      </x:c>
      <x:c r="F1734" s="46" t="n">
        <x:v>2.3043478260869565</x:v>
      </x:c>
      <x:c r="G1734" s="46" t="n">
        <x:v>1</x:v>
      </x:c>
      <x:c r="H1734" s="61" t="n">
        <x:v>18.557169811320755</x:v>
      </x:c>
      <x:c r="I1734" s="52" t="n">
        <x:v>0.8113207547169811</x:v>
      </x:c>
      <x:c r="J1734" s="52" t="n">
        <x:v>0.3788394863400201</x:v>
      </x:c>
      <x:c r="K1734" s="60" t="n">
        <x:v>897.52</x:v>
      </x:c>
      <x:c r="L1734" s="60" t="n">
        <x:v>86.01</x:v>
      </x:c>
      <x:c r="M1734" s="50" t="n">
        <x:v>43</x:v>
      </x:c>
      <x:c r="N1734" s="50" t="n">
        <x:v>10</x:v>
      </x:c>
      <x:c r="O1734" s="50" t="n">
        <x:v>122</x:v>
      </x:c>
      <x:c r="P1734" s="50" t="n">
        <x:v>23</x:v>
      </x:c>
    </x:row>
    <x:row r="1735" ht="36" customHeight="1">
      <x:c r="A1735" s="53" t="n">
        <x:v>1716</x:v>
      </x:c>
      <x:c r="B1735" s="53" t="n">
        <x:v>1</x:v>
      </x:c>
      <x:c r="C1735" s="40" t="str">
        <x:v>High-Value Frequent Shoppers</x:v>
      </x:c>
      <x:c r="D1735" s="60" t="n">
        <x:v>1950.26</x:v>
      </x:c>
      <x:c r="E1735" s="50" t="n">
        <x:v>180</x:v>
      </x:c>
      <x:c r="F1735" s="46" t="n">
        <x:v>9</x:v>
      </x:c>
      <x:c r="G1735" s="46" t="n">
        <x:v>9</x:v>
      </x:c>
      <x:c r="H1735" s="61" t="n">
        <x:v>10.834777777777775</x:v>
      </x:c>
      <x:c r="I1735" s="52" t="n">
        <x:v>0.7833333333333333</x:v>
      </x:c>
      <x:c r="J1735" s="52" t="n">
        <x:v>0.4439767005424917</x:v>
      </x:c>
      <x:c r="K1735" s="60" t="n">
        <x:v>1770.89</x:v>
      </x:c>
      <x:c r="L1735" s="60" t="n">
        <x:v>179.37</x:v>
      </x:c>
      <x:c r="M1735" s="50" t="n">
        <x:v>141</x:v>
      </x:c>
      <x:c r="N1735" s="50" t="n">
        <x:v>39</x:v>
      </x:c>
      <x:c r="O1735" s="50" t="n">
        <x:v>139</x:v>
      </x:c>
      <x:c r="P1735" s="50" t="n">
        <x:v>20</x:v>
      </x:c>
    </x:row>
    <x:row r="1736" ht="36" customHeight="1">
      <x:c r="A1736" s="53" t="n">
        <x:v>1717</x:v>
      </x:c>
      <x:c r="B1736" s="53" t="n">
        <x:v>2</x:v>
      </x:c>
      <x:c r="C1736" s="40" t="str">
        <x:v>Large-Basket Occasional Shoppers</x:v>
      </x:c>
      <x:c r="D1736" s="60" t="n">
        <x:v>1757.9</x:v>
      </x:c>
      <x:c r="E1736" s="50" t="n">
        <x:v>88</x:v>
      </x:c>
      <x:c r="F1736" s="46" t="n">
        <x:v>3.8260869565217392</x:v>
      </x:c>
      <x:c r="G1736" s="46" t="n">
        <x:v>0</x:v>
      </x:c>
      <x:c r="H1736" s="61" t="n">
        <x:v>19.976136363636364</x:v>
      </x:c>
      <x:c r="I1736" s="52" t="n">
        <x:v>0.909090909090909</x:v>
      </x:c>
      <x:c r="J1736" s="52" t="n">
        <x:v>0.7340349280391376</x:v>
      </x:c>
      <x:c r="K1736" s="60" t="n">
        <x:v>1732.56</x:v>
      </x:c>
      <x:c r="L1736" s="60" t="n">
        <x:v>25.34</x:v>
      </x:c>
      <x:c r="M1736" s="50" t="n">
        <x:v>80</x:v>
      </x:c>
      <x:c r="N1736" s="50" t="n">
        <x:v>8</x:v>
      </x:c>
      <x:c r="O1736" s="50" t="n">
        <x:v>69</x:v>
      </x:c>
      <x:c r="P1736" s="50" t="n">
        <x:v>23</x:v>
      </x:c>
    </x:row>
    <x:row r="1737" ht="36" customHeight="1">
      <x:c r="A1737" s="53" t="n">
        <x:v>1718</x:v>
      </x:c>
      <x:c r="B1737" s="53" t="n">
        <x:v>2</x:v>
      </x:c>
      <x:c r="C1737" s="40" t="str">
        <x:v>Large-Basket Occasional Shoppers</x:v>
      </x:c>
      <x:c r="D1737" s="60" t="n">
        <x:v>868.69</x:v>
      </x:c>
      <x:c r="E1737" s="50" t="n">
        <x:v>34</x:v>
      </x:c>
      <x:c r="F1737" s="46" t="n">
        <x:v>2.2666666666666666</x:v>
      </x:c>
      <x:c r="G1737" s="46" t="n">
        <x:v>0</x:v>
      </x:c>
      <x:c r="H1737" s="61" t="n">
        <x:v>25.54970588235294</x:v>
      </x:c>
      <x:c r="I1737" s="52" t="n">
        <x:v>0.9117647058823528</x:v>
      </x:c>
      <x:c r="J1737" s="52" t="n">
        <x:v>0.4732643405587724</x:v>
      </x:c>
      <x:c r="K1737" s="60" t="n">
        <x:v>811.26</x:v>
      </x:c>
      <x:c r="L1737" s="60" t="n">
        <x:v>57.43</x:v>
      </x:c>
      <x:c r="M1737" s="50" t="n">
        <x:v>31</x:v>
      </x:c>
      <x:c r="N1737" s="50" t="n">
        <x:v>3</x:v>
      </x:c>
      <x:c r="O1737" s="50" t="n">
        <x:v>97</x:v>
      </x:c>
      <x:c r="P1737" s="50" t="n">
        <x:v>15</x:v>
      </x:c>
    </x:row>
    <x:row r="1738" ht="36" customHeight="1">
      <x:c r="A1738" s="53" t="n">
        <x:v>1719</x:v>
      </x:c>
      <x:c r="B1738" s="53" t="n">
        <x:v>1</x:v>
      </x:c>
      <x:c r="C1738" s="40" t="str">
        <x:v>High-Value Frequent Shoppers</x:v>
      </x:c>
      <x:c r="D1738" s="60" t="n">
        <x:v>3402.45</x:v>
      </x:c>
      <x:c r="E1738" s="50" t="n">
        <x:v>83</x:v>
      </x:c>
      <x:c r="F1738" s="46" t="n">
        <x:v>4.368421052631579</x:v>
      </x:c>
      <x:c r="G1738" s="46" t="n">
        <x:v>2</x:v>
      </x:c>
      <x:c r="H1738" s="61" t="n">
        <x:v>40.9933734939759</x:v>
      </x:c>
      <x:c r="I1738" s="52" t="n">
        <x:v>0.8072289156626506</x:v>
      </x:c>
      <x:c r="J1738" s="52" t="n">
        <x:v>0.4486884450910373</x:v>
      </x:c>
      <x:c r="K1738" s="60" t="n">
        <x:v>3242.91</x:v>
      </x:c>
      <x:c r="L1738" s="60" t="n">
        <x:v>159.54</x:v>
      </x:c>
      <x:c r="M1738" s="50" t="n">
        <x:v>67</x:v>
      </x:c>
      <x:c r="N1738" s="50" t="n">
        <x:v>16</x:v>
      </x:c>
      <x:c r="O1738" s="50" t="n">
        <x:v>158</x:v>
      </x:c>
      <x:c r="P1738" s="50" t="n">
        <x:v>19</x:v>
      </x:c>
    </x:row>
    <x:row r="1739" ht="36" customHeight="1">
      <x:c r="A1739" s="53" t="n">
        <x:v>1720</x:v>
      </x:c>
      <x:c r="B1739" s="53" t="n">
        <x:v>1</x:v>
      </x:c>
      <x:c r="C1739" s="40" t="str">
        <x:v>High-Value Frequent Shoppers</x:v>
      </x:c>
      <x:c r="D1739" s="60" t="n">
        <x:v>5755.69</x:v>
      </x:c>
      <x:c r="E1739" s="50" t="n">
        <x:v>142</x:v>
      </x:c>
      <x:c r="F1739" s="46" t="n">
        <x:v>6.454545454545455</x:v>
      </x:c>
      <x:c r="G1739" s="46" t="n">
        <x:v>7</x:v>
      </x:c>
      <x:c r="H1739" s="61" t="n">
        <x:v>40.53302816901408</x:v>
      </x:c>
      <x:c r="I1739" s="52" t="n">
        <x:v>0.908450704225352</x:v>
      </x:c>
      <x:c r="J1739" s="52" t="n">
        <x:v>0.3972069378302167</x:v>
      </x:c>
      <x:c r="K1739" s="60" t="n">
        <x:v>5616.52</x:v>
      </x:c>
      <x:c r="L1739" s="60" t="n">
        <x:v>139.17</x:v>
      </x:c>
      <x:c r="M1739" s="50" t="n">
        <x:v>129</x:v>
      </x:c>
      <x:c r="N1739" s="50" t="n">
        <x:v>13</x:v>
      </x:c>
      <x:c r="O1739" s="50" t="n">
        <x:v>153</x:v>
      </x:c>
      <x:c r="P1739" s="50" t="n">
        <x:v>22</x:v>
      </x:c>
    </x:row>
    <x:row r="1740" ht="36" customHeight="1">
      <x:c r="A1740" s="53" t="n">
        <x:v>1721</x:v>
      </x:c>
      <x:c r="B1740" s="53" t="n">
        <x:v>3</x:v>
      </x:c>
      <x:c r="C1740" s="40" t="str">
        <x:v>Low-Value Low-Engagement Shoppers</x:v>
      </x:c>
      <x:c r="D1740" s="60" t="n">
        <x:v>339.59</x:v>
      </x:c>
      <x:c r="E1740" s="50" t="n">
        <x:v>16</x:v>
      </x:c>
      <x:c r="F1740" s="46" t="n">
        <x:v>1.6</x:v>
      </x:c>
      <x:c r="G1740" s="46" t="n">
        <x:v>2</x:v>
      </x:c>
      <x:c r="H1740" s="61" t="n">
        <x:v>21.224375</x:v>
      </x:c>
      <x:c r="I1740" s="52" t="n">
        <x:v>0.875</x:v>
      </x:c>
      <x:c r="J1740" s="52" t="n">
        <x:v>0.570158131864896</x:v>
      </x:c>
      <x:c r="K1740" s="60" t="n">
        <x:v>333.81</x:v>
      </x:c>
      <x:c r="L1740" s="60" t="n">
        <x:v>5.78</x:v>
      </x:c>
      <x:c r="M1740" s="50" t="n">
        <x:v>14</x:v>
      </x:c>
      <x:c r="N1740" s="50" t="n">
        <x:v>2</x:v>
      </x:c>
      <x:c r="O1740" s="50" t="n">
        <x:v>51</x:v>
      </x:c>
      <x:c r="P1740" s="50" t="n">
        <x:v>10</x:v>
      </x:c>
    </x:row>
    <x:row r="1741" ht="36" customHeight="1">
      <x:c r="A1741" s="53" t="n">
        <x:v>1722</x:v>
      </x:c>
      <x:c r="B1741" s="53" t="n">
        <x:v>1</x:v>
      </x:c>
      <x:c r="C1741" s="40" t="str">
        <x:v>High-Value Frequent Shoppers</x:v>
      </x:c>
      <x:c r="D1741" s="60" t="n">
        <x:v>11229.71</x:v>
      </x:c>
      <x:c r="E1741" s="50" t="n">
        <x:v>257</x:v>
      </x:c>
      <x:c r="F1741" s="46" t="n">
        <x:v>10.708333333333332</x:v>
      </x:c>
      <x:c r="G1741" s="46" t="n">
        <x:v>3</x:v>
      </x:c>
      <x:c r="H1741" s="61" t="n">
        <x:v>43.69536964980545</x:v>
      </x:c>
      <x:c r="I1741" s="52" t="n">
        <x:v>0.8871595330739299</x:v>
      </x:c>
      <x:c r="J1741" s="52" t="n">
        <x:v>0.7191200841339624</x:v>
      </x:c>
      <x:c r="K1741" s="60" t="n">
        <x:v>10893.6</x:v>
      </x:c>
      <x:c r="L1741" s="60" t="n">
        <x:v>336.11</x:v>
      </x:c>
      <x:c r="M1741" s="50" t="n">
        <x:v>228</x:v>
      </x:c>
      <x:c r="N1741" s="50" t="n">
        <x:v>29</x:v>
      </x:c>
      <x:c r="O1741" s="50" t="n">
        <x:v>180</x:v>
      </x:c>
      <x:c r="P1741" s="50" t="n">
        <x:v>24</x:v>
      </x:c>
    </x:row>
    <x:row r="1742" ht="36" customHeight="1">
      <x:c r="A1742" s="53" t="n">
        <x:v>1723</x:v>
      </x:c>
      <x:c r="B1742" s="53" t="n">
        <x:v>2</x:v>
      </x:c>
      <x:c r="C1742" s="40" t="str">
        <x:v>Large-Basket Occasional Shoppers</x:v>
      </x:c>
      <x:c r="D1742" s="60" t="n">
        <x:v>4469.22</x:v>
      </x:c>
      <x:c r="E1742" s="50" t="n">
        <x:v>84</x:v>
      </x:c>
      <x:c r="F1742" s="46" t="n">
        <x:v>3.8181818181818175</x:v>
      </x:c>
      <x:c r="G1742" s="46" t="n">
        <x:v>31</x:v>
      </x:c>
      <x:c r="H1742" s="61" t="n">
        <x:v>53.205</x:v>
      </x:c>
      <x:c r="I1742" s="52" t="n">
        <x:v>0.726190476190476</x:v>
      </x:c>
      <x:c r="J1742" s="52" t="n">
        <x:v>0.1260063277260909</x:v>
      </x:c>
      <x:c r="K1742" s="60" t="n">
        <x:v>3499.68</x:v>
      </x:c>
      <x:c r="L1742" s="60" t="n">
        <x:v>969.54</x:v>
      </x:c>
      <x:c r="M1742" s="50" t="n">
        <x:v>61</x:v>
      </x:c>
      <x:c r="N1742" s="50" t="n">
        <x:v>23</x:v>
      </x:c>
      <x:c r="O1742" s="50" t="n">
        <x:v>65</x:v>
      </x:c>
      <x:c r="P1742" s="50" t="n">
        <x:v>22</x:v>
      </x:c>
    </x:row>
    <x:row r="1743" ht="36" customHeight="1">
      <x:c r="A1743" s="53" t="n">
        <x:v>1724</x:v>
      </x:c>
      <x:c r="B1743" s="53" t="n">
        <x:v>2</x:v>
      </x:c>
      <x:c r="C1743" s="40" t="str">
        <x:v>Large-Basket Occasional Shoppers</x:v>
      </x:c>
      <x:c r="D1743" s="60" t="n">
        <x:v>2626.98</x:v>
      </x:c>
      <x:c r="E1743" s="50" t="n">
        <x:v>94</x:v>
      </x:c>
      <x:c r="F1743" s="46" t="n">
        <x:v>4.476190476190476</x:v>
      </x:c>
      <x:c r="G1743" s="46" t="n">
        <x:v>21</x:v>
      </x:c>
      <x:c r="H1743" s="61" t="n">
        <x:v>27.94659574468085</x:v>
      </x:c>
      <x:c r="I1743" s="52" t="n">
        <x:v>0.946808510638298</x:v>
      </x:c>
      <x:c r="J1743" s="52" t="n">
        <x:v>0.3659867985291094</x:v>
      </x:c>
      <x:c r="K1743" s="60" t="n">
        <x:v>2579.82</x:v>
      </x:c>
      <x:c r="L1743" s="60" t="n">
        <x:v>47.16</x:v>
      </x:c>
      <x:c r="M1743" s="50" t="n">
        <x:v>89</x:v>
      </x:c>
      <x:c r="N1743" s="50" t="n">
        <x:v>5</x:v>
      </x:c>
      <x:c r="O1743" s="50" t="n">
        <x:v>148</x:v>
      </x:c>
      <x:c r="P1743" s="50" t="n">
        <x:v>21</x:v>
      </x:c>
    </x:row>
    <x:row r="1744" ht="36" customHeight="1">
      <x:c r="A1744" s="53" t="n">
        <x:v>1725</x:v>
      </x:c>
      <x:c r="B1744" s="53" t="n">
        <x:v>3</x:v>
      </x:c>
      <x:c r="C1744" s="40" t="str">
        <x:v>Low-Value Low-Engagement Shoppers</x:v>
      </x:c>
      <x:c r="D1744" s="60" t="n">
        <x:v>826.74</x:v>
      </x:c>
      <x:c r="E1744" s="50" t="n">
        <x:v>19</x:v>
      </x:c>
      <x:c r="F1744" s="46" t="n">
        <x:v>1.9</x:v>
      </x:c>
      <x:c r="G1744" s="46" t="n">
        <x:v>0</x:v>
      </x:c>
      <x:c r="H1744" s="61" t="n">
        <x:v>43.51263157894737</x:v>
      </x:c>
      <x:c r="I1744" s="52" t="n">
        <x:v>0.5263157894736842</x:v>
      </x:c>
      <x:c r="J1744" s="52" t="n">
        <x:v>0.2077194764980525</x:v>
      </x:c>
      <x:c r="K1744" s="60" t="n">
        <x:v>669.09</x:v>
      </x:c>
      <x:c r="L1744" s="60" t="n">
        <x:v>157.65</x:v>
      </x:c>
      <x:c r="M1744" s="50" t="n">
        <x:v>10</x:v>
      </x:c>
      <x:c r="N1744" s="50" t="n">
        <x:v>9</x:v>
      </x:c>
      <x:c r="O1744" s="50" t="n">
        <x:v>83</x:v>
      </x:c>
      <x:c r="P1744" s="50" t="n">
        <x:v>10</x:v>
      </x:c>
    </x:row>
    <x:row r="1745" ht="36" customHeight="1">
      <x:c r="A1745" s="53" t="n">
        <x:v>1726</x:v>
      </x:c>
      <x:c r="B1745" s="53" t="n">
        <x:v>1</x:v>
      </x:c>
      <x:c r="C1745" s="40" t="str">
        <x:v>High-Value Frequent Shoppers</x:v>
      </x:c>
      <x:c r="D1745" s="60" t="n">
        <x:v>8131.91</x:v>
      </x:c>
      <x:c r="E1745" s="50" t="n">
        <x:v>182</x:v>
      </x:c>
      <x:c r="F1745" s="46" t="n">
        <x:v>7.913043478260869</x:v>
      </x:c>
      <x:c r="G1745" s="46" t="n">
        <x:v>0</x:v>
      </x:c>
      <x:c r="H1745" s="61" t="n">
        <x:v>44.68082417582418</x:v>
      </x:c>
      <x:c r="I1745" s="52" t="n">
        <x:v>0.8956043956043956</x:v>
      </x:c>
      <x:c r="J1745" s="52" t="n">
        <x:v>0.5439853613726664</x:v>
      </x:c>
      <x:c r="K1745" s="60" t="n">
        <x:v>7945.48</x:v>
      </x:c>
      <x:c r="L1745" s="60" t="n">
        <x:v>186.43</x:v>
      </x:c>
      <x:c r="M1745" s="50" t="n">
        <x:v>163</x:v>
      </x:c>
      <x:c r="N1745" s="50" t="n">
        <x:v>19</x:v>
      </x:c>
      <x:c r="O1745" s="50" t="n">
        <x:v>177</x:v>
      </x:c>
      <x:c r="P1745" s="50" t="n">
        <x:v>23</x:v>
      </x:c>
    </x:row>
    <x:row r="1746" ht="36" customHeight="1">
      <x:c r="A1746" s="53" t="n">
        <x:v>1727</x:v>
      </x:c>
      <x:c r="B1746" s="53" t="n">
        <x:v>2</x:v>
      </x:c>
      <x:c r="C1746" s="40" t="str">
        <x:v>Large-Basket Occasional Shoppers</x:v>
      </x:c>
      <x:c r="D1746" s="60" t="n">
        <x:v>149.01</x:v>
      </x:c>
      <x:c r="E1746" s="50" t="n">
        <x:v>2</x:v>
      </x:c>
      <x:c r="F1746" s="46" t="n">
        <x:v>2</x:v>
      </x:c>
      <x:c r="G1746" s="46" t="n">
        <x:v>593</x:v>
      </x:c>
      <x:c r="H1746" s="61" t="n">
        <x:v>74.505</x:v>
      </x:c>
      <x:c r="I1746" s="52" t="n">
        <x:v>1</x:v>
      </x:c>
      <x:c r="J1746" s="52" t="n">
        <x:v>0.6715656667337762</x:v>
      </x:c>
      <x:c r="K1746" s="60" t="n">
        <x:v>149.01</x:v>
      </x:c>
      <x:c r="L1746" s="60" t="n">
        <x:v>0</x:v>
      </x:c>
      <x:c r="M1746" s="50" t="n">
        <x:v>2</x:v>
      </x:c>
      <x:c r="N1746" s="50" t="n">
        <x:v>0</x:v>
      </x:c>
      <x:c r="O1746" s="50" t="n">
        <x:v>16</x:v>
      </x:c>
      <x:c r="P1746" s="50" t="n">
        <x:v>1</x:v>
      </x:c>
    </x:row>
    <x:row r="1747" ht="36" customHeight="1">
      <x:c r="A1747" s="53" t="n">
        <x:v>1728</x:v>
      </x:c>
      <x:c r="B1747" s="53" t="n">
        <x:v>2</x:v>
      </x:c>
      <x:c r="C1747" s="40" t="str">
        <x:v>Large-Basket Occasional Shoppers</x:v>
      </x:c>
      <x:c r="D1747" s="60" t="n">
        <x:v>1517.18</x:v>
      </x:c>
      <x:c r="E1747" s="50" t="n">
        <x:v>21</x:v>
      </x:c>
      <x:c r="F1747" s="46" t="n">
        <x:v>1.5</x:v>
      </x:c>
      <x:c r="G1747" s="46" t="n">
        <x:v>5</x:v>
      </x:c>
      <x:c r="H1747" s="61" t="n">
        <x:v>72.24666666666666</x:v>
      </x:c>
      <x:c r="I1747" s="52" t="n">
        <x:v>0.9047619047619048</x:v>
      </x:c>
      <x:c r="J1747" s="52" t="n">
        <x:v>0.5385320133405396</x:v>
      </x:c>
      <x:c r="K1747" s="60" t="n">
        <x:v>1478.6</x:v>
      </x:c>
      <x:c r="L1747" s="60" t="n">
        <x:v>38.58</x:v>
      </x:c>
      <x:c r="M1747" s="50" t="n">
        <x:v>19</x:v>
      </x:c>
      <x:c r="N1747" s="50" t="n">
        <x:v>2</x:v>
      </x:c>
      <x:c r="O1747" s="50" t="n">
        <x:v>97</x:v>
      </x:c>
      <x:c r="P1747" s="50" t="n">
        <x:v>14</x:v>
      </x:c>
    </x:row>
    <x:row r="1748" ht="36" customHeight="1">
      <x:c r="A1748" s="53" t="n">
        <x:v>1729</x:v>
      </x:c>
      <x:c r="B1748" s="53" t="n">
        <x:v>1</x:v>
      </x:c>
      <x:c r="C1748" s="40" t="str">
        <x:v>High-Value Frequent Shoppers</x:v>
      </x:c>
      <x:c r="D1748" s="60" t="n">
        <x:v>2910.61</x:v>
      </x:c>
      <x:c r="E1748" s="50" t="n">
        <x:v>85</x:v>
      </x:c>
      <x:c r="F1748" s="46" t="n">
        <x:v>4.047619047619048</x:v>
      </x:c>
      <x:c r="G1748" s="46" t="n">
        <x:v>5</x:v>
      </x:c>
      <x:c r="H1748" s="61" t="n">
        <x:v>34.24247058823529</x:v>
      </x:c>
      <x:c r="I1748" s="52" t="n">
        <x:v>0.8588235294117647</x:v>
      </x:c>
      <x:c r="J1748" s="52" t="n">
        <x:v>0.5754051556202995</x:v>
      </x:c>
      <x:c r="K1748" s="60" t="n">
        <x:v>2732.6</x:v>
      </x:c>
      <x:c r="L1748" s="60" t="n">
        <x:v>178.01</x:v>
      </x:c>
      <x:c r="M1748" s="50" t="n">
        <x:v>73</x:v>
      </x:c>
      <x:c r="N1748" s="50" t="n">
        <x:v>12</x:v>
      </x:c>
      <x:c r="O1748" s="50" t="n">
        <x:v>156</x:v>
      </x:c>
      <x:c r="P1748" s="50" t="n">
        <x:v>21</x:v>
      </x:c>
    </x:row>
    <x:row r="1749" ht="36" customHeight="1">
      <x:c r="A1749" s="53" t="n">
        <x:v>1730</x:v>
      </x:c>
      <x:c r="B1749" s="53" t="n">
        <x:v>2</x:v>
      </x:c>
      <x:c r="C1749" s="40" t="str">
        <x:v>Large-Basket Occasional Shoppers</x:v>
      </x:c>
      <x:c r="D1749" s="60" t="n">
        <x:v>3509.78</x:v>
      </x:c>
      <x:c r="E1749" s="50" t="n">
        <x:v>167</x:v>
      </x:c>
      <x:c r="F1749" s="46" t="n">
        <x:v>7.260869565217391</x:v>
      </x:c>
      <x:c r="G1749" s="46" t="n">
        <x:v>4</x:v>
      </x:c>
      <x:c r="H1749" s="61" t="n">
        <x:v>21.016646706586823</x:v>
      </x:c>
      <x:c r="I1749" s="52" t="n">
        <x:v>0.8622754491017964</x:v>
      </x:c>
      <x:c r="J1749" s="52" t="n">
        <x:v>0.8516146311164802</x:v>
      </x:c>
      <x:c r="K1749" s="60" t="n">
        <x:v>3019.78</x:v>
      </x:c>
      <x:c r="L1749" s="60" t="n">
        <x:v>490</x:v>
      </x:c>
      <x:c r="M1749" s="50" t="n">
        <x:v>144</x:v>
      </x:c>
      <x:c r="N1749" s="50" t="n">
        <x:v>23</x:v>
      </x:c>
      <x:c r="O1749" s="50" t="n">
        <x:v>23</x:v>
      </x:c>
      <x:c r="P1749" s="50" t="n">
        <x:v>23</x:v>
      </x:c>
    </x:row>
    <x:row r="1750" ht="36" customHeight="1">
      <x:c r="A1750" s="53" t="n">
        <x:v>1731</x:v>
      </x:c>
      <x:c r="B1750" s="53" t="n">
        <x:v>2</x:v>
      </x:c>
      <x:c r="C1750" s="40" t="str">
        <x:v>Large-Basket Occasional Shoppers</x:v>
      </x:c>
      <x:c r="D1750" s="60" t="n">
        <x:v>3451.81</x:v>
      </x:c>
      <x:c r="E1750" s="50" t="n">
        <x:v>72</x:v>
      </x:c>
      <x:c r="F1750" s="46" t="n">
        <x:v>3.6</x:v>
      </x:c>
      <x:c r="G1750" s="46" t="n">
        <x:v>8</x:v>
      </x:c>
      <x:c r="H1750" s="61" t="n">
        <x:v>47.94180555555556</x:v>
      </x:c>
      <x:c r="I1750" s="52" t="n">
        <x:v>0.9861111111111112</x:v>
      </x:c>
      <x:c r="J1750" s="52" t="n">
        <x:v>0.6535585678238373</x:v>
      </x:c>
      <x:c r="K1750" s="60" t="n">
        <x:v>3430.61</x:v>
      </x:c>
      <x:c r="L1750" s="60" t="n">
        <x:v>21.2</x:v>
      </x:c>
      <x:c r="M1750" s="50" t="n">
        <x:v>71</x:v>
      </x:c>
      <x:c r="N1750" s="50" t="n">
        <x:v>1</x:v>
      </x:c>
      <x:c r="O1750" s="50" t="n">
        <x:v>144</x:v>
      </x:c>
      <x:c r="P1750" s="50" t="n">
        <x:v>20</x:v>
      </x:c>
    </x:row>
    <x:row r="1751" ht="36" customHeight="1">
      <x:c r="A1751" s="53" t="n">
        <x:v>1732</x:v>
      </x:c>
      <x:c r="B1751" s="53" t="n">
        <x:v>1</x:v>
      </x:c>
      <x:c r="C1751" s="40" t="str">
        <x:v>High-Value Frequent Shoppers</x:v>
      </x:c>
      <x:c r="D1751" s="60" t="n">
        <x:v>3427.3</x:v>
      </x:c>
      <x:c r="E1751" s="50" t="n">
        <x:v>98</x:v>
      </x:c>
      <x:c r="F1751" s="46" t="n">
        <x:v>4.666666666666666</x:v>
      </x:c>
      <x:c r="G1751" s="46" t="n">
        <x:v>8</x:v>
      </x:c>
      <x:c r="H1751" s="61" t="n">
        <x:v>34.97244897959184</x:v>
      </x:c>
      <x:c r="I1751" s="52" t="n">
        <x:v>0.9489795918367346</x:v>
      </x:c>
      <x:c r="J1751" s="52" t="n">
        <x:v>0.5255740670498643</x:v>
      </x:c>
      <x:c r="K1751" s="60" t="n">
        <x:v>3372.99</x:v>
      </x:c>
      <x:c r="L1751" s="60" t="n">
        <x:v>54.31</x:v>
      </x:c>
      <x:c r="M1751" s="50" t="n">
        <x:v>93</x:v>
      </x:c>
      <x:c r="N1751" s="50" t="n">
        <x:v>5</x:v>
      </x:c>
      <x:c r="O1751" s="50" t="n">
        <x:v>159</x:v>
      </x:c>
      <x:c r="P1751" s="50" t="n">
        <x:v>21</x:v>
      </x:c>
    </x:row>
    <x:row r="1752" ht="36" customHeight="1">
      <x:c r="A1752" s="53" t="n">
        <x:v>1733</x:v>
      </x:c>
      <x:c r="B1752" s="53" t="n">
        <x:v>2</x:v>
      </x:c>
      <x:c r="C1752" s="40" t="str">
        <x:v>Large-Basket Occasional Shoppers</x:v>
      </x:c>
      <x:c r="D1752" s="60" t="n">
        <x:v>1487.37</x:v>
      </x:c>
      <x:c r="E1752" s="50" t="n">
        <x:v>34</x:v>
      </x:c>
      <x:c r="F1752" s="46" t="n">
        <x:v>3.090909090909091</x:v>
      </x:c>
      <x:c r="G1752" s="46" t="n">
        <x:v>2</x:v>
      </x:c>
      <x:c r="H1752" s="61" t="n">
        <x:v>43.74617647058824</x:v>
      </x:c>
      <x:c r="I1752" s="52" t="n">
        <x:v>0.8529411764705882</x:v>
      </x:c>
      <x:c r="J1752" s="52" t="n">
        <x:v>0.2845963008531838</x:v>
      </x:c>
      <x:c r="K1752" s="60" t="n">
        <x:v>1375.91</x:v>
      </x:c>
      <x:c r="L1752" s="60" t="n">
        <x:v>111.46</x:v>
      </x:c>
      <x:c r="M1752" s="50" t="n">
        <x:v>29</x:v>
      </x:c>
      <x:c r="N1752" s="50" t="n">
        <x:v>5</x:v>
      </x:c>
      <x:c r="O1752" s="50" t="n">
        <x:v>109</x:v>
      </x:c>
      <x:c r="P1752" s="50" t="n">
        <x:v>11</x:v>
      </x:c>
    </x:row>
    <x:row r="1753" ht="36" customHeight="1">
      <x:c r="A1753" s="53" t="n">
        <x:v>1734</x:v>
      </x:c>
      <x:c r="B1753" s="53" t="n">
        <x:v>3</x:v>
      </x:c>
      <x:c r="C1753" s="40" t="str">
        <x:v>Low-Value Low-Engagement Shoppers</x:v>
      </x:c>
      <x:c r="D1753" s="60" t="n">
        <x:v>161.78</x:v>
      </x:c>
      <x:c r="E1753" s="50" t="n">
        <x:v>19</x:v>
      </x:c>
      <x:c r="F1753" s="46" t="n">
        <x:v>1.4615384615384617</x:v>
      </x:c>
      <x:c r="G1753" s="46" t="n">
        <x:v>34</x:v>
      </x:c>
      <x:c r="H1753" s="61" t="n">
        <x:v>8.514736842105263</x:v>
      </x:c>
      <x:c r="I1753" s="52" t="n">
        <x:v>0.894736842105263</x:v>
      </x:c>
      <x:c r="J1753" s="52" t="n">
        <x:v>0.5335022870564964</x:v>
      </x:c>
      <x:c r="K1753" s="60" t="n">
        <x:v>149.91</x:v>
      </x:c>
      <x:c r="L1753" s="60" t="n">
        <x:v>11.87</x:v>
      </x:c>
      <x:c r="M1753" s="50" t="n">
        <x:v>17</x:v>
      </x:c>
      <x:c r="N1753" s="50" t="n">
        <x:v>2</x:v>
      </x:c>
      <x:c r="O1753" s="50" t="n">
        <x:v>31</x:v>
      </x:c>
      <x:c r="P1753" s="50" t="n">
        <x:v>13</x:v>
      </x:c>
    </x:row>
    <x:row r="1754" ht="36" customHeight="1">
      <x:c r="A1754" s="53" t="n">
        <x:v>1735</x:v>
      </x:c>
      <x:c r="B1754" s="53" t="n">
        <x:v>1</x:v>
      </x:c>
      <x:c r="C1754" s="40" t="str">
        <x:v>High-Value Frequent Shoppers</x:v>
      </x:c>
      <x:c r="D1754" s="60" t="n">
        <x:v>3902.77</x:v>
      </x:c>
      <x:c r="E1754" s="50" t="n">
        <x:v>93</x:v>
      </x:c>
      <x:c r="F1754" s="46" t="n">
        <x:v>4.894736842105263</x:v>
      </x:c>
      <x:c r="G1754" s="46" t="n">
        <x:v>0</x:v>
      </x:c>
      <x:c r="H1754" s="61" t="n">
        <x:v>41.965268817204304</x:v>
      </x:c>
      <x:c r="I1754" s="52" t="n">
        <x:v>0.913978494623656</x:v>
      </x:c>
      <x:c r="J1754" s="52" t="n">
        <x:v>0.4122994693512556</x:v>
      </x:c>
      <x:c r="K1754" s="60" t="n">
        <x:v>3836.45</x:v>
      </x:c>
      <x:c r="L1754" s="60" t="n">
        <x:v>66.32</x:v>
      </x:c>
      <x:c r="M1754" s="50" t="n">
        <x:v>85</x:v>
      </x:c>
      <x:c r="N1754" s="50" t="n">
        <x:v>8</x:v>
      </x:c>
      <x:c r="O1754" s="50" t="n">
        <x:v>155</x:v>
      </x:c>
      <x:c r="P1754" s="50" t="n">
        <x:v>19</x:v>
      </x:c>
    </x:row>
    <x:row r="1755" ht="36" customHeight="1">
      <x:c r="A1755" s="53" t="n">
        <x:v>1736</x:v>
      </x:c>
      <x:c r="B1755" s="53" t="n">
        <x:v>3</x:v>
      </x:c>
      <x:c r="C1755" s="40" t="str">
        <x:v>Low-Value Low-Engagement Shoppers</x:v>
      </x:c>
      <x:c r="D1755" s="60" t="n">
        <x:v>374.48</x:v>
      </x:c>
      <x:c r="E1755" s="50" t="n">
        <x:v>22</x:v>
      </x:c>
      <x:c r="F1755" s="46" t="n">
        <x:v>1.8333333333333333</x:v>
      </x:c>
      <x:c r="G1755" s="46" t="n">
        <x:v>81</x:v>
      </x:c>
      <x:c r="H1755" s="61" t="n">
        <x:v>17.02181818181818</x:v>
      </x:c>
      <x:c r="I1755" s="52" t="n">
        <x:v>0.8181818181818181</x:v>
      </x:c>
      <x:c r="J1755" s="52" t="n">
        <x:v>0.5608310190130315</x:v>
      </x:c>
      <x:c r="K1755" s="60" t="n">
        <x:v>352.44</x:v>
      </x:c>
      <x:c r="L1755" s="60" t="n">
        <x:v>22.04</x:v>
      </x:c>
      <x:c r="M1755" s="50" t="n">
        <x:v>18</x:v>
      </x:c>
      <x:c r="N1755" s="50" t="n">
        <x:v>4</x:v>
      </x:c>
      <x:c r="O1755" s="50" t="n">
        <x:v>54</x:v>
      </x:c>
      <x:c r="P1755" s="50" t="n">
        <x:v>12</x:v>
      </x:c>
    </x:row>
    <x:row r="1756" ht="36" customHeight="1">
      <x:c r="A1756" s="53" t="n">
        <x:v>1737</x:v>
      </x:c>
      <x:c r="B1756" s="53" t="n">
        <x:v>3</x:v>
      </x:c>
      <x:c r="C1756" s="40" t="str">
        <x:v>Low-Value Low-Engagement Shoppers</x:v>
      </x:c>
      <x:c r="D1756" s="60" t="n">
        <x:v>350.94</x:v>
      </x:c>
      <x:c r="E1756" s="50" t="n">
        <x:v>27</x:v>
      </x:c>
      <x:c r="F1756" s="46" t="n">
        <x:v>3.375</x:v>
      </x:c>
      <x:c r="G1756" s="46" t="n">
        <x:v>27</x:v>
      </x:c>
      <x:c r="H1756" s="61" t="n">
        <x:v>12.997777777777776</x:v>
      </x:c>
      <x:c r="I1756" s="52" t="n">
        <x:v>1</x:v>
      </x:c>
      <x:c r="J1756" s="52" t="n">
        <x:v>0.6160597253091696</x:v>
      </x:c>
      <x:c r="K1756" s="60" t="n">
        <x:v>350.94</x:v>
      </x:c>
      <x:c r="L1756" s="60" t="n">
        <x:v>0</x:v>
      </x:c>
      <x:c r="M1756" s="50" t="n">
        <x:v>27</x:v>
      </x:c>
      <x:c r="N1756" s="50" t="n">
        <x:v>0</x:v>
      </x:c>
      <x:c r="O1756" s="50" t="n">
        <x:v>59</x:v>
      </x:c>
      <x:c r="P1756" s="50" t="n">
        <x:v>8</x:v>
      </x:c>
    </x:row>
    <x:row r="1757" ht="36" customHeight="1">
      <x:c r="A1757" s="53" t="n">
        <x:v>1738</x:v>
      </x:c>
      <x:c r="B1757" s="53" t="n">
        <x:v>2</x:v>
      </x:c>
      <x:c r="C1757" s="40" t="str">
        <x:v>Large-Basket Occasional Shoppers</x:v>
      </x:c>
      <x:c r="D1757" s="60" t="n">
        <x:v>1379.36</x:v>
      </x:c>
      <x:c r="E1757" s="50" t="n">
        <x:v>62</x:v>
      </x:c>
      <x:c r="F1757" s="46" t="n">
        <x:v>2.6956521739130435</x:v>
      </x:c>
      <x:c r="G1757" s="46" t="n">
        <x:v>31</x:v>
      </x:c>
      <x:c r="H1757" s="61" t="n">
        <x:v>22.247741935483877</x:v>
      </x:c>
      <x:c r="I1757" s="52" t="n">
        <x:v>0.9193548387096774</x:v>
      </x:c>
      <x:c r="J1757" s="52" t="n">
        <x:v>0.6980338707806518</x:v>
      </x:c>
      <x:c r="K1757" s="60" t="n">
        <x:v>1334.64</x:v>
      </x:c>
      <x:c r="L1757" s="60" t="n">
        <x:v>44.72</x:v>
      </x:c>
      <x:c r="M1757" s="50" t="n">
        <x:v>57</x:v>
      </x:c>
      <x:c r="N1757" s="50" t="n">
        <x:v>5</x:v>
      </x:c>
      <x:c r="O1757" s="50" t="n">
        <x:v>76</x:v>
      </x:c>
      <x:c r="P1757" s="50" t="n">
        <x:v>23</x:v>
      </x:c>
    </x:row>
    <x:row r="1758" ht="36" customHeight="1">
      <x:c r="A1758" s="53" t="n">
        <x:v>1739</x:v>
      </x:c>
      <x:c r="B1758" s="53" t="n">
        <x:v>2</x:v>
      </x:c>
      <x:c r="C1758" s="40" t="str">
        <x:v>Large-Basket Occasional Shoppers</x:v>
      </x:c>
      <x:c r="D1758" s="60" t="n">
        <x:v>778.4</x:v>
      </x:c>
      <x:c r="E1758" s="50" t="n">
        <x:v>34</x:v>
      </x:c>
      <x:c r="F1758" s="46" t="n">
        <x:v>2</x:v>
      </x:c>
      <x:c r="G1758" s="46" t="n">
        <x:v>2</x:v>
      </x:c>
      <x:c r="H1758" s="61" t="n">
        <x:v>22.894117647058824</x:v>
      </x:c>
      <x:c r="I1758" s="52" t="n">
        <x:v>0.9705882352941176</x:v>
      </x:c>
      <x:c r="J1758" s="52" t="n">
        <x:v>0.604997430626927</x:v>
      </x:c>
      <x:c r="K1758" s="60" t="n">
        <x:v>761.41</x:v>
      </x:c>
      <x:c r="L1758" s="60" t="n">
        <x:v>16.99</x:v>
      </x:c>
      <x:c r="M1758" s="50" t="n">
        <x:v>33</x:v>
      </x:c>
      <x:c r="N1758" s="50" t="n">
        <x:v>1</x:v>
      </x:c>
      <x:c r="O1758" s="50" t="n">
        <x:v>77</x:v>
      </x:c>
      <x:c r="P1758" s="50" t="n">
        <x:v>17</x:v>
      </x:c>
    </x:row>
    <x:row r="1759" ht="36" customHeight="1">
      <x:c r="A1759" s="53" t="n">
        <x:v>1740</x:v>
      </x:c>
      <x:c r="B1759" s="53" t="n">
        <x:v>1</x:v>
      </x:c>
      <x:c r="C1759" s="40" t="str">
        <x:v>High-Value Frequent Shoppers</x:v>
      </x:c>
      <x:c r="D1759" s="60" t="n">
        <x:v>11938.2</x:v>
      </x:c>
      <x:c r="E1759" s="50" t="n">
        <x:v>390</x:v>
      </x:c>
      <x:c r="F1759" s="46" t="n">
        <x:v>21.666666666666664</x:v>
      </x:c>
      <x:c r="G1759" s="46" t="n">
        <x:v>2</x:v>
      </x:c>
      <x:c r="H1759" s="61" t="n">
        <x:v>30.610769230769236</x:v>
      </x:c>
      <x:c r="I1759" s="52" t="n">
        <x:v>0.8897435897435897</x:v>
      </x:c>
      <x:c r="J1759" s="52" t="n">
        <x:v>0.4320751872141528</x:v>
      </x:c>
      <x:c r="K1759" s="60" t="n">
        <x:v>11360.95</x:v>
      </x:c>
      <x:c r="L1759" s="60" t="n">
        <x:v>577.25</x:v>
      </x:c>
      <x:c r="M1759" s="50" t="n">
        <x:v>347</x:v>
      </x:c>
      <x:c r="N1759" s="50" t="n">
        <x:v>43</x:v>
      </x:c>
      <x:c r="O1759" s="50" t="n">
        <x:v>172</x:v>
      </x:c>
      <x:c r="P1759" s="50" t="n">
        <x:v>18</x:v>
      </x:c>
    </x:row>
    <x:row r="1760" ht="36" customHeight="1">
      <x:c r="A1760" s="53" t="n">
        <x:v>1741</x:v>
      </x:c>
      <x:c r="B1760" s="53" t="n">
        <x:v>3</x:v>
      </x:c>
      <x:c r="C1760" s="40" t="str">
        <x:v>Low-Value Low-Engagement Shoppers</x:v>
      </x:c>
      <x:c r="D1760" s="60" t="n">
        <x:v>161.99</x:v>
      </x:c>
      <x:c r="E1760" s="50" t="n">
        <x:v>15</x:v>
      </x:c>
      <x:c r="F1760" s="46" t="n">
        <x:v>1.3636363636363635</x:v>
      </x:c>
      <x:c r="G1760" s="46" t="n">
        <x:v>16</x:v>
      </x:c>
      <x:c r="H1760" s="61" t="n">
        <x:v>10.799333333333331</x:v>
      </x:c>
      <x:c r="I1760" s="52" t="n">
        <x:v>0.6666666666666666</x:v>
      </x:c>
      <x:c r="J1760" s="52" t="n">
        <x:v>0.4182356935613309</x:v>
      </x:c>
      <x:c r="K1760" s="60" t="n">
        <x:v>130.46</x:v>
      </x:c>
      <x:c r="L1760" s="60" t="n">
        <x:v>31.53</x:v>
      </x:c>
      <x:c r="M1760" s="50" t="n">
        <x:v>10</x:v>
      </x:c>
      <x:c r="N1760" s="50" t="n">
        <x:v>5</x:v>
      </x:c>
      <x:c r="O1760" s="50" t="n">
        <x:v>44</x:v>
      </x:c>
      <x:c r="P1760" s="50" t="n">
        <x:v>11</x:v>
      </x:c>
    </x:row>
    <x:row r="1761" ht="36" customHeight="1">
      <x:c r="A1761" s="53" t="n">
        <x:v>1742</x:v>
      </x:c>
      <x:c r="B1761" s="53" t="n">
        <x:v>3</x:v>
      </x:c>
      <x:c r="C1761" s="40" t="str">
        <x:v>Low-Value Low-Engagement Shoppers</x:v>
      </x:c>
      <x:c r="D1761" s="60" t="n">
        <x:v>2140.1</x:v>
      </x:c>
      <x:c r="E1761" s="50" t="n">
        <x:v>282</x:v>
      </x:c>
      <x:c r="F1761" s="46" t="n">
        <x:v>12.818181818181818</x:v>
      </x:c>
      <x:c r="G1761" s="46" t="n">
        <x:v>9</x:v>
      </x:c>
      <x:c r="H1761" s="61" t="n">
        <x:v>7.589007092198581</x:v>
      </x:c>
      <x:c r="I1761" s="52" t="n">
        <x:v>0.7446808510638298</x:v>
      </x:c>
      <x:c r="J1761" s="52" t="n">
        <x:v>0.3138171113499369</x:v>
      </x:c>
      <x:c r="K1761" s="60" t="n">
        <x:v>1746.06</x:v>
      </x:c>
      <x:c r="L1761" s="60" t="n">
        <x:v>394.04</x:v>
      </x:c>
      <x:c r="M1761" s="50" t="n">
        <x:v>210</x:v>
      </x:c>
      <x:c r="N1761" s="50" t="n">
        <x:v>72</x:v>
      </x:c>
      <x:c r="O1761" s="50" t="n">
        <x:v>79</x:v>
      </x:c>
      <x:c r="P1761" s="50" t="n">
        <x:v>22</x:v>
      </x:c>
    </x:row>
    <x:row r="1762" ht="36" customHeight="1">
      <x:c r="A1762" s="53" t="n">
        <x:v>1743</x:v>
      </x:c>
      <x:c r="B1762" s="53" t="n">
        <x:v>2</x:v>
      </x:c>
      <x:c r="C1762" s="40" t="str">
        <x:v>Large-Basket Occasional Shoppers</x:v>
      </x:c>
      <x:c r="D1762" s="60" t="n">
        <x:v>1168.94</x:v>
      </x:c>
      <x:c r="E1762" s="50" t="n">
        <x:v>43</x:v>
      </x:c>
      <x:c r="F1762" s="46" t="n">
        <x:v>2.263157894736842</x:v>
      </x:c>
      <x:c r="G1762" s="46" t="n">
        <x:v>9</x:v>
      </x:c>
      <x:c r="H1762" s="61" t="n">
        <x:v>27.184651162790697</x:v>
      </x:c>
      <x:c r="I1762" s="52" t="n">
        <x:v>0.9534883720930232</x:v>
      </x:c>
      <x:c r="J1762" s="52" t="n">
        <x:v>0.7023286054031856</x:v>
      </x:c>
      <x:c r="K1762" s="60" t="n">
        <x:v>1160.16</x:v>
      </x:c>
      <x:c r="L1762" s="60" t="n">
        <x:v>8.78</x:v>
      </x:c>
      <x:c r="M1762" s="50" t="n">
        <x:v>41</x:v>
      </x:c>
      <x:c r="N1762" s="50" t="n">
        <x:v>2</x:v>
      </x:c>
      <x:c r="O1762" s="50" t="n">
        <x:v>104</x:v>
      </x:c>
      <x:c r="P1762" s="50" t="n">
        <x:v>19</x:v>
      </x:c>
    </x:row>
    <x:row r="1763" ht="36" customHeight="1">
      <x:c r="A1763" s="53" t="n">
        <x:v>1744</x:v>
      </x:c>
      <x:c r="B1763" s="53" t="n">
        <x:v>3</x:v>
      </x:c>
      <x:c r="C1763" s="40" t="str">
        <x:v>Low-Value Low-Engagement Shoppers</x:v>
      </x:c>
      <x:c r="D1763" s="60" t="n">
        <x:v>1088.62</x:v>
      </x:c>
      <x:c r="E1763" s="50" t="n">
        <x:v>57</x:v>
      </x:c>
      <x:c r="F1763" s="46" t="n">
        <x:v>2.590909090909091</x:v>
      </x:c>
      <x:c r="G1763" s="46" t="n">
        <x:v>8</x:v>
      </x:c>
      <x:c r="H1763" s="61" t="n">
        <x:v>19.098596491228072</x:v>
      </x:c>
      <x:c r="I1763" s="52" t="n">
        <x:v>0.6842105263157894</x:v>
      </x:c>
      <x:c r="J1763" s="52" t="n">
        <x:v>0.3155095441935661</x:v>
      </x:c>
      <x:c r="K1763" s="60" t="n">
        <x:v>902.25</x:v>
      </x:c>
      <x:c r="L1763" s="60" t="n">
        <x:v>186.37</x:v>
      </x:c>
      <x:c r="M1763" s="50" t="n">
        <x:v>39</x:v>
      </x:c>
      <x:c r="N1763" s="50" t="n">
        <x:v>18</x:v>
      </x:c>
      <x:c r="O1763" s="50" t="n">
        <x:v>77</x:v>
      </x:c>
      <x:c r="P1763" s="50" t="n">
        <x:v>22</x:v>
      </x:c>
    </x:row>
    <x:row r="1764" ht="36" customHeight="1">
      <x:c r="A1764" s="53" t="n">
        <x:v>1745</x:v>
      </x:c>
      <x:c r="B1764" s="53" t="n">
        <x:v>2</x:v>
      </x:c>
      <x:c r="C1764" s="40" t="str">
        <x:v>Large-Basket Occasional Shoppers</x:v>
      </x:c>
      <x:c r="D1764" s="60" t="n">
        <x:v>2591.48</x:v>
      </x:c>
      <x:c r="E1764" s="50" t="n">
        <x:v>125</x:v>
      </x:c>
      <x:c r="F1764" s="46" t="n">
        <x:v>5.208333333333333</x:v>
      </x:c>
      <x:c r="G1764" s="46" t="n">
        <x:v>6</x:v>
      </x:c>
      <x:c r="H1764" s="61" t="n">
        <x:v>20.73184</x:v>
      </x:c>
      <x:c r="I1764" s="52" t="n">
        <x:v>0.824</x:v>
      </x:c>
      <x:c r="J1764" s="52" t="n">
        <x:v>0.4610184141880315</x:v>
      </x:c>
      <x:c r="K1764" s="60" t="n">
        <x:v>2469.1</x:v>
      </x:c>
      <x:c r="L1764" s="60" t="n">
        <x:v>122.38</x:v>
      </x:c>
      <x:c r="M1764" s="50" t="n">
        <x:v>103</x:v>
      </x:c>
      <x:c r="N1764" s="50" t="n">
        <x:v>22</x:v>
      </x:c>
      <x:c r="O1764" s="50" t="n">
        <x:v>100</x:v>
      </x:c>
      <x:c r="P1764" s="50" t="n">
        <x:v>24</x:v>
      </x:c>
    </x:row>
    <x:row r="1765" ht="36" customHeight="1">
      <x:c r="A1765" s="53" t="n">
        <x:v>1746</x:v>
      </x:c>
      <x:c r="B1765" s="53" t="n">
        <x:v>2</x:v>
      </x:c>
      <x:c r="C1765" s="40" t="str">
        <x:v>Large-Basket Occasional Shoppers</x:v>
      </x:c>
      <x:c r="D1765" s="60" t="n">
        <x:v>2177.16</x:v>
      </x:c>
      <x:c r="E1765" s="50" t="n">
        <x:v>48</x:v>
      </x:c>
      <x:c r="F1765" s="46" t="n">
        <x:v>2.526315789473684</x:v>
      </x:c>
      <x:c r="G1765" s="46" t="n">
        <x:v>57</x:v>
      </x:c>
      <x:c r="H1765" s="61" t="n">
        <x:v>45.3575</x:v>
      </x:c>
      <x:c r="I1765" s="52" t="n">
        <x:v>0.9791666666666666</x:v>
      </x:c>
      <x:c r="J1765" s="52" t="n">
        <x:v>0.5013963144647156</x:v>
      </x:c>
      <x:c r="K1765" s="60" t="n">
        <x:v>2162.48</x:v>
      </x:c>
      <x:c r="L1765" s="60" t="n">
        <x:v>14.68</x:v>
      </x:c>
      <x:c r="M1765" s="50" t="n">
        <x:v>47</x:v>
      </x:c>
      <x:c r="N1765" s="50" t="n">
        <x:v>1</x:v>
      </x:c>
      <x:c r="O1765" s="50" t="n">
        <x:v>119</x:v>
      </x:c>
      <x:c r="P1765" s="50" t="n">
        <x:v>19</x:v>
      </x:c>
    </x:row>
    <x:row r="1766" ht="36" customHeight="1">
      <x:c r="A1766" s="53" t="n">
        <x:v>1747</x:v>
      </x:c>
      <x:c r="B1766" s="53" t="n">
        <x:v>2</x:v>
      </x:c>
      <x:c r="C1766" s="40" t="str">
        <x:v>Large-Basket Occasional Shoppers</x:v>
      </x:c>
      <x:c r="D1766" s="60" t="n">
        <x:v>3066.6</x:v>
      </x:c>
      <x:c r="E1766" s="50" t="n">
        <x:v>92</x:v>
      </x:c>
      <x:c r="F1766" s="46" t="n">
        <x:v>4.3809523809523805</x:v>
      </x:c>
      <x:c r="G1766" s="46" t="n">
        <x:v>9</x:v>
      </x:c>
      <x:c r="H1766" s="61" t="n">
        <x:v>33.33260869565217</x:v>
      </x:c>
      <x:c r="I1766" s="52" t="n">
        <x:v>0.934782608695652</x:v>
      </x:c>
      <x:c r="J1766" s="52" t="n">
        <x:v>0.6815039457379508</x:v>
      </x:c>
      <x:c r="K1766" s="60" t="n">
        <x:v>3033.63</x:v>
      </x:c>
      <x:c r="L1766" s="60" t="n">
        <x:v>32.97</x:v>
      </x:c>
      <x:c r="M1766" s="50" t="n">
        <x:v>86</x:v>
      </x:c>
      <x:c r="N1766" s="50" t="n">
        <x:v>6</x:v>
      </x:c>
      <x:c r="O1766" s="50" t="n">
        <x:v>124</x:v>
      </x:c>
      <x:c r="P1766" s="50" t="n">
        <x:v>21</x:v>
      </x:c>
    </x:row>
    <x:row r="1767" ht="36" customHeight="1">
      <x:c r="A1767" s="53" t="n">
        <x:v>1748</x:v>
      </x:c>
      <x:c r="B1767" s="53" t="n">
        <x:v>1</x:v>
      </x:c>
      <x:c r="C1767" s="40" t="str">
        <x:v>High-Value Frequent Shoppers</x:v>
      </x:c>
      <x:c r="D1767" s="60" t="n">
        <x:v>5161.78</x:v>
      </x:c>
      <x:c r="E1767" s="50" t="n">
        <x:v>244</x:v>
      </x:c>
      <x:c r="F1767" s="46" t="n">
        <x:v>11.61904761904762</x:v>
      </x:c>
      <x:c r="G1767" s="46" t="n">
        <x:v>2</x:v>
      </x:c>
      <x:c r="H1767" s="61" t="n">
        <x:v>21.154836065573768</x:v>
      </x:c>
      <x:c r="I1767" s="52" t="n">
        <x:v>0.8278688524590163</x:v>
      </x:c>
      <x:c r="J1767" s="52" t="n">
        <x:v>0.5414701905156748</x:v>
      </x:c>
      <x:c r="K1767" s="60" t="n">
        <x:v>4810.25</x:v>
      </x:c>
      <x:c r="L1767" s="60" t="n">
        <x:v>351.53</x:v>
      </x:c>
      <x:c r="M1767" s="50" t="n">
        <x:v>202</x:v>
      </x:c>
      <x:c r="N1767" s="50" t="n">
        <x:v>42</x:v>
      </x:c>
      <x:c r="O1767" s="50" t="n">
        <x:v>157</x:v>
      </x:c>
      <x:c r="P1767" s="50" t="n">
        <x:v>21</x:v>
      </x:c>
    </x:row>
    <x:row r="1768" ht="36" customHeight="1">
      <x:c r="A1768" s="53" t="n">
        <x:v>1749</x:v>
      </x:c>
      <x:c r="B1768" s="53" t="n">
        <x:v>1</x:v>
      </x:c>
      <x:c r="C1768" s="40" t="str">
        <x:v>High-Value Frequent Shoppers</x:v>
      </x:c>
      <x:c r="D1768" s="60" t="n">
        <x:v>4209.35</x:v>
      </x:c>
      <x:c r="E1768" s="50" t="n">
        <x:v>122</x:v>
      </x:c>
      <x:c r="F1768" s="46" t="n">
        <x:v>5.809523809523809</x:v>
      </x:c>
      <x:c r="G1768" s="46" t="n">
        <x:v>7</x:v>
      </x:c>
      <x:c r="H1768" s="61" t="n">
        <x:v>34.50286885245902</x:v>
      </x:c>
      <x:c r="I1768" s="52" t="n">
        <x:v>0.8524590163934426</x:v>
      </x:c>
      <x:c r="J1768" s="52" t="n">
        <x:v>0.5485645052086426</x:v>
      </x:c>
      <x:c r="K1768" s="60" t="n">
        <x:v>4036</x:v>
      </x:c>
      <x:c r="L1768" s="60" t="n">
        <x:v>173.35</x:v>
      </x:c>
      <x:c r="M1768" s="50" t="n">
        <x:v>104</x:v>
      </x:c>
      <x:c r="N1768" s="50" t="n">
        <x:v>18</x:v>
      </x:c>
      <x:c r="O1768" s="50" t="n">
        <x:v>141</x:v>
      </x:c>
      <x:c r="P1768" s="50" t="n">
        <x:v>21</x:v>
      </x:c>
    </x:row>
    <x:row r="1769" ht="36" customHeight="1">
      <x:c r="A1769" s="53" t="n">
        <x:v>1750</x:v>
      </x:c>
      <x:c r="B1769" s="53" t="n">
        <x:v>2</x:v>
      </x:c>
      <x:c r="C1769" s="40" t="str">
        <x:v>Large-Basket Occasional Shoppers</x:v>
      </x:c>
      <x:c r="D1769" s="60" t="n">
        <x:v>736.42</x:v>
      </x:c>
      <x:c r="E1769" s="50" t="n">
        <x:v>20</x:v>
      </x:c>
      <x:c r="F1769" s="46" t="n">
        <x:v>1.5384615384615383</x:v>
      </x:c>
      <x:c r="G1769" s="46" t="n">
        <x:v>41</x:v>
      </x:c>
      <x:c r="H1769" s="61" t="n">
        <x:v>36.821</x:v>
      </x:c>
      <x:c r="I1769" s="52" t="n">
        <x:v>0.9</x:v>
      </x:c>
      <x:c r="J1769" s="52" t="n">
        <x:v>0.5785421362809267</x:v>
      </x:c>
      <x:c r="K1769" s="60" t="n">
        <x:v>719.95</x:v>
      </x:c>
      <x:c r="L1769" s="60" t="n">
        <x:v>16.47</x:v>
      </x:c>
      <x:c r="M1769" s="50" t="n">
        <x:v>18</x:v>
      </x:c>
      <x:c r="N1769" s="50" t="n">
        <x:v>2</x:v>
      </x:c>
      <x:c r="O1769" s="50" t="n">
        <x:v>76</x:v>
      </x:c>
      <x:c r="P1769" s="50" t="n">
        <x:v>13</x:v>
      </x:c>
    </x:row>
    <x:row r="1770" ht="36" customHeight="1">
      <x:c r="A1770" s="53" t="n">
        <x:v>1751</x:v>
      </x:c>
      <x:c r="B1770" s="53" t="n">
        <x:v>1</x:v>
      </x:c>
      <x:c r="C1770" s="40" t="str">
        <x:v>High-Value Frequent Shoppers</x:v>
      </x:c>
      <x:c r="D1770" s="60" t="n">
        <x:v>4142.87</x:v>
      </x:c>
      <x:c r="E1770" s="50" t="n">
        <x:v>141</x:v>
      </x:c>
      <x:c r="F1770" s="46" t="n">
        <x:v>7.421052631578947</x:v>
      </x:c>
      <x:c r="G1770" s="46" t="n">
        <x:v>2</x:v>
      </x:c>
      <x:c r="H1770" s="61" t="n">
        <x:v>29.38205673758865</x:v>
      </x:c>
      <x:c r="I1770" s="52" t="n">
        <x:v>0.9290780141843972</x:v>
      </x:c>
      <x:c r="J1770" s="52" t="n">
        <x:v>0.5889347239956841</x:v>
      </x:c>
      <x:c r="K1770" s="60" t="n">
        <x:v>4051.57</x:v>
      </x:c>
      <x:c r="L1770" s="60" t="n">
        <x:v>91.3</x:v>
      </x:c>
      <x:c r="M1770" s="50" t="n">
        <x:v>131</x:v>
      </x:c>
      <x:c r="N1770" s="50" t="n">
        <x:v>10</x:v>
      </x:c>
      <x:c r="O1770" s="50" t="n">
        <x:v>147</x:v>
      </x:c>
      <x:c r="P1770" s="50" t="n">
        <x:v>19</x:v>
      </x:c>
    </x:row>
    <x:row r="1771" ht="36" customHeight="1">
      <x:c r="A1771" s="53" t="n">
        <x:v>1752</x:v>
      </x:c>
      <x:c r="B1771" s="53" t="n">
        <x:v>1</x:v>
      </x:c>
      <x:c r="C1771" s="40" t="str">
        <x:v>High-Value Frequent Shoppers</x:v>
      </x:c>
      <x:c r="D1771" s="60" t="n">
        <x:v>6593.81</x:v>
      </x:c>
      <x:c r="E1771" s="50" t="n">
        <x:v>195</x:v>
      </x:c>
      <x:c r="F1771" s="46" t="n">
        <x:v>8.478260869565217</x:v>
      </x:c>
      <x:c r="G1771" s="46" t="n">
        <x:v>5</x:v>
      </x:c>
      <x:c r="H1771" s="61" t="n">
        <x:v>33.814410256410255</x:v>
      </x:c>
      <x:c r="I1771" s="52" t="n">
        <x:v>0.8307692307692307</x:v>
      </x:c>
      <x:c r="J1771" s="52" t="n">
        <x:v>0.5512715713676918</x:v>
      </x:c>
      <x:c r="K1771" s="60" t="n">
        <x:v>6339.98</x:v>
      </x:c>
      <x:c r="L1771" s="60" t="n">
        <x:v>253.83</x:v>
      </x:c>
      <x:c r="M1771" s="50" t="n">
        <x:v>162</x:v>
      </x:c>
      <x:c r="N1771" s="50" t="n">
        <x:v>33</x:v>
      </x:c>
      <x:c r="O1771" s="50" t="n">
        <x:v>149</x:v>
      </x:c>
      <x:c r="P1771" s="50" t="n">
        <x:v>23</x:v>
      </x:c>
    </x:row>
    <x:row r="1772" ht="36" customHeight="1">
      <x:c r="A1772" s="53" t="n">
        <x:v>1753</x:v>
      </x:c>
      <x:c r="B1772" s="53" t="n">
        <x:v>1</x:v>
      </x:c>
      <x:c r="C1772" s="40" t="str">
        <x:v>High-Value Frequent Shoppers</x:v>
      </x:c>
      <x:c r="D1772" s="60" t="n">
        <x:v>2964.05</x:v>
      </x:c>
      <x:c r="E1772" s="50" t="n">
        <x:v>456</x:v>
      </x:c>
      <x:c r="F1772" s="46" t="n">
        <x:v>21.714285714285715</x:v>
      </x:c>
      <x:c r="G1772" s="46" t="n">
        <x:v>0</x:v>
      </x:c>
      <x:c r="H1772" s="61" t="n">
        <x:v>6.500109649122807</x:v>
      </x:c>
      <x:c r="I1772" s="52" t="n">
        <x:v>0.7807017543859649</x:v>
      </x:c>
      <x:c r="J1772" s="52" t="n">
        <x:v>0.5930230596649854</x:v>
      </x:c>
      <x:c r="K1772" s="60" t="n">
        <x:v>2621.99</x:v>
      </x:c>
      <x:c r="L1772" s="60" t="n">
        <x:v>342.06</x:v>
      </x:c>
      <x:c r="M1772" s="50" t="n">
        <x:v>356</x:v>
      </x:c>
      <x:c r="N1772" s="50" t="n">
        <x:v>100</x:v>
      </x:c>
      <x:c r="O1772" s="50" t="n">
        <x:v>149</x:v>
      </x:c>
      <x:c r="P1772" s="50" t="n">
        <x:v>21</x:v>
      </x:c>
    </x:row>
    <x:row r="1773" ht="36" customHeight="1">
      <x:c r="A1773" s="53" t="n">
        <x:v>1754</x:v>
      </x:c>
      <x:c r="B1773" s="53" t="n">
        <x:v>1</x:v>
      </x:c>
      <x:c r="C1773" s="40" t="str">
        <x:v>High-Value Frequent Shoppers</x:v>
      </x:c>
      <x:c r="D1773" s="60" t="n">
        <x:v>4120.16</x:v>
      </x:c>
      <x:c r="E1773" s="50" t="n">
        <x:v>209</x:v>
      </x:c>
      <x:c r="F1773" s="46" t="n">
        <x:v>9.086956521739127</x:v>
      </x:c>
      <x:c r="G1773" s="46" t="n">
        <x:v>7</x:v>
      </x:c>
      <x:c r="H1773" s="61" t="n">
        <x:v>19.71368421052632</x:v>
      </x:c>
      <x:c r="I1773" s="52" t="n">
        <x:v>0.8516746411483253</x:v>
      </x:c>
      <x:c r="J1773" s="52" t="n">
        <x:v>0.6831360918022601</x:v>
      </x:c>
      <x:c r="K1773" s="60" t="n">
        <x:v>3681.35</x:v>
      </x:c>
      <x:c r="L1773" s="60" t="n">
        <x:v>438.81</x:v>
      </x:c>
      <x:c r="M1773" s="50" t="n">
        <x:v>178</x:v>
      </x:c>
      <x:c r="N1773" s="50" t="n">
        <x:v>31</x:v>
      </x:c>
      <x:c r="O1773" s="50" t="n">
        <x:v>138</x:v>
      </x:c>
      <x:c r="P1773" s="50" t="n">
        <x:v>23</x:v>
      </x:c>
    </x:row>
    <x:row r="1774" ht="36" customHeight="1">
      <x:c r="A1774" s="53" t="n">
        <x:v>1755</x:v>
      </x:c>
      <x:c r="B1774" s="53" t="n">
        <x:v>2</x:v>
      </x:c>
      <x:c r="C1774" s="40" t="str">
        <x:v>Large-Basket Occasional Shoppers</x:v>
      </x:c>
      <x:c r="D1774" s="60" t="n">
        <x:v>1202.51</x:v>
      </x:c>
      <x:c r="E1774" s="50" t="n">
        <x:v>31</x:v>
      </x:c>
      <x:c r="F1774" s="46" t="n">
        <x:v>2.2142857142857144</x:v>
      </x:c>
      <x:c r="G1774" s="46" t="n">
        <x:v>17</x:v>
      </x:c>
      <x:c r="H1774" s="61" t="n">
        <x:v>38.79064516129032</x:v>
      </x:c>
      <x:c r="I1774" s="52" t="n">
        <x:v>0.8064516129032258</x:v>
      </x:c>
      <x:c r="J1774" s="52" t="n">
        <x:v>0.4563288454981663</x:v>
      </x:c>
      <x:c r="K1774" s="60" t="n">
        <x:v>1172.08</x:v>
      </x:c>
      <x:c r="L1774" s="60" t="n">
        <x:v>30.43</x:v>
      </x:c>
      <x:c r="M1774" s="50" t="n">
        <x:v>25</x:v>
      </x:c>
      <x:c r="N1774" s="50" t="n">
        <x:v>6</x:v>
      </x:c>
      <x:c r="O1774" s="50" t="n">
        <x:v>111</x:v>
      </x:c>
      <x:c r="P1774" s="50" t="n">
        <x:v>14</x:v>
      </x:c>
    </x:row>
    <x:row r="1775" ht="36" customHeight="1">
      <x:c r="A1775" s="53" t="n">
        <x:v>1756</x:v>
      </x:c>
      <x:c r="B1775" s="53" t="n">
        <x:v>1</x:v>
      </x:c>
      <x:c r="C1775" s="40" t="str">
        <x:v>High-Value Frequent Shoppers</x:v>
      </x:c>
      <x:c r="D1775" s="60" t="n">
        <x:v>3344.29</x:v>
      </x:c>
      <x:c r="E1775" s="50" t="n">
        <x:v>67</x:v>
      </x:c>
      <x:c r="F1775" s="46" t="n">
        <x:v>3.35</x:v>
      </x:c>
      <x:c r="G1775" s="46" t="n">
        <x:v>4</x:v>
      </x:c>
      <x:c r="H1775" s="61" t="n">
        <x:v>49.91477611940299</x:v>
      </x:c>
      <x:c r="I1775" s="52" t="n">
        <x:v>0.8507462686567164</x:v>
      </x:c>
      <x:c r="J1775" s="52" t="n">
        <x:v>0.4833073686791516</x:v>
      </x:c>
      <x:c r="K1775" s="60" t="n">
        <x:v>3221.19</x:v>
      </x:c>
      <x:c r="L1775" s="60" t="n">
        <x:v>123.1</x:v>
      </x:c>
      <x:c r="M1775" s="50" t="n">
        <x:v>57</x:v>
      </x:c>
      <x:c r="N1775" s="50" t="n">
        <x:v>10</x:v>
      </x:c>
      <x:c r="O1775" s="50" t="n">
        <x:v>159</x:v>
      </x:c>
      <x:c r="P1775" s="50" t="n">
        <x:v>20</x:v>
      </x:c>
    </x:row>
    <x:row r="1776" ht="36" customHeight="1">
      <x:c r="A1776" s="53" t="n">
        <x:v>1757</x:v>
      </x:c>
      <x:c r="B1776" s="53" t="n">
        <x:v>3</x:v>
      </x:c>
      <x:c r="C1776" s="40" t="str">
        <x:v>Low-Value Low-Engagement Shoppers</x:v>
      </x:c>
      <x:c r="D1776" s="60" t="n">
        <x:v>253.11</x:v>
      </x:c>
      <x:c r="E1776" s="50" t="n">
        <x:v>10</x:v>
      </x:c>
      <x:c r="F1776" s="46" t="n">
        <x:v>2</x:v>
      </x:c>
      <x:c r="G1776" s="46" t="n">
        <x:v>257</x:v>
      </x:c>
      <x:c r="H1776" s="61" t="n">
        <x:v>25.311</x:v>
      </x:c>
      <x:c r="I1776" s="52" t="n">
        <x:v>0.7</x:v>
      </x:c>
      <x:c r="J1776" s="52" t="n">
        <x:v>0.3824819248548062</x:v>
      </x:c>
      <x:c r="K1776" s="60" t="n">
        <x:v>210.28</x:v>
      </x:c>
      <x:c r="L1776" s="60" t="n">
        <x:v>42.83</x:v>
      </x:c>
      <x:c r="M1776" s="50" t="n">
        <x:v>7</x:v>
      </x:c>
      <x:c r="N1776" s="50" t="n">
        <x:v>3</x:v>
      </x:c>
      <x:c r="O1776" s="50" t="n">
        <x:v>34</x:v>
      </x:c>
      <x:c r="P1776" s="50" t="n">
        <x:v>5</x:v>
      </x:c>
    </x:row>
    <x:row r="1777" ht="36" customHeight="1">
      <x:c r="A1777" s="53" t="n">
        <x:v>1758</x:v>
      </x:c>
      <x:c r="B1777" s="53" t="n">
        <x:v>2</x:v>
      </x:c>
      <x:c r="C1777" s="40" t="str">
        <x:v>Large-Basket Occasional Shoppers</x:v>
      </x:c>
      <x:c r="D1777" s="60" t="n">
        <x:v>2041.93</x:v>
      </x:c>
      <x:c r="E1777" s="50" t="n">
        <x:v>70</x:v>
      </x:c>
      <x:c r="F1777" s="46" t="n">
        <x:v>3.684210526315789</x:v>
      </x:c>
      <x:c r="G1777" s="46" t="n">
        <x:v>14</x:v>
      </x:c>
      <x:c r="H1777" s="61" t="n">
        <x:v>29.17042857142857</x:v>
      </x:c>
      <x:c r="I1777" s="52" t="n">
        <x:v>0.9</x:v>
      </x:c>
      <x:c r="J1777" s="52" t="n">
        <x:v>0.5096207999294784</x:v>
      </x:c>
      <x:c r="K1777" s="60" t="n">
        <x:v>1919.61</x:v>
      </x:c>
      <x:c r="L1777" s="60" t="n">
        <x:v>122.32</x:v>
      </x:c>
      <x:c r="M1777" s="50" t="n">
        <x:v>63</x:v>
      </x:c>
      <x:c r="N1777" s="50" t="n">
        <x:v>7</x:v>
      </x:c>
      <x:c r="O1777" s="50" t="n">
        <x:v>130</x:v>
      </x:c>
      <x:c r="P1777" s="50" t="n">
        <x:v>19</x:v>
      </x:c>
    </x:row>
    <x:row r="1778" ht="36" customHeight="1">
      <x:c r="A1778" s="53" t="n">
        <x:v>1759</x:v>
      </x:c>
      <x:c r="B1778" s="53" t="n">
        <x:v>1</x:v>
      </x:c>
      <x:c r="C1778" s="40" t="str">
        <x:v>High-Value Frequent Shoppers</x:v>
      </x:c>
      <x:c r="D1778" s="60" t="n">
        <x:v>4009.62</x:v>
      </x:c>
      <x:c r="E1778" s="50" t="n">
        <x:v>218</x:v>
      </x:c>
      <x:c r="F1778" s="46" t="n">
        <x:v>10.38095238095238</x:v>
      </x:c>
      <x:c r="G1778" s="46" t="n">
        <x:v>5</x:v>
      </x:c>
      <x:c r="H1778" s="61" t="n">
        <x:v>18.39275229357798</x:v>
      </x:c>
      <x:c r="I1778" s="52" t="n">
        <x:v>0.6926605504587156</x:v>
      </x:c>
      <x:c r="J1778" s="52" t="n">
        <x:v>0.6268025398915607</x:v>
      </x:c>
      <x:c r="K1778" s="60" t="n">
        <x:v>3728.77</x:v>
      </x:c>
      <x:c r="L1778" s="60" t="n">
        <x:v>280.85</x:v>
      </x:c>
      <x:c r="M1778" s="50" t="n">
        <x:v>151</x:v>
      </x:c>
      <x:c r="N1778" s="50" t="n">
        <x:v>67</x:v>
      </x:c>
      <x:c r="O1778" s="50" t="n">
        <x:v>159</x:v>
      </x:c>
      <x:c r="P1778" s="50" t="n">
        <x:v>21</x:v>
      </x:c>
    </x:row>
    <x:row r="1779" ht="36" customHeight="1">
      <x:c r="A1779" s="53" t="n">
        <x:v>1760</x:v>
      </x:c>
      <x:c r="B1779" s="53" t="n">
        <x:v>3</x:v>
      </x:c>
      <x:c r="C1779" s="40" t="str">
        <x:v>Low-Value Low-Engagement Shoppers</x:v>
      </x:c>
      <x:c r="D1779" s="60" t="n">
        <x:v>563.64</x:v>
      </x:c>
      <x:c r="E1779" s="50" t="n">
        <x:v>53</x:v>
      </x:c>
      <x:c r="F1779" s="46" t="n">
        <x:v>3.3125</x:v>
      </x:c>
      <x:c r="G1779" s="46" t="n">
        <x:v>6</x:v>
      </x:c>
      <x:c r="H1779" s="61" t="n">
        <x:v>10.634716981132076</x:v>
      </x:c>
      <x:c r="I1779" s="52" t="n">
        <x:v>0.6981132075471698</x:v>
      </x:c>
      <x:c r="J1779" s="52" t="n">
        <x:v>0.3614186360087999</x:v>
      </x:c>
      <x:c r="K1779" s="60" t="n">
        <x:v>453.33</x:v>
      </x:c>
      <x:c r="L1779" s="60" t="n">
        <x:v>110.31</x:v>
      </x:c>
      <x:c r="M1779" s="50" t="n">
        <x:v>37</x:v>
      </x:c>
      <x:c r="N1779" s="50" t="n">
        <x:v>16</x:v>
      </x:c>
      <x:c r="O1779" s="50" t="n">
        <x:v>63</x:v>
      </x:c>
      <x:c r="P1779" s="50" t="n">
        <x:v>16</x:v>
      </x:c>
    </x:row>
    <x:row r="1780" ht="36" customHeight="1">
      <x:c r="A1780" s="53" t="n">
        <x:v>1761</x:v>
      </x:c>
      <x:c r="B1780" s="53" t="n">
        <x:v>2</x:v>
      </x:c>
      <x:c r="C1780" s="40" t="str">
        <x:v>Large-Basket Occasional Shoppers</x:v>
      </x:c>
      <x:c r="D1780" s="60" t="n">
        <x:v>1845.46</x:v>
      </x:c>
      <x:c r="E1780" s="50" t="n">
        <x:v>31</x:v>
      </x:c>
      <x:c r="F1780" s="46" t="n">
        <x:v>1.8235294117647056</x:v>
      </x:c>
      <x:c r="G1780" s="46" t="n">
        <x:v>2</x:v>
      </x:c>
      <x:c r="H1780" s="61" t="n">
        <x:v>59.53096774193548</x:v>
      </x:c>
      <x:c r="I1780" s="52" t="n">
        <x:v>0.935483870967742</x:v>
      </x:c>
      <x:c r="J1780" s="52" t="n">
        <x:v>0.3901953984372459</x:v>
      </x:c>
      <x:c r="K1780" s="60" t="n">
        <x:v>1811.9</x:v>
      </x:c>
      <x:c r="L1780" s="60" t="n">
        <x:v>33.56</x:v>
      </x:c>
      <x:c r="M1780" s="50" t="n">
        <x:v>29</x:v>
      </x:c>
      <x:c r="N1780" s="50" t="n">
        <x:v>2</x:v>
      </x:c>
      <x:c r="O1780" s="50" t="n">
        <x:v>116</x:v>
      </x:c>
      <x:c r="P1780" s="50" t="n">
        <x:v>17</x:v>
      </x:c>
    </x:row>
    <x:row r="1781" ht="36" customHeight="1">
      <x:c r="A1781" s="53" t="n">
        <x:v>1762</x:v>
      </x:c>
      <x:c r="B1781" s="53" t="n">
        <x:v>1</x:v>
      </x:c>
      <x:c r="C1781" s="40" t="str">
        <x:v>High-Value Frequent Shoppers</x:v>
      </x:c>
      <x:c r="D1781" s="60" t="n">
        <x:v>15360.14</x:v>
      </x:c>
      <x:c r="E1781" s="50" t="n">
        <x:v>344</x:v>
      </x:c>
      <x:c r="F1781" s="46" t="n">
        <x:v>16.38095238095238</x:v>
      </x:c>
      <x:c r="G1781" s="46" t="n">
        <x:v>0</x:v>
      </x:c>
      <x:c r="H1781" s="61" t="n">
        <x:v>44.651569767441856</x:v>
      </x:c>
      <x:c r="I1781" s="52" t="n">
        <x:v>0.9476744186046512</x:v>
      </x:c>
      <x:c r="J1781" s="52" t="n">
        <x:v>0.6320671556379043</x:v>
      </x:c>
      <x:c r="K1781" s="60" t="n">
        <x:v>15089.06</x:v>
      </x:c>
      <x:c r="L1781" s="60" t="n">
        <x:v>271.08</x:v>
      </x:c>
      <x:c r="M1781" s="50" t="n">
        <x:v>326</x:v>
      </x:c>
      <x:c r="N1781" s="50" t="n">
        <x:v>18</x:v>
      </x:c>
      <x:c r="O1781" s="50" t="n">
        <x:v>203</x:v>
      </x:c>
      <x:c r="P1781" s="50" t="n">
        <x:v>21</x:v>
      </x:c>
    </x:row>
    <x:row r="1782" ht="36" customHeight="1">
      <x:c r="A1782" s="53" t="n">
        <x:v>1763</x:v>
      </x:c>
      <x:c r="B1782" s="53" t="n">
        <x:v>1</x:v>
      </x:c>
      <x:c r="C1782" s="40" t="str">
        <x:v>High-Value Frequent Shoppers</x:v>
      </x:c>
      <x:c r="D1782" s="60" t="n">
        <x:v>3919.37</x:v>
      </x:c>
      <x:c r="E1782" s="50" t="n">
        <x:v>149</x:v>
      </x:c>
      <x:c r="F1782" s="46" t="n">
        <x:v>7.45</x:v>
      </x:c>
      <x:c r="G1782" s="46" t="n">
        <x:v>6</x:v>
      </x:c>
      <x:c r="H1782" s="61" t="n">
        <x:v>26.304496644295305</x:v>
      </x:c>
      <x:c r="I1782" s="52" t="n">
        <x:v>0.6174496644295302</x:v>
      </x:c>
      <x:c r="J1782" s="52" t="n">
        <x:v>0.356621089613892</x:v>
      </x:c>
      <x:c r="K1782" s="60" t="n">
        <x:v>3113.85</x:v>
      </x:c>
      <x:c r="L1782" s="60" t="n">
        <x:v>805.52</x:v>
      </x:c>
      <x:c r="M1782" s="50" t="n">
        <x:v>92</x:v>
      </x:c>
      <x:c r="N1782" s="50" t="n">
        <x:v>57</x:v>
      </x:c>
      <x:c r="O1782" s="50" t="n">
        <x:v>135</x:v>
      </x:c>
      <x:c r="P1782" s="50" t="n">
        <x:v>20</x:v>
      </x:c>
    </x:row>
    <x:row r="1783" ht="36" customHeight="1">
      <x:c r="A1783" s="53" t="n">
        <x:v>1764</x:v>
      </x:c>
      <x:c r="B1783" s="53" t="n">
        <x:v>1</x:v>
      </x:c>
      <x:c r="C1783" s="40" t="str">
        <x:v>High-Value Frequent Shoppers</x:v>
      </x:c>
      <x:c r="D1783" s="60" t="n">
        <x:v>11412.2</x:v>
      </x:c>
      <x:c r="E1783" s="50" t="n">
        <x:v>134</x:v>
      </x:c>
      <x:c r="F1783" s="46" t="n">
        <x:v>6.7</x:v>
      </x:c>
      <x:c r="G1783" s="46" t="n">
        <x:v>4</x:v>
      </x:c>
      <x:c r="H1783" s="61" t="n">
        <x:v>85.16567164179104</x:v>
      </x:c>
      <x:c r="I1783" s="52" t="n">
        <x:v>0.9477611940298508</x:v>
      </x:c>
      <x:c r="J1783" s="52" t="n">
        <x:v>0.4922854489055572</x:v>
      </x:c>
      <x:c r="K1783" s="60" t="n">
        <x:v>11256.39</x:v>
      </x:c>
      <x:c r="L1783" s="60" t="n">
        <x:v>155.81</x:v>
      </x:c>
      <x:c r="M1783" s="50" t="n">
        <x:v>127</x:v>
      </x:c>
      <x:c r="N1783" s="50" t="n">
        <x:v>7</x:v>
      </x:c>
      <x:c r="O1783" s="50" t="n">
        <x:v>204</x:v>
      </x:c>
      <x:c r="P1783" s="50" t="n">
        <x:v>20</x:v>
      </x:c>
    </x:row>
    <x:row r="1784" ht="36" customHeight="1">
      <x:c r="A1784" s="53" t="n">
        <x:v>1765</x:v>
      </x:c>
      <x:c r="B1784" s="53" t="n">
        <x:v>2</x:v>
      </x:c>
      <x:c r="C1784" s="40" t="str">
        <x:v>Large-Basket Occasional Shoppers</x:v>
      </x:c>
      <x:c r="D1784" s="60" t="n">
        <x:v>2949.01</x:v>
      </x:c>
      <x:c r="E1784" s="50" t="n">
        <x:v>62</x:v>
      </x:c>
      <x:c r="F1784" s="46" t="n">
        <x:v>3.444444444444444</x:v>
      </x:c>
      <x:c r="G1784" s="46" t="n">
        <x:v>21</x:v>
      </x:c>
      <x:c r="H1784" s="61" t="n">
        <x:v>47.56467741935484</x:v>
      </x:c>
      <x:c r="I1784" s="52" t="n">
        <x:v>0.8870967741935483</x:v>
      </x:c>
      <x:c r="J1784" s="52" t="n">
        <x:v>0.5374651154116127</x:v>
      </x:c>
      <x:c r="K1784" s="60" t="n">
        <x:v>2883.57</x:v>
      </x:c>
      <x:c r="L1784" s="60" t="n">
        <x:v>65.44</x:v>
      </x:c>
      <x:c r="M1784" s="50" t="n">
        <x:v>55</x:v>
      </x:c>
      <x:c r="N1784" s="50" t="n">
        <x:v>7</x:v>
      </x:c>
      <x:c r="O1784" s="50" t="n">
        <x:v>149</x:v>
      </x:c>
      <x:c r="P1784" s="50" t="n">
        <x:v>18</x:v>
      </x:c>
    </x:row>
    <x:row r="1785" ht="36" customHeight="1">
      <x:c r="A1785" s="53" t="n">
        <x:v>1766</x:v>
      </x:c>
      <x:c r="B1785" s="53" t="n">
        <x:v>3</x:v>
      </x:c>
      <x:c r="C1785" s="40" t="str">
        <x:v>Low-Value Low-Engagement Shoppers</x:v>
      </x:c>
      <x:c r="D1785" s="60" t="n">
        <x:v>460.68</x:v>
      </x:c>
      <x:c r="E1785" s="50" t="n">
        <x:v>38</x:v>
      </x:c>
      <x:c r="F1785" s="46" t="n">
        <x:v>2.375</x:v>
      </x:c>
      <x:c r="G1785" s="46" t="n">
        <x:v>4</x:v>
      </x:c>
      <x:c r="H1785" s="61" t="n">
        <x:v>12.123157894736842</x:v>
      </x:c>
      <x:c r="I1785" s="52" t="n">
        <x:v>0.7631578947368421</x:v>
      </x:c>
      <x:c r="J1785" s="52" t="n">
        <x:v>0.5449986975774941</x:v>
      </x:c>
      <x:c r="K1785" s="60" t="n">
        <x:v>416.43</x:v>
      </x:c>
      <x:c r="L1785" s="60" t="n">
        <x:v>44.25</x:v>
      </x:c>
      <x:c r="M1785" s="50" t="n">
        <x:v>29</x:v>
      </x:c>
      <x:c r="N1785" s="50" t="n">
        <x:v>9</x:v>
      </x:c>
      <x:c r="O1785" s="50" t="n">
        <x:v>75</x:v>
      </x:c>
      <x:c r="P1785" s="50" t="n">
        <x:v>16</x:v>
      </x:c>
    </x:row>
    <x:row r="1786" ht="36" customHeight="1">
      <x:c r="A1786" s="53" t="n">
        <x:v>1767</x:v>
      </x:c>
      <x:c r="B1786" s="53" t="n">
        <x:v>1</x:v>
      </x:c>
      <x:c r="C1786" s="40" t="str">
        <x:v>High-Value Frequent Shoppers</x:v>
      </x:c>
      <x:c r="D1786" s="60" t="n">
        <x:v>9204.22</x:v>
      </x:c>
      <x:c r="E1786" s="50" t="n">
        <x:v>483</x:v>
      </x:c>
      <x:c r="F1786" s="46" t="n">
        <x:v>20.125</x:v>
      </x:c>
      <x:c r="G1786" s="46" t="n">
        <x:v>1</x:v>
      </x:c>
      <x:c r="H1786" s="61" t="n">
        <x:v>19.05635610766045</x:v>
      </x:c>
      <x:c r="I1786" s="52" t="n">
        <x:v>0.8550724637681159</x:v>
      </x:c>
      <x:c r="J1786" s="52" t="n">
        <x:v>0.6327488912694395</x:v>
      </x:c>
      <x:c r="K1786" s="60" t="n">
        <x:v>8851.63</x:v>
      </x:c>
      <x:c r="L1786" s="60" t="n">
        <x:v>352.59</x:v>
      </x:c>
      <x:c r="M1786" s="50" t="n">
        <x:v>413</x:v>
      </x:c>
      <x:c r="N1786" s="50" t="n">
        <x:v>70</x:v>
      </x:c>
      <x:c r="O1786" s="50" t="n">
        <x:v>198</x:v>
      </x:c>
      <x:c r="P1786" s="50" t="n">
        <x:v>24</x:v>
      </x:c>
    </x:row>
    <x:row r="1787" ht="36" customHeight="1">
      <x:c r="A1787" s="53" t="n">
        <x:v>1768</x:v>
      </x:c>
      <x:c r="B1787" s="53" t="n">
        <x:v>2</x:v>
      </x:c>
      <x:c r="C1787" s="40" t="str">
        <x:v>Large-Basket Occasional Shoppers</x:v>
      </x:c>
      <x:c r="D1787" s="60" t="n">
        <x:v>1522.47</x:v>
      </x:c>
      <x:c r="E1787" s="50" t="n">
        <x:v>69</x:v>
      </x:c>
      <x:c r="F1787" s="46" t="n">
        <x:v>3.631578947368421</x:v>
      </x:c>
      <x:c r="G1787" s="46" t="n">
        <x:v>2</x:v>
      </x:c>
      <x:c r="H1787" s="61" t="n">
        <x:v>22.064782608695648</x:v>
      </x:c>
      <x:c r="I1787" s="52" t="n">
        <x:v>0.8405797101449275</x:v>
      </x:c>
      <x:c r="J1787" s="52" t="n">
        <x:v>0.6490768291000807</x:v>
      </x:c>
      <x:c r="K1787" s="60" t="n">
        <x:v>1454.26</x:v>
      </x:c>
      <x:c r="L1787" s="60" t="n">
        <x:v>68.21</x:v>
      </x:c>
      <x:c r="M1787" s="50" t="n">
        <x:v>58</x:v>
      </x:c>
      <x:c r="N1787" s="50" t="n">
        <x:v>11</x:v>
      </x:c>
      <x:c r="O1787" s="50" t="n">
        <x:v>94</x:v>
      </x:c>
      <x:c r="P1787" s="50" t="n">
        <x:v>19</x:v>
      </x:c>
    </x:row>
    <x:row r="1788" ht="36" customHeight="1">
      <x:c r="A1788" s="53" t="n">
        <x:v>1769</x:v>
      </x:c>
      <x:c r="B1788" s="53" t="n">
        <x:v>1</x:v>
      </x:c>
      <x:c r="C1788" s="40" t="str">
        <x:v>High-Value Frequent Shoppers</x:v>
      </x:c>
      <x:c r="D1788" s="60" t="n">
        <x:v>7447.28</x:v>
      </x:c>
      <x:c r="E1788" s="50" t="n">
        <x:v>156</x:v>
      </x:c>
      <x:c r="F1788" s="46" t="n">
        <x:v>6.782608695652174</x:v>
      </x:c>
      <x:c r="G1788" s="46" t="n">
        <x:v>0</x:v>
      </x:c>
      <x:c r="H1788" s="61" t="n">
        <x:v>47.73897435897436</x:v>
      </x:c>
      <x:c r="I1788" s="52" t="n">
        <x:v>0.923076923076923</x:v>
      </x:c>
      <x:c r="J1788" s="52" t="n">
        <x:v>0.4012176257640373</x:v>
      </x:c>
      <x:c r="K1788" s="60" t="n">
        <x:v>7322.19</x:v>
      </x:c>
      <x:c r="L1788" s="60" t="n">
        <x:v>125.09</x:v>
      </x:c>
      <x:c r="M1788" s="50" t="n">
        <x:v>144</x:v>
      </x:c>
      <x:c r="N1788" s="50" t="n">
        <x:v>12</x:v>
      </x:c>
      <x:c r="O1788" s="50" t="n">
        <x:v>139</x:v>
      </x:c>
      <x:c r="P1788" s="50" t="n">
        <x:v>23</x:v>
      </x:c>
    </x:row>
    <x:row r="1789" ht="36" customHeight="1">
      <x:c r="A1789" s="53" t="n">
        <x:v>1770</x:v>
      </x:c>
      <x:c r="B1789" s="53" t="n">
        <x:v>1</x:v>
      </x:c>
      <x:c r="C1789" s="40" t="str">
        <x:v>High-Value Frequent Shoppers</x:v>
      </x:c>
      <x:c r="D1789" s="60" t="n">
        <x:v>8793.19</x:v>
      </x:c>
      <x:c r="E1789" s="50" t="n">
        <x:v>477</x:v>
      </x:c>
      <x:c r="F1789" s="46" t="n">
        <x:v>21.68181818181818</x:v>
      </x:c>
      <x:c r="G1789" s="46" t="n">
        <x:v>3</x:v>
      </x:c>
      <x:c r="H1789" s="61" t="n">
        <x:v>18.434360587002097</x:v>
      </x:c>
      <x:c r="I1789" s="52" t="n">
        <x:v>0.8469601677148846</x:v>
      </x:c>
      <x:c r="J1789" s="52" t="n">
        <x:v>0.6107283022429857</x:v>
      </x:c>
      <x:c r="K1789" s="60" t="n">
        <x:v>8319.86</x:v>
      </x:c>
      <x:c r="L1789" s="60" t="n">
        <x:v>473.33</x:v>
      </x:c>
      <x:c r="M1789" s="50" t="n">
        <x:v>404</x:v>
      </x:c>
      <x:c r="N1789" s="50" t="n">
        <x:v>73</x:v>
      </x:c>
      <x:c r="O1789" s="50" t="n">
        <x:v>187</x:v>
      </x:c>
      <x:c r="P1789" s="50" t="n">
        <x:v>22</x:v>
      </x:c>
    </x:row>
    <x:row r="1790" ht="36" customHeight="1">
      <x:c r="A1790" s="53" t="n">
        <x:v>1771</x:v>
      </x:c>
      <x:c r="B1790" s="53" t="n">
        <x:v>2</x:v>
      </x:c>
      <x:c r="C1790" s="40" t="str">
        <x:v>Large-Basket Occasional Shoppers</x:v>
      </x:c>
      <x:c r="D1790" s="60" t="n">
        <x:v>532.2</x:v>
      </x:c>
      <x:c r="E1790" s="50" t="n">
        <x:v>11</x:v>
      </x:c>
      <x:c r="F1790" s="46" t="n">
        <x:v>1</x:v>
      </x:c>
      <x:c r="G1790" s="46" t="n">
        <x:v>62</x:v>
      </x:c>
      <x:c r="H1790" s="61" t="n">
        <x:v>48.381818181818176</x:v>
      </x:c>
      <x:c r="I1790" s="52" t="n">
        <x:v>1</x:v>
      </x:c>
      <x:c r="J1790" s="52" t="n">
        <x:v>0.2886884629838406</x:v>
      </x:c>
      <x:c r="K1790" s="60" t="n">
        <x:v>532.2</x:v>
      </x:c>
      <x:c r="L1790" s="60" t="n">
        <x:v>0</x:v>
      </x:c>
      <x:c r="M1790" s="50" t="n">
        <x:v>11</x:v>
      </x:c>
      <x:c r="N1790" s="50" t="n">
        <x:v>0</x:v>
      </x:c>
      <x:c r="O1790" s="50" t="n">
        <x:v>49</x:v>
      </x:c>
      <x:c r="P1790" s="50" t="n">
        <x:v>11</x:v>
      </x:c>
    </x:row>
    <x:row r="1791" ht="36" customHeight="1">
      <x:c r="A1791" s="53" t="n">
        <x:v>1772</x:v>
      </x:c>
      <x:c r="B1791" s="53" t="n">
        <x:v>2</x:v>
      </x:c>
      <x:c r="C1791" s="40" t="str">
        <x:v>Large-Basket Occasional Shoppers</x:v>
      </x:c>
      <x:c r="D1791" s="60" t="n">
        <x:v>2452.88</x:v>
      </x:c>
      <x:c r="E1791" s="50" t="n">
        <x:v>96</x:v>
      </x:c>
      <x:c r="F1791" s="46" t="n">
        <x:v>4.8</x:v>
      </x:c>
      <x:c r="G1791" s="46" t="n">
        <x:v>90</x:v>
      </x:c>
      <x:c r="H1791" s="61" t="n">
        <x:v>25.550833333333333</x:v>
      </x:c>
      <x:c r="I1791" s="52" t="n">
        <x:v>0.90625</x:v>
      </x:c>
      <x:c r="J1791" s="52" t="n">
        <x:v>0.4571116401943837</x:v>
      </x:c>
      <x:c r="K1791" s="60" t="n">
        <x:v>2405.13</x:v>
      </x:c>
      <x:c r="L1791" s="60" t="n">
        <x:v>47.75</x:v>
      </x:c>
      <x:c r="M1791" s="50" t="n">
        <x:v>87</x:v>
      </x:c>
      <x:c r="N1791" s="50" t="n">
        <x:v>9</x:v>
      </x:c>
      <x:c r="O1791" s="50" t="n">
        <x:v>105</x:v>
      </x:c>
      <x:c r="P1791" s="50" t="n">
        <x:v>20</x:v>
      </x:c>
    </x:row>
    <x:row r="1792" ht="36" customHeight="1">
      <x:c r="A1792" s="53" t="n">
        <x:v>1773</x:v>
      </x:c>
      <x:c r="B1792" s="53" t="n">
        <x:v>2</x:v>
      </x:c>
      <x:c r="C1792" s="40" t="str">
        <x:v>Large-Basket Occasional Shoppers</x:v>
      </x:c>
      <x:c r="D1792" s="60" t="n">
        <x:v>3356.9</x:v>
      </x:c>
      <x:c r="E1792" s="50" t="n">
        <x:v>91</x:v>
      </x:c>
      <x:c r="F1792" s="46" t="n">
        <x:v>4.136363636363637</x:v>
      </x:c>
      <x:c r="G1792" s="46" t="n">
        <x:v>8</x:v>
      </x:c>
      <x:c r="H1792" s="61" t="n">
        <x:v>36.88901098901098</x:v>
      </x:c>
      <x:c r="I1792" s="52" t="n">
        <x:v>0.8461538461538461</x:v>
      </x:c>
      <x:c r="J1792" s="52" t="n">
        <x:v>0.4572432899401233</x:v>
      </x:c>
      <x:c r="K1792" s="60" t="n">
        <x:v>3047.43</x:v>
      </x:c>
      <x:c r="L1792" s="60" t="n">
        <x:v>309.47</x:v>
      </x:c>
      <x:c r="M1792" s="50" t="n">
        <x:v>77</x:v>
      </x:c>
      <x:c r="N1792" s="50" t="n">
        <x:v>14</x:v>
      </x:c>
      <x:c r="O1792" s="50" t="n">
        <x:v>139</x:v>
      </x:c>
      <x:c r="P1792" s="50" t="n">
        <x:v>22</x:v>
      </x:c>
    </x:row>
    <x:row r="1793" ht="36" customHeight="1">
      <x:c r="A1793" s="53" t="n">
        <x:v>1774</x:v>
      </x:c>
      <x:c r="B1793" s="53" t="n">
        <x:v>2</x:v>
      </x:c>
      <x:c r="C1793" s="40" t="str">
        <x:v>Large-Basket Occasional Shoppers</x:v>
      </x:c>
      <x:c r="D1793" s="60" t="n">
        <x:v>5012.46</x:v>
      </x:c>
      <x:c r="E1793" s="50" t="n">
        <x:v>66</x:v>
      </x:c>
      <x:c r="F1793" s="46" t="n">
        <x:v>3</x:v>
      </x:c>
      <x:c r="G1793" s="46" t="n">
        <x:v>8</x:v>
      </x:c>
      <x:c r="H1793" s="61" t="n">
        <x:v>75.94636363636363</x:v>
      </x:c>
      <x:c r="I1793" s="52" t="n">
        <x:v>0.9242424242424242</x:v>
      </x:c>
      <x:c r="J1793" s="52" t="n">
        <x:v>0.5038144942802536</x:v>
      </x:c>
      <x:c r="K1793" s="60" t="n">
        <x:v>4958.1</x:v>
      </x:c>
      <x:c r="L1793" s="60" t="n">
        <x:v>54.36</x:v>
      </x:c>
      <x:c r="M1793" s="50" t="n">
        <x:v>61</x:v>
      </x:c>
      <x:c r="N1793" s="50" t="n">
        <x:v>5</x:v>
      </x:c>
      <x:c r="O1793" s="50" t="n">
        <x:v>144</x:v>
      </x:c>
      <x:c r="P1793" s="50" t="n">
        <x:v>22</x:v>
      </x:c>
    </x:row>
    <x:row r="1794" ht="36" customHeight="1">
      <x:c r="A1794" s="53" t="n">
        <x:v>1775</x:v>
      </x:c>
      <x:c r="B1794" s="53" t="n">
        <x:v>1</x:v>
      </x:c>
      <x:c r="C1794" s="40" t="str">
        <x:v>High-Value Frequent Shoppers</x:v>
      </x:c>
      <x:c r="D1794" s="60" t="n">
        <x:v>9485.14</x:v>
      </x:c>
      <x:c r="E1794" s="50" t="n">
        <x:v>210</x:v>
      </x:c>
      <x:c r="F1794" s="46" t="n">
        <x:v>10</x:v>
      </x:c>
      <x:c r="G1794" s="46" t="n">
        <x:v>0</x:v>
      </x:c>
      <x:c r="H1794" s="61" t="n">
        <x:v>45.167333333333325</x:v>
      </x:c>
      <x:c r="I1794" s="52" t="n">
        <x:v>0.9428571428571428</x:v>
      </x:c>
      <x:c r="J1794" s="52" t="n">
        <x:v>0.6283070149728944</x:v>
      </x:c>
      <x:c r="K1794" s="60" t="n">
        <x:v>9220.74</x:v>
      </x:c>
      <x:c r="L1794" s="60" t="n">
        <x:v>264.4</x:v>
      </x:c>
      <x:c r="M1794" s="50" t="n">
        <x:v>198</x:v>
      </x:c>
      <x:c r="N1794" s="50" t="n">
        <x:v>12</x:v>
      </x:c>
      <x:c r="O1794" s="50" t="n">
        <x:v>172</x:v>
      </x:c>
      <x:c r="P1794" s="50" t="n">
        <x:v>21</x:v>
      </x:c>
    </x:row>
    <x:row r="1795" ht="36" customHeight="1">
      <x:c r="A1795" s="53" t="n">
        <x:v>1776</x:v>
      </x:c>
      <x:c r="B1795" s="53" t="n">
        <x:v>1</x:v>
      </x:c>
      <x:c r="C1795" s="40" t="str">
        <x:v>High-Value Frequent Shoppers</x:v>
      </x:c>
      <x:c r="D1795" s="60" t="n">
        <x:v>3724.26</x:v>
      </x:c>
      <x:c r="E1795" s="50" t="n">
        <x:v>231</x:v>
      </x:c>
      <x:c r="F1795" s="46" t="n">
        <x:v>11.55</x:v>
      </x:c>
      <x:c r="G1795" s="46" t="n">
        <x:v>21</x:v>
      </x:c>
      <x:c r="H1795" s="61" t="n">
        <x:v>16.122337662337664</x:v>
      </x:c>
      <x:c r="I1795" s="52" t="n">
        <x:v>0.8484848484848484</x:v>
      </x:c>
      <x:c r="J1795" s="52" t="n">
        <x:v>0.565537851814857</x:v>
      </x:c>
      <x:c r="K1795" s="60" t="n">
        <x:v>3569.09</x:v>
      </x:c>
      <x:c r="L1795" s="60" t="n">
        <x:v>155.17</x:v>
      </x:c>
      <x:c r="M1795" s="50" t="n">
        <x:v>196</x:v>
      </x:c>
      <x:c r="N1795" s="50" t="n">
        <x:v>35</x:v>
      </x:c>
      <x:c r="O1795" s="50" t="n">
        <x:v>144</x:v>
      </x:c>
      <x:c r="P1795" s="50" t="n">
        <x:v>20</x:v>
      </x:c>
    </x:row>
    <x:row r="1796" ht="36" customHeight="1">
      <x:c r="A1796" s="53" t="n">
        <x:v>1777</x:v>
      </x:c>
      <x:c r="B1796" s="53" t="n">
        <x:v>3</x:v>
      </x:c>
      <x:c r="C1796" s="40" t="str">
        <x:v>Low-Value Low-Engagement Shoppers</x:v>
      </x:c>
      <x:c r="D1796" s="60" t="n">
        <x:v>1169.97</x:v>
      </x:c>
      <x:c r="E1796" s="50" t="n">
        <x:v>75</x:v>
      </x:c>
      <x:c r="F1796" s="46" t="n">
        <x:v>3.571428571428572</x:v>
      </x:c>
      <x:c r="G1796" s="46" t="n">
        <x:v>0</x:v>
      </x:c>
      <x:c r="H1796" s="61" t="n">
        <x:v>15.5996</x:v>
      </x:c>
      <x:c r="I1796" s="52" t="n">
        <x:v>0.7466666666666666</x:v>
      </x:c>
      <x:c r="J1796" s="52" t="n">
        <x:v>0.3905912117404719</x:v>
      </x:c>
      <x:c r="K1796" s="60" t="n">
        <x:v>979.25</x:v>
      </x:c>
      <x:c r="L1796" s="60" t="n">
        <x:v>190.72</x:v>
      </x:c>
      <x:c r="M1796" s="50" t="n">
        <x:v>56</x:v>
      </x:c>
      <x:c r="N1796" s="50" t="n">
        <x:v>19</x:v>
      </x:c>
      <x:c r="O1796" s="50" t="n">
        <x:v>95</x:v>
      </x:c>
      <x:c r="P1796" s="50" t="n">
        <x:v>21</x:v>
      </x:c>
    </x:row>
    <x:row r="1797" ht="36" customHeight="1">
      <x:c r="A1797" s="53" t="n">
        <x:v>1778</x:v>
      </x:c>
      <x:c r="B1797" s="53" t="n">
        <x:v>1</x:v>
      </x:c>
      <x:c r="C1797" s="40" t="str">
        <x:v>High-Value Frequent Shoppers</x:v>
      </x:c>
      <x:c r="D1797" s="60" t="n">
        <x:v>9336.3</x:v>
      </x:c>
      <x:c r="E1797" s="50" t="n">
        <x:v>257</x:v>
      </x:c>
      <x:c r="F1797" s="46" t="n">
        <x:v>11.68181818181818</x:v>
      </x:c>
      <x:c r="G1797" s="46" t="n">
        <x:v>1</x:v>
      </x:c>
      <x:c r="H1797" s="61" t="n">
        <x:v>36.32801556420234</x:v>
      </x:c>
      <x:c r="I1797" s="52" t="n">
        <x:v>0.8521400778210116</x:v>
      </x:c>
      <x:c r="J1797" s="52" t="n">
        <x:v>0.6583946531281129</x:v>
      </x:c>
      <x:c r="K1797" s="60" t="n">
        <x:v>8917.49</x:v>
      </x:c>
      <x:c r="L1797" s="60" t="n">
        <x:v>418.81</x:v>
      </x:c>
      <x:c r="M1797" s="50" t="n">
        <x:v>219</x:v>
      </x:c>
      <x:c r="N1797" s="50" t="n">
        <x:v>38</x:v>
      </x:c>
      <x:c r="O1797" s="50" t="n">
        <x:v>169</x:v>
      </x:c>
      <x:c r="P1797" s="50" t="n">
        <x:v>22</x:v>
      </x:c>
    </x:row>
    <x:row r="1798" ht="36" customHeight="1">
      <x:c r="A1798" s="53" t="n">
        <x:v>1779</x:v>
      </x:c>
      <x:c r="B1798" s="53" t="n">
        <x:v>1</x:v>
      </x:c>
      <x:c r="C1798" s="40" t="str">
        <x:v>High-Value Frequent Shoppers</x:v>
      </x:c>
      <x:c r="D1798" s="60" t="n">
        <x:v>3508.58</x:v>
      </x:c>
      <x:c r="E1798" s="50" t="n">
        <x:v>109</x:v>
      </x:c>
      <x:c r="F1798" s="46" t="n">
        <x:v>4.739130434782608</x:v>
      </x:c>
      <x:c r="G1798" s="46" t="n">
        <x:v>8</x:v>
      </x:c>
      <x:c r="H1798" s="61" t="n">
        <x:v>32.18880733944954</x:v>
      </x:c>
      <x:c r="I1798" s="52" t="n">
        <x:v>0.8807339449541284</x:v>
      </x:c>
      <x:c r="J1798" s="52" t="n">
        <x:v>0.6195184376585399</x:v>
      </x:c>
      <x:c r="K1798" s="60" t="n">
        <x:v>3410.13</x:v>
      </x:c>
      <x:c r="L1798" s="60" t="n">
        <x:v>98.45</x:v>
      </x:c>
      <x:c r="M1798" s="50" t="n">
        <x:v>96</x:v>
      </x:c>
      <x:c r="N1798" s="50" t="n">
        <x:v>13</x:v>
      </x:c>
      <x:c r="O1798" s="50" t="n">
        <x:v>143</x:v>
      </x:c>
      <x:c r="P1798" s="50" t="n">
        <x:v>23</x:v>
      </x:c>
    </x:row>
    <x:row r="1799" ht="36" customHeight="1">
      <x:c r="A1799" s="53" t="n">
        <x:v>1780</x:v>
      </x:c>
      <x:c r="B1799" s="53" t="n">
        <x:v>2</x:v>
      </x:c>
      <x:c r="C1799" s="40" t="str">
        <x:v>Large-Basket Occasional Shoppers</x:v>
      </x:c>
      <x:c r="D1799" s="60" t="n">
        <x:v>1413.68</x:v>
      </x:c>
      <x:c r="E1799" s="50" t="n">
        <x:v>43</x:v>
      </x:c>
      <x:c r="F1799" s="46" t="n">
        <x:v>2.8666666666666667</x:v>
      </x:c>
      <x:c r="G1799" s="46" t="n">
        <x:v>30</x:v>
      </x:c>
      <x:c r="H1799" s="61" t="n">
        <x:v>32.87627906976744</x:v>
      </x:c>
      <x:c r="I1799" s="52" t="n">
        <x:v>0.9302325581395348</x:v>
      </x:c>
      <x:c r="J1799" s="52" t="n">
        <x:v>0.3847617565502801</x:v>
      </x:c>
      <x:c r="K1799" s="60" t="n">
        <x:v>1379.19</x:v>
      </x:c>
      <x:c r="L1799" s="60" t="n">
        <x:v>34.49</x:v>
      </x:c>
      <x:c r="M1799" s="50" t="n">
        <x:v>40</x:v>
      </x:c>
      <x:c r="N1799" s="50" t="n">
        <x:v>3</x:v>
      </x:c>
      <x:c r="O1799" s="50" t="n">
        <x:v>115</x:v>
      </x:c>
      <x:c r="P1799" s="50" t="n">
        <x:v>15</x:v>
      </x:c>
    </x:row>
    <x:row r="1800" ht="36" customHeight="1">
      <x:c r="A1800" s="53" t="n">
        <x:v>1781</x:v>
      </x:c>
      <x:c r="B1800" s="53" t="n">
        <x:v>1</x:v>
      </x:c>
      <x:c r="C1800" s="40" t="str">
        <x:v>High-Value Frequent Shoppers</x:v>
      </x:c>
      <x:c r="D1800" s="60" t="n">
        <x:v>3228.57</x:v>
      </x:c>
      <x:c r="E1800" s="50" t="n">
        <x:v>93</x:v>
      </x:c>
      <x:c r="F1800" s="46" t="n">
        <x:v>4.428571428571429</x:v>
      </x:c>
      <x:c r="G1800" s="46" t="n">
        <x:v>18</x:v>
      </x:c>
      <x:c r="H1800" s="61" t="n">
        <x:v>34.715806451612906</x:v>
      </x:c>
      <x:c r="I1800" s="52" t="n">
        <x:v>0.7526881720430108</x:v>
      </x:c>
      <x:c r="J1800" s="52" t="n">
        <x:v>0.4134431032934085</x:v>
      </x:c>
      <x:c r="K1800" s="60" t="n">
        <x:v>3039.18</x:v>
      </x:c>
      <x:c r="L1800" s="60" t="n">
        <x:v>189.39</x:v>
      </x:c>
      <x:c r="M1800" s="50" t="n">
        <x:v>70</x:v>
      </x:c>
      <x:c r="N1800" s="50" t="n">
        <x:v>23</x:v>
      </x:c>
      <x:c r="O1800" s="50" t="n">
        <x:v>157</x:v>
      </x:c>
      <x:c r="P1800" s="50" t="n">
        <x:v>21</x:v>
      </x:c>
    </x:row>
    <x:row r="1801" ht="36" customHeight="1">
      <x:c r="A1801" s="53" t="n">
        <x:v>1782</x:v>
      </x:c>
      <x:c r="B1801" s="53" t="n">
        <x:v>2</x:v>
      </x:c>
      <x:c r="C1801" s="40" t="str">
        <x:v>Large-Basket Occasional Shoppers</x:v>
      </x:c>
      <x:c r="D1801" s="60" t="n">
        <x:v>1742.85</x:v>
      </x:c>
      <x:c r="E1801" s="50" t="n">
        <x:v>37</x:v>
      </x:c>
      <x:c r="F1801" s="46" t="n">
        <x:v>2.3125</x:v>
      </x:c>
      <x:c r="G1801" s="46" t="n">
        <x:v>5</x:v>
      </x:c>
      <x:c r="H1801" s="61" t="n">
        <x:v>47.104054054054046</x:v>
      </x:c>
      <x:c r="I1801" s="52" t="n">
        <x:v>0.8108108108108107</x:v>
      </x:c>
      <x:c r="J1801" s="52" t="n">
        <x:v>0.2786470436354247</x:v>
      </x:c>
      <x:c r="K1801" s="60" t="n">
        <x:v>1604.75</x:v>
      </x:c>
      <x:c r="L1801" s="60" t="n">
        <x:v>138.1</x:v>
      </x:c>
      <x:c r="M1801" s="50" t="n">
        <x:v>30</x:v>
      </x:c>
      <x:c r="N1801" s="50" t="n">
        <x:v>7</x:v>
      </x:c>
      <x:c r="O1801" s="50" t="n">
        <x:v>115</x:v>
      </x:c>
      <x:c r="P1801" s="50" t="n">
        <x:v>16</x:v>
      </x:c>
    </x:row>
    <x:row r="1802" ht="36" customHeight="1">
      <x:c r="A1802" s="53" t="n">
        <x:v>1783</x:v>
      </x:c>
      <x:c r="B1802" s="53" t="n">
        <x:v>2</x:v>
      </x:c>
      <x:c r="C1802" s="40" t="str">
        <x:v>Large-Basket Occasional Shoppers</x:v>
      </x:c>
      <x:c r="D1802" s="60" t="n">
        <x:v>4125.89</x:v>
      </x:c>
      <x:c r="E1802" s="50" t="n">
        <x:v>91</x:v>
      </x:c>
      <x:c r="F1802" s="46" t="n">
        <x:v>4.333333333333333</x:v>
      </x:c>
      <x:c r="G1802" s="46" t="n">
        <x:v>9</x:v>
      </x:c>
      <x:c r="H1802" s="61" t="n">
        <x:v>45.33945054945056</x:v>
      </x:c>
      <x:c r="I1802" s="52" t="n">
        <x:v>0.923076923076923</x:v>
      </x:c>
      <x:c r="J1802" s="52" t="n">
        <x:v>0.5404046157313936</x:v>
      </x:c>
      <x:c r="K1802" s="60" t="n">
        <x:v>4061.67</x:v>
      </x:c>
      <x:c r="L1802" s="60" t="n">
        <x:v>64.22</x:v>
      </x:c>
      <x:c r="M1802" s="50" t="n">
        <x:v>84</x:v>
      </x:c>
      <x:c r="N1802" s="50" t="n">
        <x:v>7</x:v>
      </x:c>
      <x:c r="O1802" s="50" t="n">
        <x:v>143</x:v>
      </x:c>
      <x:c r="P1802" s="50" t="n">
        <x:v>21</x:v>
      </x:c>
    </x:row>
    <x:row r="1803" ht="36" customHeight="1">
      <x:c r="A1803" s="53" t="n">
        <x:v>1784</x:v>
      </x:c>
      <x:c r="B1803" s="53" t="n">
        <x:v>2</x:v>
      </x:c>
      <x:c r="C1803" s="40" t="str">
        <x:v>Large-Basket Occasional Shoppers</x:v>
      </x:c>
      <x:c r="D1803" s="60" t="n">
        <x:v>1980.62</x:v>
      </x:c>
      <x:c r="E1803" s="50" t="n">
        <x:v>40</x:v>
      </x:c>
      <x:c r="F1803" s="46" t="n">
        <x:v>1.9047619047619049</x:v>
      </x:c>
      <x:c r="G1803" s="46" t="n">
        <x:v>15</x:v>
      </x:c>
      <x:c r="H1803" s="61" t="n">
        <x:v>49.5155</x:v>
      </x:c>
      <x:c r="I1803" s="52" t="n">
        <x:v>0.9</x:v>
      </x:c>
      <x:c r="J1803" s="52" t="n">
        <x:v>0.4445375690440367</x:v>
      </x:c>
      <x:c r="K1803" s="60" t="n">
        <x:v>1905.97</x:v>
      </x:c>
      <x:c r="L1803" s="60" t="n">
        <x:v>74.65</x:v>
      </x:c>
      <x:c r="M1803" s="50" t="n">
        <x:v>36</x:v>
      </x:c>
      <x:c r="N1803" s="50" t="n">
        <x:v>4</x:v>
      </x:c>
      <x:c r="O1803" s="50" t="n">
        <x:v>119</x:v>
      </x:c>
      <x:c r="P1803" s="50" t="n">
        <x:v>21</x:v>
      </x:c>
    </x:row>
    <x:row r="1804" ht="36" customHeight="1">
      <x:c r="A1804" s="53" t="n">
        <x:v>1785</x:v>
      </x:c>
      <x:c r="B1804" s="53" t="n">
        <x:v>1</x:v>
      </x:c>
      <x:c r="C1804" s="40" t="str">
        <x:v>High-Value Frequent Shoppers</x:v>
      </x:c>
      <x:c r="D1804" s="60" t="n">
        <x:v>1555.7</x:v>
      </x:c>
      <x:c r="E1804" s="50" t="n">
        <x:v>75</x:v>
      </x:c>
      <x:c r="F1804" s="46" t="n">
        <x:v>3.75</x:v>
      </x:c>
      <x:c r="G1804" s="46" t="n">
        <x:v>1</x:v>
      </x:c>
      <x:c r="H1804" s="61" t="n">
        <x:v>20.742666666666665</x:v>
      </x:c>
      <x:c r="I1804" s="52" t="n">
        <x:v>0.9066666666666666</x:v>
      </x:c>
      <x:c r="J1804" s="52" t="n">
        <x:v>0.5787234042553191</x:v>
      </x:c>
      <x:c r="K1804" s="60" t="n">
        <x:v>1514.82</x:v>
      </x:c>
      <x:c r="L1804" s="60" t="n">
        <x:v>40.88</x:v>
      </x:c>
      <x:c r="M1804" s="50" t="n">
        <x:v>68</x:v>
      </x:c>
      <x:c r="N1804" s="50" t="n">
        <x:v>7</x:v>
      </x:c>
      <x:c r="O1804" s="50" t="n">
        <x:v>142</x:v>
      </x:c>
      <x:c r="P1804" s="50" t="n">
        <x:v>20</x:v>
      </x:c>
    </x:row>
    <x:row r="1805" ht="36" customHeight="1">
      <x:c r="A1805" s="53" t="n">
        <x:v>1786</x:v>
      </x:c>
      <x:c r="B1805" s="53" t="n">
        <x:v>3</x:v>
      </x:c>
      <x:c r="C1805" s="40" t="str">
        <x:v>Low-Value Low-Engagement Shoppers</x:v>
      </x:c>
      <x:c r="D1805" s="60" t="n">
        <x:v>409.73</x:v>
      </x:c>
      <x:c r="E1805" s="50" t="n">
        <x:v>44</x:v>
      </x:c>
      <x:c r="F1805" s="46" t="n">
        <x:v>2.75</x:v>
      </x:c>
      <x:c r="G1805" s="46" t="n">
        <x:v>56</x:v>
      </x:c>
      <x:c r="H1805" s="61" t="n">
        <x:v>9.312045454545457</x:v>
      </x:c>
      <x:c r="I1805" s="52" t="n">
        <x:v>0.6363636363636364</x:v>
      </x:c>
      <x:c r="J1805" s="52" t="n">
        <x:v>0.4430722671027261</x:v>
      </x:c>
      <x:c r="K1805" s="60" t="n">
        <x:v>275.38</x:v>
      </x:c>
      <x:c r="L1805" s="60" t="n">
        <x:v>134.35</x:v>
      </x:c>
      <x:c r="M1805" s="50" t="n">
        <x:v>28</x:v>
      </x:c>
      <x:c r="N1805" s="50" t="n">
        <x:v>16</x:v>
      </x:c>
      <x:c r="O1805" s="50" t="n">
        <x:v>70</x:v>
      </x:c>
      <x:c r="P1805" s="50" t="n">
        <x:v>16</x:v>
      </x:c>
    </x:row>
    <x:row r="1806" ht="36" customHeight="1">
      <x:c r="A1806" s="53" t="n">
        <x:v>1787</x:v>
      </x:c>
      <x:c r="B1806" s="53" t="n">
        <x:v>2</x:v>
      </x:c>
      <x:c r="C1806" s="40" t="str">
        <x:v>Large-Basket Occasional Shoppers</x:v>
      </x:c>
      <x:c r="D1806" s="60" t="n">
        <x:v>1097.5</x:v>
      </x:c>
      <x:c r="E1806" s="50" t="n">
        <x:v>61</x:v>
      </x:c>
      <x:c r="F1806" s="46" t="n">
        <x:v>3.388888888888889</x:v>
      </x:c>
      <x:c r="G1806" s="46" t="n">
        <x:v>19</x:v>
      </x:c>
      <x:c r="H1806" s="61" t="n">
        <x:v>17.991803278688526</x:v>
      </x:c>
      <x:c r="I1806" s="52" t="n">
        <x:v>0.8688524590163934</x:v>
      </x:c>
      <x:c r="J1806" s="52" t="n">
        <x:v>0.5262232346241457</x:v>
      </x:c>
      <x:c r="K1806" s="60" t="n">
        <x:v>1047.3</x:v>
      </x:c>
      <x:c r="L1806" s="60" t="n">
        <x:v>50.2</x:v>
      </x:c>
      <x:c r="M1806" s="50" t="n">
        <x:v>53</x:v>
      </x:c>
      <x:c r="N1806" s="50" t="n">
        <x:v>8</x:v>
      </x:c>
      <x:c r="O1806" s="50" t="n">
        <x:v>100</x:v>
      </x:c>
      <x:c r="P1806" s="50" t="n">
        <x:v>18</x:v>
      </x:c>
    </x:row>
    <x:row r="1807" ht="36" customHeight="1">
      <x:c r="A1807" s="53" t="n">
        <x:v>1788</x:v>
      </x:c>
      <x:c r="B1807" s="53" t="n">
        <x:v>1</x:v>
      </x:c>
      <x:c r="C1807" s="40" t="str">
        <x:v>High-Value Frequent Shoppers</x:v>
      </x:c>
      <x:c r="D1807" s="60" t="n">
        <x:v>9072.28</x:v>
      </x:c>
      <x:c r="E1807" s="50" t="n">
        <x:v>152</x:v>
      </x:c>
      <x:c r="F1807" s="46" t="n">
        <x:v>7.238095238095238</x:v>
      </x:c>
      <x:c r="G1807" s="46" t="n">
        <x:v>1</x:v>
      </x:c>
      <x:c r="H1807" s="61" t="n">
        <x:v>59.68605263157895</x:v>
      </x:c>
      <x:c r="I1807" s="52" t="n">
        <x:v>0.8618421052631579</x:v>
      </x:c>
      <x:c r="J1807" s="52" t="n">
        <x:v>0.2747159479204786</x:v>
      </x:c>
      <x:c r="K1807" s="60" t="n">
        <x:v>8653.02</x:v>
      </x:c>
      <x:c r="L1807" s="60" t="n">
        <x:v>419.26</x:v>
      </x:c>
      <x:c r="M1807" s="50" t="n">
        <x:v>131</x:v>
      </x:c>
      <x:c r="N1807" s="50" t="n">
        <x:v>21</x:v>
      </x:c>
      <x:c r="O1807" s="50" t="n">
        <x:v>146</x:v>
      </x:c>
      <x:c r="P1807" s="50" t="n">
        <x:v>21</x:v>
      </x:c>
    </x:row>
    <x:row r="1808" ht="36" customHeight="1">
      <x:c r="A1808" s="53" t="n">
        <x:v>1789</x:v>
      </x:c>
      <x:c r="B1808" s="53" t="n">
        <x:v>3</x:v>
      </x:c>
      <x:c r="C1808" s="40" t="str">
        <x:v>Low-Value Low-Engagement Shoppers</x:v>
      </x:c>
      <x:c r="D1808" s="60" t="n">
        <x:v>293.19</x:v>
      </x:c>
      <x:c r="E1808" s="50" t="n">
        <x:v>22</x:v>
      </x:c>
      <x:c r="F1808" s="46" t="n">
        <x:v>1.4666666666666668</x:v>
      </x:c>
      <x:c r="G1808" s="46" t="n">
        <x:v>32</x:v>
      </x:c>
      <x:c r="H1808" s="61" t="n">
        <x:v>13.32681818181818</x:v>
      </x:c>
      <x:c r="I1808" s="52" t="n">
        <x:v>0.7727272727272727</x:v>
      </x:c>
      <x:c r="J1808" s="52" t="n">
        <x:v>0.330638834885228</x:v>
      </x:c>
      <x:c r="K1808" s="60" t="n">
        <x:v>258.13</x:v>
      </x:c>
      <x:c r="L1808" s="60" t="n">
        <x:v>35.06</x:v>
      </x:c>
      <x:c r="M1808" s="50" t="n">
        <x:v>17</x:v>
      </x:c>
      <x:c r="N1808" s="50" t="n">
        <x:v>5</x:v>
      </x:c>
      <x:c r="O1808" s="50" t="n">
        <x:v>50</x:v>
      </x:c>
      <x:c r="P1808" s="50" t="n">
        <x:v>15</x:v>
      </x:c>
    </x:row>
    <x:row r="1809" ht="36" customHeight="1">
      <x:c r="A1809" s="53" t="n">
        <x:v>1790</x:v>
      </x:c>
      <x:c r="B1809" s="53" t="n">
        <x:v>2</x:v>
      </x:c>
      <x:c r="C1809" s="40" t="str">
        <x:v>Large-Basket Occasional Shoppers</x:v>
      </x:c>
      <x:c r="D1809" s="60" t="n">
        <x:v>1978.83</x:v>
      </x:c>
      <x:c r="E1809" s="50" t="n">
        <x:v>47</x:v>
      </x:c>
      <x:c r="F1809" s="46" t="n">
        <x:v>2.136363636363636</x:v>
      </x:c>
      <x:c r="G1809" s="46" t="n">
        <x:v>5</x:v>
      </x:c>
      <x:c r="H1809" s="61" t="n">
        <x:v>42.102765957446806</x:v>
      </x:c>
      <x:c r="I1809" s="52" t="n">
        <x:v>0.9361702127659574</x:v>
      </x:c>
      <x:c r="J1809" s="52" t="n">
        <x:v>0.3505455243755148</x:v>
      </x:c>
      <x:c r="K1809" s="60" t="n">
        <x:v>1942.5</x:v>
      </x:c>
      <x:c r="L1809" s="60" t="n">
        <x:v>36.33</x:v>
      </x:c>
      <x:c r="M1809" s="50" t="n">
        <x:v>44</x:v>
      </x:c>
      <x:c r="N1809" s="50" t="n">
        <x:v>3</x:v>
      </x:c>
      <x:c r="O1809" s="50" t="n">
        <x:v>87</x:v>
      </x:c>
      <x:c r="P1809" s="50" t="n">
        <x:v>22</x:v>
      </x:c>
    </x:row>
    <x:row r="1810" ht="36" customHeight="1">
      <x:c r="A1810" s="53" t="n">
        <x:v>1791</x:v>
      </x:c>
      <x:c r="B1810" s="53" t="n">
        <x:v>1</x:v>
      </x:c>
      <x:c r="C1810" s="40" t="str">
        <x:v>High-Value Frequent Shoppers</x:v>
      </x:c>
      <x:c r="D1810" s="60" t="n">
        <x:v>2970.1</x:v>
      </x:c>
      <x:c r="E1810" s="50" t="n">
        <x:v>140</x:v>
      </x:c>
      <x:c r="F1810" s="46" t="n">
        <x:v>6.666666666666666</x:v>
      </x:c>
      <x:c r="G1810" s="46" t="n">
        <x:v>2</x:v>
      </x:c>
      <x:c r="H1810" s="61" t="n">
        <x:v>21.215</x:v>
      </x:c>
      <x:c r="I1810" s="52" t="n">
        <x:v>0.8428571428571427</x:v>
      </x:c>
      <x:c r="J1810" s="52" t="n">
        <x:v>0.5497525335847278</x:v>
      </x:c>
      <x:c r="K1810" s="60" t="n">
        <x:v>2806.28</x:v>
      </x:c>
      <x:c r="L1810" s="60" t="n">
        <x:v>163.82</x:v>
      </x:c>
      <x:c r="M1810" s="50" t="n">
        <x:v>118</x:v>
      </x:c>
      <x:c r="N1810" s="50" t="n">
        <x:v>22</x:v>
      </x:c>
      <x:c r="O1810" s="50" t="n">
        <x:v>143</x:v>
      </x:c>
      <x:c r="P1810" s="50" t="n">
        <x:v>21</x:v>
      </x:c>
    </x:row>
    <x:row r="1811" ht="36" customHeight="1">
      <x:c r="A1811" s="53" t="n">
        <x:v>1792</x:v>
      </x:c>
      <x:c r="B1811" s="53" t="n">
        <x:v>1</x:v>
      </x:c>
      <x:c r="C1811" s="40" t="str">
        <x:v>High-Value Frequent Shoppers</x:v>
      </x:c>
      <x:c r="D1811" s="60" t="n">
        <x:v>3140.33</x:v>
      </x:c>
      <x:c r="E1811" s="50" t="n">
        <x:v>126</x:v>
      </x:c>
      <x:c r="F1811" s="46" t="n">
        <x:v>10.5</x:v>
      </x:c>
      <x:c r="G1811" s="46" t="n">
        <x:v>0</x:v>
      </x:c>
      <x:c r="H1811" s="61" t="n">
        <x:v>24.923253968253967</x:v>
      </x:c>
      <x:c r="I1811" s="52" t="n">
        <x:v>0.873015873015873</x:v>
      </x:c>
      <x:c r="J1811" s="52" t="n">
        <x:v>0.4814812456015769</x:v>
      </x:c>
      <x:c r="K1811" s="60" t="n">
        <x:v>2916.75</x:v>
      </x:c>
      <x:c r="L1811" s="60" t="n">
        <x:v>223.58</x:v>
      </x:c>
      <x:c r="M1811" s="50" t="n">
        <x:v>110</x:v>
      </x:c>
      <x:c r="N1811" s="50" t="n">
        <x:v>16</x:v>
      </x:c>
      <x:c r="O1811" s="50" t="n">
        <x:v>115</x:v>
      </x:c>
      <x:c r="P1811" s="50" t="n">
        <x:v>12</x:v>
      </x:c>
    </x:row>
    <x:row r="1812" ht="36" customHeight="1">
      <x:c r="A1812" s="53" t="n">
        <x:v>1793</x:v>
      </x:c>
      <x:c r="B1812" s="53" t="n">
        <x:v>2</x:v>
      </x:c>
      <x:c r="C1812" s="40" t="str">
        <x:v>Large-Basket Occasional Shoppers</x:v>
      </x:c>
      <x:c r="D1812" s="60" t="n">
        <x:v>1888.55</x:v>
      </x:c>
      <x:c r="E1812" s="50" t="n">
        <x:v>63</x:v>
      </x:c>
      <x:c r="F1812" s="46" t="n">
        <x:v>2.739130434782609</x:v>
      </x:c>
      <x:c r="G1812" s="46" t="n">
        <x:v>4</x:v>
      </x:c>
      <x:c r="H1812" s="61" t="n">
        <x:v>29.976984126984128</x:v>
      </x:c>
      <x:c r="I1812" s="52" t="n">
        <x:v>0.8253968253968254</x:v>
      </x:c>
      <x:c r="J1812" s="52" t="n">
        <x:v>0.5166662254110296</x:v>
      </x:c>
      <x:c r="K1812" s="60" t="n">
        <x:v>1807.94</x:v>
      </x:c>
      <x:c r="L1812" s="60" t="n">
        <x:v>80.61</x:v>
      </x:c>
      <x:c r="M1812" s="50" t="n">
        <x:v>52</x:v>
      </x:c>
      <x:c r="N1812" s="50" t="n">
        <x:v>11</x:v>
      </x:c>
      <x:c r="O1812" s="50" t="n">
        <x:v>118</x:v>
      </x:c>
      <x:c r="P1812" s="50" t="n">
        <x:v>23</x:v>
      </x:c>
    </x:row>
    <x:row r="1813" ht="36" customHeight="1">
      <x:c r="A1813" s="53" t="n">
        <x:v>1794</x:v>
      </x:c>
      <x:c r="B1813" s="53" t="n">
        <x:v>2</x:v>
      </x:c>
      <x:c r="C1813" s="40" t="str">
        <x:v>Large-Basket Occasional Shoppers</x:v>
      </x:c>
      <x:c r="D1813" s="60" t="n">
        <x:v>3594.48</x:v>
      </x:c>
      <x:c r="E1813" s="50" t="n">
        <x:v>77</x:v>
      </x:c>
      <x:c r="F1813" s="46" t="n">
        <x:v>3.6666666666666665</x:v>
      </x:c>
      <x:c r="G1813" s="46" t="n">
        <x:v>10</x:v>
      </x:c>
      <x:c r="H1813" s="61" t="n">
        <x:v>46.68155844155844</x:v>
      </x:c>
      <x:c r="I1813" s="52" t="n">
        <x:v>0.8571428571428571</x:v>
      </x:c>
      <x:c r="J1813" s="52" t="n">
        <x:v>0.4004195321715519</x:v>
      </x:c>
      <x:c r="K1813" s="60" t="n">
        <x:v>3343.79</x:v>
      </x:c>
      <x:c r="L1813" s="60" t="n">
        <x:v>250.69</x:v>
      </x:c>
      <x:c r="M1813" s="50" t="n">
        <x:v>66</x:v>
      </x:c>
      <x:c r="N1813" s="50" t="n">
        <x:v>11</x:v>
      </x:c>
      <x:c r="O1813" s="50" t="n">
        <x:v>151</x:v>
      </x:c>
      <x:c r="P1813" s="50" t="n">
        <x:v>21</x:v>
      </x:c>
    </x:row>
    <x:row r="1814" ht="36" customHeight="1">
      <x:c r="A1814" s="53" t="n">
        <x:v>1795</x:v>
      </x:c>
      <x:c r="B1814" s="53" t="n">
        <x:v>1</x:v>
      </x:c>
      <x:c r="C1814" s="40" t="str">
        <x:v>High-Value Frequent Shoppers</x:v>
      </x:c>
      <x:c r="D1814" s="60" t="n">
        <x:v>9751.16</x:v>
      </x:c>
      <x:c r="E1814" s="50" t="n">
        <x:v>1136</x:v>
      </x:c>
      <x:c r="F1814" s="46" t="n">
        <x:v>51.63636363636364</x:v>
      </x:c>
      <x:c r="G1814" s="46" t="n">
        <x:v>1</x:v>
      </x:c>
      <x:c r="H1814" s="61" t="n">
        <x:v>8.5837676056338</x:v>
      </x:c>
      <x:c r="I1814" s="52" t="n">
        <x:v>0.857394366197183</x:v>
      </x:c>
      <x:c r="J1814" s="52" t="n">
        <x:v>0.7040311101448443</x:v>
      </x:c>
      <x:c r="K1814" s="60" t="n">
        <x:v>9303.13</x:v>
      </x:c>
      <x:c r="L1814" s="60" t="n">
        <x:v>448.03</x:v>
      </x:c>
      <x:c r="M1814" s="50" t="n">
        <x:v>974</x:v>
      </x:c>
      <x:c r="N1814" s="50" t="n">
        <x:v>162</x:v>
      </x:c>
      <x:c r="O1814" s="50" t="n">
        <x:v>182</x:v>
      </x:c>
      <x:c r="P1814" s="50" t="n">
        <x:v>22</x:v>
      </x:c>
    </x:row>
    <x:row r="1815" ht="36" customHeight="1">
      <x:c r="A1815" s="53" t="n">
        <x:v>1796</x:v>
      </x:c>
      <x:c r="B1815" s="53" t="n">
        <x:v>2</x:v>
      </x:c>
      <x:c r="C1815" s="40" t="str">
        <x:v>Large-Basket Occasional Shoppers</x:v>
      </x:c>
      <x:c r="D1815" s="60" t="n">
        <x:v>2601.06</x:v>
      </x:c>
      <x:c r="E1815" s="50" t="n">
        <x:v>60</x:v>
      </x:c>
      <x:c r="F1815" s="46" t="n">
        <x:v>2.8571428571428568</x:v>
      </x:c>
      <x:c r="G1815" s="46" t="n">
        <x:v>7</x:v>
      </x:c>
      <x:c r="H1815" s="61" t="n">
        <x:v>43.351</x:v>
      </x:c>
      <x:c r="I1815" s="52" t="n">
        <x:v>0.8333333333333333</x:v>
      </x:c>
      <x:c r="J1815" s="52" t="n">
        <x:v>0.442323514259571</x:v>
      </x:c>
      <x:c r="K1815" s="60" t="n">
        <x:v>2514.82</x:v>
      </x:c>
      <x:c r="L1815" s="60" t="n">
        <x:v>86.24</x:v>
      </x:c>
      <x:c r="M1815" s="50" t="n">
        <x:v>50</x:v>
      </x:c>
      <x:c r="N1815" s="50" t="n">
        <x:v>10</x:v>
      </x:c>
      <x:c r="O1815" s="50" t="n">
        <x:v>107</x:v>
      </x:c>
      <x:c r="P1815" s="50" t="n">
        <x:v>21</x:v>
      </x:c>
    </x:row>
    <x:row r="1816" ht="36" customHeight="1">
      <x:c r="A1816" s="53" t="n">
        <x:v>1797</x:v>
      </x:c>
      <x:c r="B1816" s="53" t="n">
        <x:v>1</x:v>
      </x:c>
      <x:c r="C1816" s="40" t="str">
        <x:v>High-Value Frequent Shoppers</x:v>
      </x:c>
      <x:c r="D1816" s="60" t="n">
        <x:v>5551.49</x:v>
      </x:c>
      <x:c r="E1816" s="50" t="n">
        <x:v>114</x:v>
      </x:c>
      <x:c r="F1816" s="46" t="n">
        <x:v>5.181818181818182</x:v>
      </x:c>
      <x:c r="G1816" s="46" t="n">
        <x:v>1</x:v>
      </x:c>
      <x:c r="H1816" s="61" t="n">
        <x:v>48.6972807017544</x:v>
      </x:c>
      <x:c r="I1816" s="52" t="n">
        <x:v>0.9473684210526316</x:v>
      </x:c>
      <x:c r="J1816" s="52" t="n">
        <x:v>0.5160398379534143</x:v>
      </x:c>
      <x:c r="K1816" s="60" t="n">
        <x:v>5174.01</x:v>
      </x:c>
      <x:c r="L1816" s="60" t="n">
        <x:v>377.48</x:v>
      </x:c>
      <x:c r="M1816" s="50" t="n">
        <x:v>108</x:v>
      </x:c>
      <x:c r="N1816" s="50" t="n">
        <x:v>6</x:v>
      </x:c>
      <x:c r="O1816" s="50" t="n">
        <x:v>171</x:v>
      </x:c>
      <x:c r="P1816" s="50" t="n">
        <x:v>22</x:v>
      </x:c>
    </x:row>
    <x:row r="1817" ht="36" customHeight="1">
      <x:c r="A1817" s="53" t="n">
        <x:v>1798</x:v>
      </x:c>
      <x:c r="B1817" s="53" t="n">
        <x:v>2</x:v>
      </x:c>
      <x:c r="C1817" s="40" t="str">
        <x:v>Large-Basket Occasional Shoppers</x:v>
      </x:c>
      <x:c r="D1817" s="60" t="n">
        <x:v>2457.02</x:v>
      </x:c>
      <x:c r="E1817" s="50" t="n">
        <x:v>42</x:v>
      </x:c>
      <x:c r="F1817" s="46" t="n">
        <x:v>2.333333333333333</x:v>
      </x:c>
      <x:c r="G1817" s="46" t="n">
        <x:v>11</x:v>
      </x:c>
      <x:c r="H1817" s="61" t="n">
        <x:v>58.50047619047619</x:v>
      </x:c>
      <x:c r="I1817" s="52" t="n">
        <x:v>0.8571428571428571</x:v>
      </x:c>
      <x:c r="J1817" s="52" t="n">
        <x:v>0.4610178183327771</x:v>
      </x:c>
      <x:c r="K1817" s="60" t="n">
        <x:v>2313.81</x:v>
      </x:c>
      <x:c r="L1817" s="60" t="n">
        <x:v>143.21</x:v>
      </x:c>
      <x:c r="M1817" s="50" t="n">
        <x:v>36</x:v>
      </x:c>
      <x:c r="N1817" s="50" t="n">
        <x:v>6</x:v>
      </x:c>
      <x:c r="O1817" s="50" t="n">
        <x:v>128</x:v>
      </x:c>
      <x:c r="P1817" s="50" t="n">
        <x:v>18</x:v>
      </x:c>
    </x:row>
    <x:row r="1818" ht="36" customHeight="1">
      <x:c r="A1818" s="53" t="n">
        <x:v>1799</x:v>
      </x:c>
      <x:c r="B1818" s="53" t="n">
        <x:v>3</x:v>
      </x:c>
      <x:c r="C1818" s="40" t="str">
        <x:v>Low-Value Low-Engagement Shoppers</x:v>
      </x:c>
      <x:c r="D1818" s="60" t="n">
        <x:v>395.47</x:v>
      </x:c>
      <x:c r="E1818" s="50" t="n">
        <x:v>52</x:v>
      </x:c>
      <x:c r="F1818" s="46" t="n">
        <x:v>2.736842105263157</x:v>
      </x:c>
      <x:c r="G1818" s="46" t="n">
        <x:v>14</x:v>
      </x:c>
      <x:c r="H1818" s="61" t="n">
        <x:v>7.605192307692307</x:v>
      </x:c>
      <x:c r="I1818" s="52" t="n">
        <x:v>0.4615384615384615</x:v>
      </x:c>
      <x:c r="J1818" s="52" t="n">
        <x:v>0.3168381925304068</x:v>
      </x:c>
      <x:c r="K1818" s="60" t="n">
        <x:v>268.17</x:v>
      </x:c>
      <x:c r="L1818" s="60" t="n">
        <x:v>127.3</x:v>
      </x:c>
      <x:c r="M1818" s="50" t="n">
        <x:v>24</x:v>
      </x:c>
      <x:c r="N1818" s="50" t="n">
        <x:v>28</x:v>
      </x:c>
      <x:c r="O1818" s="50" t="n">
        <x:v>49</x:v>
      </x:c>
      <x:c r="P1818" s="50" t="n">
        <x:v>19</x:v>
      </x:c>
    </x:row>
    <x:row r="1819" ht="36" customHeight="1">
      <x:c r="A1819" s="53" t="n">
        <x:v>1800</x:v>
      </x:c>
      <x:c r="B1819" s="53" t="n">
        <x:v>1</x:v>
      </x:c>
      <x:c r="C1819" s="40" t="str">
        <x:v>High-Value Frequent Shoppers</x:v>
      </x:c>
      <x:c r="D1819" s="60" t="n">
        <x:v>3667.31</x:v>
      </x:c>
      <x:c r="E1819" s="50" t="n">
        <x:v>85</x:v>
      </x:c>
      <x:c r="F1819" s="46" t="n">
        <x:v>4.047619047619048</x:v>
      </x:c>
      <x:c r="G1819" s="46" t="n">
        <x:v>2</x:v>
      </x:c>
      <x:c r="H1819" s="61" t="n">
        <x:v>43.14482352941176</x:v>
      </x:c>
      <x:c r="I1819" s="52" t="n">
        <x:v>0.9647058823529412</x:v>
      </x:c>
      <x:c r="J1819" s="52" t="n">
        <x:v>0.7032293424880907</x:v>
      </x:c>
      <x:c r="K1819" s="60" t="n">
        <x:v>3659.12</x:v>
      </x:c>
      <x:c r="L1819" s="60" t="n">
        <x:v>8.19</x:v>
      </x:c>
      <x:c r="M1819" s="50" t="n">
        <x:v>82</x:v>
      </x:c>
      <x:c r="N1819" s="50" t="n">
        <x:v>3</x:v>
      </x:c>
      <x:c r="O1819" s="50" t="n">
        <x:v>148</x:v>
      </x:c>
      <x:c r="P1819" s="50" t="n">
        <x:v>21</x:v>
      </x:c>
    </x:row>
    <x:row r="1820" ht="36" customHeight="1">
      <x:c r="A1820" s="53" t="n">
        <x:v>1801</x:v>
      </x:c>
      <x:c r="B1820" s="53" t="n">
        <x:v>3</x:v>
      </x:c>
      <x:c r="C1820" s="40" t="str">
        <x:v>Low-Value Low-Engagement Shoppers</x:v>
      </x:c>
      <x:c r="D1820" s="60" t="n">
        <x:v>758.74</x:v>
      </x:c>
      <x:c r="E1820" s="50" t="n">
        <x:v>64</x:v>
      </x:c>
      <x:c r="F1820" s="46" t="n">
        <x:v>3.3684210526315788</x:v>
      </x:c>
      <x:c r="G1820" s="46" t="n">
        <x:v>5</x:v>
      </x:c>
      <x:c r="H1820" s="61" t="n">
        <x:v>11.8553125</x:v>
      </x:c>
      <x:c r="I1820" s="52" t="n">
        <x:v>0.796875</x:v>
      </x:c>
      <x:c r="J1820" s="52" t="n">
        <x:v>0.4484671956137807</x:v>
      </x:c>
      <x:c r="K1820" s="60" t="n">
        <x:v>603.73</x:v>
      </x:c>
      <x:c r="L1820" s="60" t="n">
        <x:v>155.01</x:v>
      </x:c>
      <x:c r="M1820" s="50" t="n">
        <x:v>51</x:v>
      </x:c>
      <x:c r="N1820" s="50" t="n">
        <x:v>13</x:v>
      </x:c>
      <x:c r="O1820" s="50" t="n">
        <x:v>56</x:v>
      </x:c>
      <x:c r="P1820" s="50" t="n">
        <x:v>19</x:v>
      </x:c>
    </x:row>
    <x:row r="1821" ht="36" customHeight="1">
      <x:c r="A1821" s="53" t="n">
        <x:v>1802</x:v>
      </x:c>
      <x:c r="B1821" s="53" t="n">
        <x:v>2</x:v>
      </x:c>
      <x:c r="C1821" s="40" t="str">
        <x:v>Large-Basket Occasional Shoppers</x:v>
      </x:c>
      <x:c r="D1821" s="60" t="n">
        <x:v>4835.44</x:v>
      </x:c>
      <x:c r="E1821" s="50" t="n">
        <x:v>52</x:v>
      </x:c>
      <x:c r="F1821" s="46" t="n">
        <x:v>2.736842105263157</x:v>
      </x:c>
      <x:c r="G1821" s="46" t="n">
        <x:v>19</x:v>
      </x:c>
      <x:c r="H1821" s="61" t="n">
        <x:v>92.98923076923076</x:v>
      </x:c>
      <x:c r="I1821" s="52" t="n">
        <x:v>0.923076923076923</x:v>
      </x:c>
      <x:c r="J1821" s="52" t="n">
        <x:v>0.3831440365302847</x:v>
      </x:c>
      <x:c r="K1821" s="60" t="n">
        <x:v>4705.67</x:v>
      </x:c>
      <x:c r="L1821" s="60" t="n">
        <x:v>129.77</x:v>
      </x:c>
      <x:c r="M1821" s="50" t="n">
        <x:v>48</x:v>
      </x:c>
      <x:c r="N1821" s="50" t="n">
        <x:v>4</x:v>
      </x:c>
      <x:c r="O1821" s="50" t="n">
        <x:v>158</x:v>
      </x:c>
      <x:c r="P1821" s="50" t="n">
        <x:v>19</x:v>
      </x:c>
    </x:row>
    <x:row r="1822" ht="36" customHeight="1">
      <x:c r="A1822" s="53" t="n">
        <x:v>1803</x:v>
      </x:c>
      <x:c r="B1822" s="53" t="n">
        <x:v>1</x:v>
      </x:c>
      <x:c r="C1822" s="40" t="str">
        <x:v>High-Value Frequent Shoppers</x:v>
      </x:c>
      <x:c r="D1822" s="60" t="n">
        <x:v>14420.9</x:v>
      </x:c>
      <x:c r="E1822" s="50" t="n">
        <x:v>216</x:v>
      </x:c>
      <x:c r="F1822" s="46" t="n">
        <x:v>9</x:v>
      </x:c>
      <x:c r="G1822" s="46" t="n">
        <x:v>0</x:v>
      </x:c>
      <x:c r="H1822" s="61" t="n">
        <x:v>66.76342592592593</x:v>
      </x:c>
      <x:c r="I1822" s="52" t="n">
        <x:v>0.9305555555555556</x:v>
      </x:c>
      <x:c r="J1822" s="52" t="n">
        <x:v>0.3602035933956965</x:v>
      </x:c>
      <x:c r="K1822" s="60" t="n">
        <x:v>13896.15</x:v>
      </x:c>
      <x:c r="L1822" s="60" t="n">
        <x:v>524.75</x:v>
      </x:c>
      <x:c r="M1822" s="50" t="n">
        <x:v>201</x:v>
      </x:c>
      <x:c r="N1822" s="50" t="n">
        <x:v>15</x:v>
      </x:c>
      <x:c r="O1822" s="50" t="n">
        <x:v>180</x:v>
      </x:c>
      <x:c r="P1822" s="50" t="n">
        <x:v>24</x:v>
      </x:c>
    </x:row>
    <x:row r="1823" ht="36" customHeight="1">
      <x:c r="A1823" s="53" t="n">
        <x:v>1804</x:v>
      </x:c>
      <x:c r="B1823" s="53" t="n">
        <x:v>1</x:v>
      </x:c>
      <x:c r="C1823" s="40" t="str">
        <x:v>High-Value Frequent Shoppers</x:v>
      </x:c>
      <x:c r="D1823" s="60" t="n">
        <x:v>10251.19</x:v>
      </x:c>
      <x:c r="E1823" s="50" t="n">
        <x:v>311</x:v>
      </x:c>
      <x:c r="F1823" s="46" t="n">
        <x:v>14.809523809523808</x:v>
      </x:c>
      <x:c r="G1823" s="46" t="n">
        <x:v>0</x:v>
      </x:c>
      <x:c r="H1823" s="61" t="n">
        <x:v>32.96202572347267</x:v>
      </x:c>
      <x:c r="I1823" s="52" t="n">
        <x:v>0.8906752411575563</x:v>
      </x:c>
      <x:c r="J1823" s="52" t="n">
        <x:v>0.5361416577002279</x:v>
      </x:c>
      <x:c r="K1823" s="60" t="n">
        <x:v>9668.06</x:v>
      </x:c>
      <x:c r="L1823" s="60" t="n">
        <x:v>583.13</x:v>
      </x:c>
      <x:c r="M1823" s="50" t="n">
        <x:v>277</x:v>
      </x:c>
      <x:c r="N1823" s="50" t="n">
        <x:v>34</x:v>
      </x:c>
      <x:c r="O1823" s="50" t="n">
        <x:v>195</x:v>
      </x:c>
      <x:c r="P1823" s="50" t="n">
        <x:v>21</x:v>
      </x:c>
    </x:row>
    <x:row r="1824" ht="36" customHeight="1">
      <x:c r="A1824" s="53" t="n">
        <x:v>1805</x:v>
      </x:c>
      <x:c r="B1824" s="53" t="n">
        <x:v>3</x:v>
      </x:c>
      <x:c r="C1824" s="40" t="str">
        <x:v>Low-Value Low-Engagement Shoppers</x:v>
      </x:c>
      <x:c r="D1824" s="60" t="n">
        <x:v>792.2</x:v>
      </x:c>
      <x:c r="E1824" s="50" t="n">
        <x:v>77</x:v>
      </x:c>
      <x:c r="F1824" s="46" t="n">
        <x:v>3.5</x:v>
      </x:c>
      <x:c r="G1824" s="46" t="n">
        <x:v>0</x:v>
      </x:c>
      <x:c r="H1824" s="61" t="n">
        <x:v>10.288311688311689</x:v>
      </x:c>
      <x:c r="I1824" s="52" t="n">
        <x:v>0.3116883116883116</x:v>
      </x:c>
      <x:c r="J1824" s="52" t="n">
        <x:v>0.2077505680383741</x:v>
      </x:c>
      <x:c r="K1824" s="60" t="n">
        <x:v>354.22</x:v>
      </x:c>
      <x:c r="L1824" s="60" t="n">
        <x:v>437.98</x:v>
      </x:c>
      <x:c r="M1824" s="50" t="n">
        <x:v>24</x:v>
      </x:c>
      <x:c r="N1824" s="50" t="n">
        <x:v>53</x:v>
      </x:c>
      <x:c r="O1824" s="50" t="n">
        <x:v>41</x:v>
      </x:c>
      <x:c r="P1824" s="50" t="n">
        <x:v>22</x:v>
      </x:c>
    </x:row>
    <x:row r="1825" ht="36" customHeight="1">
      <x:c r="A1825" s="53" t="n">
        <x:v>1806</x:v>
      </x:c>
      <x:c r="B1825" s="53" t="n">
        <x:v>1</x:v>
      </x:c>
      <x:c r="C1825" s="40" t="str">
        <x:v>High-Value Frequent Shoppers</x:v>
      </x:c>
      <x:c r="D1825" s="60" t="n">
        <x:v>3979.6</x:v>
      </x:c>
      <x:c r="E1825" s="50" t="n">
        <x:v>139</x:v>
      </x:c>
      <x:c r="F1825" s="46" t="n">
        <x:v>6.3181818181818175</x:v>
      </x:c>
      <x:c r="G1825" s="46" t="n">
        <x:v>2</x:v>
      </x:c>
      <x:c r="H1825" s="61" t="n">
        <x:v>28.630215827338127</x:v>
      </x:c>
      <x:c r="I1825" s="52" t="n">
        <x:v>0.8129496402877697</x:v>
      </x:c>
      <x:c r="J1825" s="52" t="n">
        <x:v>0.4585209568800884</x:v>
      </x:c>
      <x:c r="K1825" s="60" t="n">
        <x:v>3721.99</x:v>
      </x:c>
      <x:c r="L1825" s="60" t="n">
        <x:v>257.61</x:v>
      </x:c>
      <x:c r="M1825" s="50" t="n">
        <x:v>113</x:v>
      </x:c>
      <x:c r="N1825" s="50" t="n">
        <x:v>26</x:v>
      </x:c>
      <x:c r="O1825" s="50" t="n">
        <x:v>151</x:v>
      </x:c>
      <x:c r="P1825" s="50" t="n">
        <x:v>22</x:v>
      </x:c>
    </x:row>
    <x:row r="1826" ht="36" customHeight="1">
      <x:c r="A1826" s="53" t="n">
        <x:v>1807</x:v>
      </x:c>
      <x:c r="B1826" s="53" t="n">
        <x:v>1</x:v>
      </x:c>
      <x:c r="C1826" s="40" t="str">
        <x:v>High-Value Frequent Shoppers</x:v>
      </x:c>
      <x:c r="D1826" s="60" t="n">
        <x:v>7773.21</x:v>
      </x:c>
      <x:c r="E1826" s="50" t="n">
        <x:v>212</x:v>
      </x:c>
      <x:c r="F1826" s="46" t="n">
        <x:v>10.095238095238097</x:v>
      </x:c>
      <x:c r="G1826" s="46" t="n">
        <x:v>6</x:v>
      </x:c>
      <x:c r="H1826" s="61" t="n">
        <x:v>36.66608490566038</x:v>
      </x:c>
      <x:c r="I1826" s="52" t="n">
        <x:v>0.8962264150943396</x:v>
      </x:c>
      <x:c r="J1826" s="52" t="n">
        <x:v>0.4532001579784927</x:v>
      </x:c>
      <x:c r="K1826" s="60" t="n">
        <x:v>7580.83</x:v>
      </x:c>
      <x:c r="L1826" s="60" t="n">
        <x:v>192.38</x:v>
      </x:c>
      <x:c r="M1826" s="50" t="n">
        <x:v>190</x:v>
      </x:c>
      <x:c r="N1826" s="50" t="n">
        <x:v>22</x:v>
      </x:c>
      <x:c r="O1826" s="50" t="n">
        <x:v>180</x:v>
      </x:c>
      <x:c r="P1826" s="50" t="n">
        <x:v>21</x:v>
      </x:c>
    </x:row>
    <x:row r="1827" ht="36" customHeight="1">
      <x:c r="A1827" s="53" t="n">
        <x:v>1808</x:v>
      </x:c>
      <x:c r="B1827" s="53" t="n">
        <x:v>3</x:v>
      </x:c>
      <x:c r="C1827" s="40" t="str">
        <x:v>Low-Value Low-Engagement Shoppers</x:v>
      </x:c>
      <x:c r="D1827" s="60" t="n">
        <x:v>1824.33</x:v>
      </x:c>
      <x:c r="E1827" s="50" t="n">
        <x:v>96</x:v>
      </x:c>
      <x:c r="F1827" s="46" t="n">
        <x:v>4.571428571428571</x:v>
      </x:c>
      <x:c r="G1827" s="46" t="n">
        <x:v>9</x:v>
      </x:c>
      <x:c r="H1827" s="61" t="n">
        <x:v>19.0034375</x:v>
      </x:c>
      <x:c r="I1827" s="52" t="n">
        <x:v>0.6041666666666666</x:v>
      </x:c>
      <x:c r="J1827" s="52" t="n">
        <x:v>0.392456408654136</x:v>
      </x:c>
      <x:c r="K1827" s="60" t="n">
        <x:v>1455.36</x:v>
      </x:c>
      <x:c r="L1827" s="60" t="n">
        <x:v>368.97</x:v>
      </x:c>
      <x:c r="M1827" s="50" t="n">
        <x:v>58</x:v>
      </x:c>
      <x:c r="N1827" s="50" t="n">
        <x:v>38</x:v>
      </x:c>
      <x:c r="O1827" s="50" t="n">
        <x:v>121</x:v>
      </x:c>
      <x:c r="P1827" s="50" t="n">
        <x:v>21</x:v>
      </x:c>
    </x:row>
    <x:row r="1828" ht="36" customHeight="1">
      <x:c r="A1828" s="53" t="n">
        <x:v>1809</x:v>
      </x:c>
      <x:c r="B1828" s="53" t="n">
        <x:v>2</x:v>
      </x:c>
      <x:c r="C1828" s="40" t="str">
        <x:v>Large-Basket Occasional Shoppers</x:v>
      </x:c>
      <x:c r="D1828" s="60" t="n">
        <x:v>1509.41</x:v>
      </x:c>
      <x:c r="E1828" s="50" t="n">
        <x:v>61</x:v>
      </x:c>
      <x:c r="F1828" s="46" t="n">
        <x:v>2.9047619047619047</x:v>
      </x:c>
      <x:c r="G1828" s="46" t="n">
        <x:v>9</x:v>
      </x:c>
      <x:c r="H1828" s="61" t="n">
        <x:v>24.7444262295082</x:v>
      </x:c>
      <x:c r="I1828" s="52" t="n">
        <x:v>0.9508196721311476</x:v>
      </x:c>
      <x:c r="J1828" s="52" t="n">
        <x:v>0.5347652393981754</x:v>
      </x:c>
      <x:c r="K1828" s="60" t="n">
        <x:v>1475.19</x:v>
      </x:c>
      <x:c r="L1828" s="60" t="n">
        <x:v>34.22</x:v>
      </x:c>
      <x:c r="M1828" s="50" t="n">
        <x:v>58</x:v>
      </x:c>
      <x:c r="N1828" s="50" t="n">
        <x:v>3</x:v>
      </x:c>
      <x:c r="O1828" s="50" t="n">
        <x:v>124</x:v>
      </x:c>
      <x:c r="P1828" s="50" t="n">
        <x:v>21</x:v>
      </x:c>
    </x:row>
    <x:row r="1829" ht="36" customHeight="1">
      <x:c r="A1829" s="53" t="n">
        <x:v>1810</x:v>
      </x:c>
      <x:c r="B1829" s="53" t="n">
        <x:v>1</x:v>
      </x:c>
      <x:c r="C1829" s="40" t="str">
        <x:v>High-Value Frequent Shoppers</x:v>
      </x:c>
      <x:c r="D1829" s="60" t="n">
        <x:v>4025.59</x:v>
      </x:c>
      <x:c r="E1829" s="50" t="n">
        <x:v>266</x:v>
      </x:c>
      <x:c r="F1829" s="46" t="n">
        <x:v>12.666666666666666</x:v>
      </x:c>
      <x:c r="G1829" s="46" t="n">
        <x:v>7</x:v>
      </x:c>
      <x:c r="H1829" s="61" t="n">
        <x:v>15.133796992481203</x:v>
      </x:c>
      <x:c r="I1829" s="52" t="n">
        <x:v>0.4624060150375939</x:v>
      </x:c>
      <x:c r="J1829" s="52" t="n">
        <x:v>0.2933781135187637</x:v>
      </x:c>
      <x:c r="K1829" s="60" t="n">
        <x:v>2523.53</x:v>
      </x:c>
      <x:c r="L1829" s="60" t="n">
        <x:v>1502.06</x:v>
      </x:c>
      <x:c r="M1829" s="50" t="n">
        <x:v>123</x:v>
      </x:c>
      <x:c r="N1829" s="50" t="n">
        <x:v>143</x:v>
      </x:c>
      <x:c r="O1829" s="50" t="n">
        <x:v>122</x:v>
      </x:c>
      <x:c r="P1829" s="50" t="n">
        <x:v>21</x:v>
      </x:c>
    </x:row>
    <x:row r="1830" ht="36" customHeight="1">
      <x:c r="A1830" s="53" t="n">
        <x:v>1811</x:v>
      </x:c>
      <x:c r="B1830" s="53" t="n">
        <x:v>2</x:v>
      </x:c>
      <x:c r="C1830" s="40" t="str">
        <x:v>Large-Basket Occasional Shoppers</x:v>
      </x:c>
      <x:c r="D1830" s="60" t="n">
        <x:v>852.56</x:v>
      </x:c>
      <x:c r="E1830" s="50" t="n">
        <x:v>16</x:v>
      </x:c>
      <x:c r="F1830" s="46" t="n">
        <x:v>1.3333333333333333</x:v>
      </x:c>
      <x:c r="G1830" s="46" t="n">
        <x:v>31</x:v>
      </x:c>
      <x:c r="H1830" s="61" t="n">
        <x:v>53.285</x:v>
      </x:c>
      <x:c r="I1830" s="52" t="n">
        <x:v>0.9375</x:v>
      </x:c>
      <x:c r="J1830" s="52" t="n">
        <x:v>0.5856127427981608</x:v>
      </x:c>
      <x:c r="K1830" s="60" t="n">
        <x:v>837.97</x:v>
      </x:c>
      <x:c r="L1830" s="60" t="n">
        <x:v>14.59</x:v>
      </x:c>
      <x:c r="M1830" s="50" t="n">
        <x:v>15</x:v>
      </x:c>
      <x:c r="N1830" s="50" t="n">
        <x:v>1</x:v>
      </x:c>
      <x:c r="O1830" s="50" t="n">
        <x:v>64</x:v>
      </x:c>
      <x:c r="P1830" s="50" t="n">
        <x:v>12</x:v>
      </x:c>
    </x:row>
    <x:row r="1831" ht="36" customHeight="1">
      <x:c r="A1831" s="53" t="n">
        <x:v>1812</x:v>
      </x:c>
      <x:c r="B1831" s="53" t="n">
        <x:v>1</x:v>
      </x:c>
      <x:c r="C1831" s="40" t="str">
        <x:v>High-Value Frequent Shoppers</x:v>
      </x:c>
      <x:c r="D1831" s="60" t="n">
        <x:v>1948.99</x:v>
      </x:c>
      <x:c r="E1831" s="50" t="n">
        <x:v>104</x:v>
      </x:c>
      <x:c r="F1831" s="46" t="n">
        <x:v>4.952380952380952</x:v>
      </x:c>
      <x:c r="G1831" s="46" t="n">
        <x:v>0</x:v>
      </x:c>
      <x:c r="H1831" s="61" t="n">
        <x:v>18.74028846153846</x:v>
      </x:c>
      <x:c r="I1831" s="52" t="n">
        <x:v>0.8365384615384615</x:v>
      </x:c>
      <x:c r="J1831" s="52" t="n">
        <x:v>0.5751081329303895</x:v>
      </x:c>
      <x:c r="K1831" s="60" t="n">
        <x:v>1832.79</x:v>
      </x:c>
      <x:c r="L1831" s="60" t="n">
        <x:v>116.2</x:v>
      </x:c>
      <x:c r="M1831" s="50" t="n">
        <x:v>87</x:v>
      </x:c>
      <x:c r="N1831" s="50" t="n">
        <x:v>17</x:v>
      </x:c>
      <x:c r="O1831" s="50" t="n">
        <x:v>138</x:v>
      </x:c>
      <x:c r="P1831" s="50" t="n">
        <x:v>21</x:v>
      </x:c>
    </x:row>
    <x:row r="1832" ht="36" customHeight="1">
      <x:c r="A1832" s="53" t="n">
        <x:v>1813</x:v>
      </x:c>
      <x:c r="B1832" s="53" t="n">
        <x:v>2</x:v>
      </x:c>
      <x:c r="C1832" s="40" t="str">
        <x:v>Large-Basket Occasional Shoppers</x:v>
      </x:c>
      <x:c r="D1832" s="60" t="n">
        <x:v>233.45</x:v>
      </x:c>
      <x:c r="E1832" s="50" t="n">
        <x:v>4</x:v>
      </x:c>
      <x:c r="F1832" s="46" t="n">
        <x:v>1.3333333333333333</x:v>
      </x:c>
      <x:c r="G1832" s="46" t="n">
        <x:v>19</x:v>
      </x:c>
      <x:c r="H1832" s="61" t="n">
        <x:v>58.3625</x:v>
      </x:c>
      <x:c r="I1832" s="52" t="n">
        <x:v>1</x:v>
      </x:c>
      <x:c r="J1832" s="52" t="n">
        <x:v>0.509616620261298</x:v>
      </x:c>
      <x:c r="K1832" s="60" t="n">
        <x:v>233.45</x:v>
      </x:c>
      <x:c r="L1832" s="60" t="n">
        <x:v>0</x:v>
      </x:c>
      <x:c r="M1832" s="50" t="n">
        <x:v>4</x:v>
      </x:c>
      <x:c r="N1832" s="50" t="n">
        <x:v>0</x:v>
      </x:c>
      <x:c r="O1832" s="50" t="n">
        <x:v>49</x:v>
      </x:c>
      <x:c r="P1832" s="50" t="n">
        <x:v>3</x:v>
      </x:c>
    </x:row>
    <x:row r="1833" ht="36" customHeight="1">
      <x:c r="A1833" s="53" t="n">
        <x:v>1814</x:v>
      </x:c>
      <x:c r="B1833" s="53" t="n">
        <x:v>2</x:v>
      </x:c>
      <x:c r="C1833" s="40" t="str">
        <x:v>Large-Basket Occasional Shoppers</x:v>
      </x:c>
      <x:c r="D1833" s="60" t="n">
        <x:v>4107.85</x:v>
      </x:c>
      <x:c r="E1833" s="50" t="n">
        <x:v>52</x:v>
      </x:c>
      <x:c r="F1833" s="46" t="n">
        <x:v>2.888888888888889</x:v>
      </x:c>
      <x:c r="G1833" s="46" t="n">
        <x:v>6</x:v>
      </x:c>
      <x:c r="H1833" s="61" t="n">
        <x:v>78.99711538461537</x:v>
      </x:c>
      <x:c r="I1833" s="52" t="n">
        <x:v>0.923076923076923</x:v>
      </x:c>
      <x:c r="J1833" s="52" t="n">
        <x:v>0.3829618900398018</x:v>
      </x:c>
      <x:c r="K1833" s="60" t="n">
        <x:v>4050.25</x:v>
      </x:c>
      <x:c r="L1833" s="60" t="n">
        <x:v>57.6</x:v>
      </x:c>
      <x:c r="M1833" s="50" t="n">
        <x:v>48</x:v>
      </x:c>
      <x:c r="N1833" s="50" t="n">
        <x:v>4</x:v>
      </x:c>
      <x:c r="O1833" s="50" t="n">
        <x:v>173</x:v>
      </x:c>
      <x:c r="P1833" s="50" t="n">
        <x:v>18</x:v>
      </x:c>
    </x:row>
    <x:row r="1834" ht="36" customHeight="1">
      <x:c r="A1834" s="53" t="n">
        <x:v>1815</x:v>
      </x:c>
      <x:c r="B1834" s="53" t="n">
        <x:v>1</x:v>
      </x:c>
      <x:c r="C1834" s="40" t="str">
        <x:v>High-Value Frequent Shoppers</x:v>
      </x:c>
      <x:c r="D1834" s="60" t="n">
        <x:v>4405.47</x:v>
      </x:c>
      <x:c r="E1834" s="50" t="n">
        <x:v>89</x:v>
      </x:c>
      <x:c r="F1834" s="46" t="n">
        <x:v>4.45</x:v>
      </x:c>
      <x:c r="G1834" s="46" t="n">
        <x:v>3</x:v>
      </x:c>
      <x:c r="H1834" s="61" t="n">
        <x:v>49.49966292134832</x:v>
      </x:c>
      <x:c r="I1834" s="52" t="n">
        <x:v>0.9438202247191012</x:v>
      </x:c>
      <x:c r="J1834" s="52" t="n">
        <x:v>0.6021241774430423</x:v>
      </x:c>
      <x:c r="K1834" s="60" t="n">
        <x:v>4316.99</x:v>
      </x:c>
      <x:c r="L1834" s="60" t="n">
        <x:v>88.48</x:v>
      </x:c>
      <x:c r="M1834" s="50" t="n">
        <x:v>84</x:v>
      </x:c>
      <x:c r="N1834" s="50" t="n">
        <x:v>5</x:v>
      </x:c>
      <x:c r="O1834" s="50" t="n">
        <x:v>171</x:v>
      </x:c>
      <x:c r="P1834" s="50" t="n">
        <x:v>20</x:v>
      </x:c>
    </x:row>
    <x:row r="1835" ht="36" customHeight="1">
      <x:c r="A1835" s="53" t="n">
        <x:v>1816</x:v>
      </x:c>
      <x:c r="B1835" s="53" t="n">
        <x:v>1</x:v>
      </x:c>
      <x:c r="C1835" s="40" t="str">
        <x:v>High-Value Frequent Shoppers</x:v>
      </x:c>
      <x:c r="D1835" s="60" t="n">
        <x:v>3869.51</x:v>
      </x:c>
      <x:c r="E1835" s="50" t="n">
        <x:v>160</x:v>
      </x:c>
      <x:c r="F1835" s="46" t="n">
        <x:v>7.272727272727272</x:v>
      </x:c>
      <x:c r="G1835" s="46" t="n">
        <x:v>3</x:v>
      </x:c>
      <x:c r="H1835" s="61" t="n">
        <x:v>24.1844375</x:v>
      </x:c>
      <x:c r="I1835" s="52" t="n">
        <x:v>0.88125</x:v>
      </x:c>
      <x:c r="J1835" s="52" t="n">
        <x:v>0.5409134489896653</x:v>
      </x:c>
      <x:c r="K1835" s="60" t="n">
        <x:v>3641.41</x:v>
      </x:c>
      <x:c r="L1835" s="60" t="n">
        <x:v>228.1</x:v>
      </x:c>
      <x:c r="M1835" s="50" t="n">
        <x:v>141</x:v>
      </x:c>
      <x:c r="N1835" s="50" t="n">
        <x:v>19</x:v>
      </x:c>
      <x:c r="O1835" s="50" t="n">
        <x:v>166</x:v>
      </x:c>
      <x:c r="P1835" s="50" t="n">
        <x:v>22</x:v>
      </x:c>
    </x:row>
    <x:row r="1836" ht="36" customHeight="1">
      <x:c r="A1836" s="53" t="n">
        <x:v>1817</x:v>
      </x:c>
      <x:c r="B1836" s="53" t="n">
        <x:v>2</x:v>
      </x:c>
      <x:c r="C1836" s="40" t="str">
        <x:v>Large-Basket Occasional Shoppers</x:v>
      </x:c>
      <x:c r="D1836" s="60" t="n">
        <x:v>1024.72</x:v>
      </x:c>
      <x:c r="E1836" s="50" t="n">
        <x:v>48</x:v>
      </x:c>
      <x:c r="F1836" s="46" t="n">
        <x:v>3.2</x:v>
      </x:c>
      <x:c r="G1836" s="46" t="n">
        <x:v>0</x:v>
      </x:c>
      <x:c r="H1836" s="61" t="n">
        <x:v>21.348333333333333</x:v>
      </x:c>
      <x:c r="I1836" s="52" t="n">
        <x:v>0.8541666666666666</x:v>
      </x:c>
      <x:c r="J1836" s="52" t="n">
        <x:v>0.3677102037629791</x:v>
      </x:c>
      <x:c r="K1836" s="60" t="n">
        <x:v>956.69</x:v>
      </x:c>
      <x:c r="L1836" s="60" t="n">
        <x:v>68.03</x:v>
      </x:c>
      <x:c r="M1836" s="50" t="n">
        <x:v>41</x:v>
      </x:c>
      <x:c r="N1836" s="50" t="n">
        <x:v>7</x:v>
      </x:c>
      <x:c r="O1836" s="50" t="n">
        <x:v>84</x:v>
      </x:c>
      <x:c r="P1836" s="50" t="n">
        <x:v>15</x:v>
      </x:c>
    </x:row>
    <x:row r="1837" ht="36" customHeight="1">
      <x:c r="A1837" s="53" t="n">
        <x:v>1818</x:v>
      </x:c>
      <x:c r="B1837" s="53" t="n">
        <x:v>1</x:v>
      </x:c>
      <x:c r="C1837" s="40" t="str">
        <x:v>High-Value Frequent Shoppers</x:v>
      </x:c>
      <x:c r="D1837" s="60" t="n">
        <x:v>1333.43</x:v>
      </x:c>
      <x:c r="E1837" s="50" t="n">
        <x:v>72</x:v>
      </x:c>
      <x:c r="F1837" s="46" t="n">
        <x:v>6</x:v>
      </x:c>
      <x:c r="G1837" s="46" t="n">
        <x:v>0</x:v>
      </x:c>
      <x:c r="H1837" s="61" t="n">
        <x:v>18.519861111111112</x:v>
      </x:c>
      <x:c r="I1837" s="52" t="n">
        <x:v>0.8472222222222222</x:v>
      </x:c>
      <x:c r="J1837" s="52" t="n">
        <x:v>0.445010236757835</x:v>
      </x:c>
      <x:c r="K1837" s="60" t="n">
        <x:v>1215.32</x:v>
      </x:c>
      <x:c r="L1837" s="60" t="n">
        <x:v>118.11</x:v>
      </x:c>
      <x:c r="M1837" s="50" t="n">
        <x:v>61</x:v>
      </x:c>
      <x:c r="N1837" s="50" t="n">
        <x:v>11</x:v>
      </x:c>
      <x:c r="O1837" s="50" t="n">
        <x:v>117</x:v>
      </x:c>
      <x:c r="P1837" s="50" t="n">
        <x:v>12</x:v>
      </x:c>
    </x:row>
    <x:row r="1838" ht="36" customHeight="1">
      <x:c r="A1838" s="53" t="n">
        <x:v>1819</x:v>
      </x:c>
      <x:c r="B1838" s="53" t="n">
        <x:v>2</x:v>
      </x:c>
      <x:c r="C1838" s="40" t="str">
        <x:v>Large-Basket Occasional Shoppers</x:v>
      </x:c>
      <x:c r="D1838" s="60" t="n">
        <x:v>1446.23</x:v>
      </x:c>
      <x:c r="E1838" s="50" t="n">
        <x:v>68</x:v>
      </x:c>
      <x:c r="F1838" s="46" t="n">
        <x:v>3.4</x:v>
      </x:c>
      <x:c r="G1838" s="46" t="n">
        <x:v>5</x:v>
      </x:c>
      <x:c r="H1838" s="61" t="n">
        <x:v>21.26808823529412</x:v>
      </x:c>
      <x:c r="I1838" s="52" t="n">
        <x:v>0.7647058823529411</x:v>
      </x:c>
      <x:c r="J1838" s="52" t="n">
        <x:v>0.5106310891075416</x:v>
      </x:c>
      <x:c r="K1838" s="60" t="n">
        <x:v>1262.92</x:v>
      </x:c>
      <x:c r="L1838" s="60" t="n">
        <x:v>183.31</x:v>
      </x:c>
      <x:c r="M1838" s="50" t="n">
        <x:v>52</x:v>
      </x:c>
      <x:c r="N1838" s="50" t="n">
        <x:v>16</x:v>
      </x:c>
      <x:c r="O1838" s="50" t="n">
        <x:v>108</x:v>
      </x:c>
      <x:c r="P1838" s="50" t="n">
        <x:v>20</x:v>
      </x:c>
    </x:row>
    <x:row r="1839" ht="36" customHeight="1">
      <x:c r="A1839" s="53" t="n">
        <x:v>1820</x:v>
      </x:c>
      <x:c r="B1839" s="53" t="n">
        <x:v>2</x:v>
      </x:c>
      <x:c r="C1839" s="40" t="str">
        <x:v>Large-Basket Occasional Shoppers</x:v>
      </x:c>
      <x:c r="D1839" s="60" t="n">
        <x:v>4208.08</x:v>
      </x:c>
      <x:c r="E1839" s="50" t="n">
        <x:v>76</x:v>
      </x:c>
      <x:c r="F1839" s="46" t="n">
        <x:v>4.75</x:v>
      </x:c>
      <x:c r="G1839" s="46" t="n">
        <x:v>50</x:v>
      </x:c>
      <x:c r="H1839" s="61" t="n">
        <x:v>55.369473684210526</x:v>
      </x:c>
      <x:c r="I1839" s="52" t="n">
        <x:v>0.881578947368421</x:v>
      </x:c>
      <x:c r="J1839" s="52" t="n">
        <x:v>0.3716730670519571</x:v>
      </x:c>
      <x:c r="K1839" s="60" t="n">
        <x:v>4071.72</x:v>
      </x:c>
      <x:c r="L1839" s="60" t="n">
        <x:v>136.36</x:v>
      </x:c>
      <x:c r="M1839" s="50" t="n">
        <x:v>67</x:v>
      </x:c>
      <x:c r="N1839" s="50" t="n">
        <x:v>9</x:v>
      </x:c>
      <x:c r="O1839" s="50" t="n">
        <x:v>138</x:v>
      </x:c>
      <x:c r="P1839" s="50" t="n">
        <x:v>16</x:v>
      </x:c>
    </x:row>
    <x:row r="1840" ht="36" customHeight="1">
      <x:c r="A1840" s="53" t="n">
        <x:v>1821</x:v>
      </x:c>
      <x:c r="B1840" s="53" t="n">
        <x:v>1</x:v>
      </x:c>
      <x:c r="C1840" s="40" t="str">
        <x:v>High-Value Frequent Shoppers</x:v>
      </x:c>
      <x:c r="D1840" s="60" t="n">
        <x:v>4937.27</x:v>
      </x:c>
      <x:c r="E1840" s="50" t="n">
        <x:v>128</x:v>
      </x:c>
      <x:c r="F1840" s="46" t="n">
        <x:v>7.111111111111112</x:v>
      </x:c>
      <x:c r="G1840" s="46" t="n">
        <x:v>8</x:v>
      </x:c>
      <x:c r="H1840" s="61" t="n">
        <x:v>38.572421875</x:v>
      </x:c>
      <x:c r="I1840" s="52" t="n">
        <x:v>0.8828125</x:v>
      </x:c>
      <x:c r="J1840" s="52" t="n">
        <x:v>0.4667781992882706</x:v>
      </x:c>
      <x:c r="K1840" s="60" t="n">
        <x:v>4811.85</x:v>
      </x:c>
      <x:c r="L1840" s="60" t="n">
        <x:v>125.42</x:v>
      </x:c>
      <x:c r="M1840" s="50" t="n">
        <x:v>113</x:v>
      </x:c>
      <x:c r="N1840" s="50" t="n">
        <x:v>15</x:v>
      </x:c>
      <x:c r="O1840" s="50" t="n">
        <x:v>169</x:v>
      </x:c>
      <x:c r="P1840" s="50" t="n">
        <x:v>18</x:v>
      </x:c>
    </x:row>
    <x:row r="1841" ht="36" customHeight="1">
      <x:c r="A1841" s="53" t="n">
        <x:v>1822</x:v>
      </x:c>
      <x:c r="B1841" s="53" t="n">
        <x:v>1</x:v>
      </x:c>
      <x:c r="C1841" s="40" t="str">
        <x:v>High-Value Frequent Shoppers</x:v>
      </x:c>
      <x:c r="D1841" s="60" t="n">
        <x:v>3516.44</x:v>
      </x:c>
      <x:c r="E1841" s="50" t="n">
        <x:v>214</x:v>
      </x:c>
      <x:c r="F1841" s="46" t="n">
        <x:v>10.19047619047619</x:v>
      </x:c>
      <x:c r="G1841" s="46" t="n">
        <x:v>0</x:v>
      </x:c>
      <x:c r="H1841" s="61" t="n">
        <x:v>16.431962616822428</x:v>
      </x:c>
      <x:c r="I1841" s="52" t="n">
        <x:v>0.7616822429906542</x:v>
      </x:c>
      <x:c r="J1841" s="52" t="n">
        <x:v>0.4405762646312748</x:v>
      </x:c>
      <x:c r="K1841" s="60" t="n">
        <x:v>3253.61</x:v>
      </x:c>
      <x:c r="L1841" s="60" t="n">
        <x:v>262.83</x:v>
      </x:c>
      <x:c r="M1841" s="50" t="n">
        <x:v>163</x:v>
      </x:c>
      <x:c r="N1841" s="50" t="n">
        <x:v>51</x:v>
      </x:c>
      <x:c r="O1841" s="50" t="n">
        <x:v>173</x:v>
      </x:c>
      <x:c r="P1841" s="50" t="n">
        <x:v>21</x:v>
      </x:c>
    </x:row>
    <x:row r="1842" ht="36" customHeight="1">
      <x:c r="A1842" s="53" t="n">
        <x:v>1823</x:v>
      </x:c>
      <x:c r="B1842" s="53" t="n">
        <x:v>1</x:v>
      </x:c>
      <x:c r="C1842" s="40" t="str">
        <x:v>High-Value Frequent Shoppers</x:v>
      </x:c>
      <x:c r="D1842" s="60" t="n">
        <x:v>12268.85</x:v>
      </x:c>
      <x:c r="E1842" s="50" t="n">
        <x:v>376</x:v>
      </x:c>
      <x:c r="F1842" s="46" t="n">
        <x:v>17.904761904761905</x:v>
      </x:c>
      <x:c r="G1842" s="46" t="n">
        <x:v>0</x:v>
      </x:c>
      <x:c r="H1842" s="61" t="n">
        <x:v>32.62992021276596</x:v>
      </x:c>
      <x:c r="I1842" s="52" t="n">
        <x:v>0.7606382978723404</x:v>
      </x:c>
      <x:c r="J1842" s="52" t="n">
        <x:v>0.5738728568692257</x:v>
      </x:c>
      <x:c r="K1842" s="60" t="n">
        <x:v>11703.31</x:v>
      </x:c>
      <x:c r="L1842" s="60" t="n">
        <x:v>565.54</x:v>
      </x:c>
      <x:c r="M1842" s="50" t="n">
        <x:v>286</x:v>
      </x:c>
      <x:c r="N1842" s="50" t="n">
        <x:v>90</x:v>
      </x:c>
      <x:c r="O1842" s="50" t="n">
        <x:v>181</x:v>
      </x:c>
      <x:c r="P1842" s="50" t="n">
        <x:v>21</x:v>
      </x:c>
    </x:row>
    <x:row r="1843" ht="36" customHeight="1">
      <x:c r="A1843" s="53" t="n">
        <x:v>1824</x:v>
      </x:c>
      <x:c r="B1843" s="53" t="n">
        <x:v>1</x:v>
      </x:c>
      <x:c r="C1843" s="40" t="str">
        <x:v>High-Value Frequent Shoppers</x:v>
      </x:c>
      <x:c r="D1843" s="60" t="n">
        <x:v>3117.11</x:v>
      </x:c>
      <x:c r="E1843" s="50" t="n">
        <x:v>165</x:v>
      </x:c>
      <x:c r="F1843" s="46" t="n">
        <x:v>7.5</x:v>
      </x:c>
      <x:c r="G1843" s="46" t="n">
        <x:v>1</x:v>
      </x:c>
      <x:c r="H1843" s="61" t="n">
        <x:v>18.89157575757576</x:v>
      </x:c>
      <x:c r="I1843" s="52" t="n">
        <x:v>0.7636363636363636</x:v>
      </x:c>
      <x:c r="J1843" s="52" t="n">
        <x:v>0.5250376149702769</x:v>
      </x:c>
      <x:c r="K1843" s="60" t="n">
        <x:v>2801.74</x:v>
      </x:c>
      <x:c r="L1843" s="60" t="n">
        <x:v>315.37</x:v>
      </x:c>
      <x:c r="M1843" s="50" t="n">
        <x:v>126</x:v>
      </x:c>
      <x:c r="N1843" s="50" t="n">
        <x:v>39</x:v>
      </x:c>
      <x:c r="O1843" s="50" t="n">
        <x:v>145</x:v>
      </x:c>
      <x:c r="P1843" s="50" t="n">
        <x:v>22</x:v>
      </x:c>
    </x:row>
    <x:row r="1844" ht="36" customHeight="1">
      <x:c r="A1844" s="53" t="n">
        <x:v>1825</x:v>
      </x:c>
      <x:c r="B1844" s="53" t="n">
        <x:v>2</x:v>
      </x:c>
      <x:c r="C1844" s="40" t="str">
        <x:v>Large-Basket Occasional Shoppers</x:v>
      </x:c>
      <x:c r="D1844" s="60" t="n">
        <x:v>1831.84</x:v>
      </x:c>
      <x:c r="E1844" s="50" t="n">
        <x:v>43</x:v>
      </x:c>
      <x:c r="F1844" s="46" t="n">
        <x:v>2.6875</x:v>
      </x:c>
      <x:c r="G1844" s="46" t="n">
        <x:v>118</x:v>
      </x:c>
      <x:c r="H1844" s="61" t="n">
        <x:v>42.60093023255813</x:v>
      </x:c>
      <x:c r="I1844" s="52" t="n">
        <x:v>0.9534883720930232</x:v>
      </x:c>
      <x:c r="J1844" s="52" t="n">
        <x:v>0.5664577692374879</x:v>
      </x:c>
      <x:c r="K1844" s="60" t="n">
        <x:v>1807.87</x:v>
      </x:c>
      <x:c r="L1844" s="60" t="n">
        <x:v>23.97</x:v>
      </x:c>
      <x:c r="M1844" s="50" t="n">
        <x:v>41</x:v>
      </x:c>
      <x:c r="N1844" s="50" t="n">
        <x:v>2</x:v>
      </x:c>
      <x:c r="O1844" s="50" t="n">
        <x:v>91</x:v>
      </x:c>
      <x:c r="P1844" s="50" t="n">
        <x:v>16</x:v>
      </x:c>
    </x:row>
    <x:row r="1845" ht="36" customHeight="1">
      <x:c r="A1845" s="53" t="n">
        <x:v>1826</x:v>
      </x:c>
      <x:c r="B1845" s="53" t="n">
        <x:v>1</x:v>
      </x:c>
      <x:c r="C1845" s="40" t="str">
        <x:v>High-Value Frequent Shoppers</x:v>
      </x:c>
      <x:c r="D1845" s="60" t="n">
        <x:v>1994.47</x:v>
      </x:c>
      <x:c r="E1845" s="50" t="n">
        <x:v>111</x:v>
      </x:c>
      <x:c r="F1845" s="46" t="n">
        <x:v>5.045454545454546</x:v>
      </x:c>
      <x:c r="G1845" s="46" t="n">
        <x:v>3</x:v>
      </x:c>
      <x:c r="H1845" s="61" t="n">
        <x:v>17.9681981981982</x:v>
      </x:c>
      <x:c r="I1845" s="52" t="n">
        <x:v>0.8648648648648648</x:v>
      </x:c>
      <x:c r="J1845" s="52" t="n">
        <x:v>0.5339162785100803</x:v>
      </x:c>
      <x:c r="K1845" s="60" t="n">
        <x:v>1905.19</x:v>
      </x:c>
      <x:c r="L1845" s="60" t="n">
        <x:v>89.28</x:v>
      </x:c>
      <x:c r="M1845" s="50" t="n">
        <x:v>96</x:v>
      </x:c>
      <x:c r="N1845" s="50" t="n">
        <x:v>15</x:v>
      </x:c>
      <x:c r="O1845" s="50" t="n">
        <x:v>122</x:v>
      </x:c>
      <x:c r="P1845" s="50" t="n">
        <x:v>22</x:v>
      </x:c>
    </x:row>
    <x:row r="1846" ht="36" customHeight="1">
      <x:c r="A1846" s="53" t="n">
        <x:v>1827</x:v>
      </x:c>
      <x:c r="B1846" s="53" t="n">
        <x:v>3</x:v>
      </x:c>
      <x:c r="C1846" s="40" t="str">
        <x:v>Low-Value Low-Engagement Shoppers</x:v>
      </x:c>
      <x:c r="D1846" s="60" t="n">
        <x:v>682.23</x:v>
      </x:c>
      <x:c r="E1846" s="50" t="n">
        <x:v>41</x:v>
      </x:c>
      <x:c r="F1846" s="46" t="n">
        <x:v>3.727272727272727</x:v>
      </x:c>
      <x:c r="G1846" s="46" t="n">
        <x:v>5</x:v>
      </x:c>
      <x:c r="H1846" s="61" t="n">
        <x:v>16.639756097560976</x:v>
      </x:c>
      <x:c r="I1846" s="52" t="n">
        <x:v>0.8292682926829268</x:v>
      </x:c>
      <x:c r="J1846" s="52" t="n">
        <x:v>0.479237207393401</x:v>
      </x:c>
      <x:c r="K1846" s="60" t="n">
        <x:v>638.37</x:v>
      </x:c>
      <x:c r="L1846" s="60" t="n">
        <x:v>43.86</x:v>
      </x:c>
      <x:c r="M1846" s="50" t="n">
        <x:v>34</x:v>
      </x:c>
      <x:c r="N1846" s="50" t="n">
        <x:v>7</x:v>
      </x:c>
      <x:c r="O1846" s="50" t="n">
        <x:v>78</x:v>
      </x:c>
      <x:c r="P1846" s="50" t="n">
        <x:v>11</x:v>
      </x:c>
    </x:row>
    <x:row r="1847" ht="36" customHeight="1">
      <x:c r="A1847" s="53" t="n">
        <x:v>1828</x:v>
      </x:c>
      <x:c r="B1847" s="53" t="n">
        <x:v>2</x:v>
      </x:c>
      <x:c r="C1847" s="40" t="str">
        <x:v>Large-Basket Occasional Shoppers</x:v>
      </x:c>
      <x:c r="D1847" s="60" t="n">
        <x:v>5813.77</x:v>
      </x:c>
      <x:c r="E1847" s="50" t="n">
        <x:v>86</x:v>
      </x:c>
      <x:c r="F1847" s="46" t="n">
        <x:v>6.615384615384616</x:v>
      </x:c>
      <x:c r="G1847" s="46" t="n">
        <x:v>141</x:v>
      </x:c>
      <x:c r="H1847" s="61" t="n">
        <x:v>67.60197674418605</x:v>
      </x:c>
      <x:c r="I1847" s="52" t="n">
        <x:v>0.872093023255814</x:v>
      </x:c>
      <x:c r="J1847" s="52" t="n">
        <x:v>0.345266496610633</x:v>
      </x:c>
      <x:c r="K1847" s="60" t="n">
        <x:v>5648.94</x:v>
      </x:c>
      <x:c r="L1847" s="60" t="n">
        <x:v>164.83</x:v>
      </x:c>
      <x:c r="M1847" s="50" t="n">
        <x:v>75</x:v>
      </x:c>
      <x:c r="N1847" s="50" t="n">
        <x:v>11</x:v>
      </x:c>
      <x:c r="O1847" s="50" t="n">
        <x:v>156</x:v>
      </x:c>
      <x:c r="P1847" s="50" t="n">
        <x:v>13</x:v>
      </x:c>
    </x:row>
    <x:row r="1848" ht="36" customHeight="1">
      <x:c r="A1848" s="53" t="n">
        <x:v>1829</x:v>
      </x:c>
      <x:c r="B1848" s="53" t="n">
        <x:v>1</x:v>
      </x:c>
      <x:c r="C1848" s="40" t="str">
        <x:v>High-Value Frequent Shoppers</x:v>
      </x:c>
      <x:c r="D1848" s="60" t="n">
        <x:v>6618.55</x:v>
      </x:c>
      <x:c r="E1848" s="50" t="n">
        <x:v>319</x:v>
      </x:c>
      <x:c r="F1848" s="46" t="n">
        <x:v>14.5</x:v>
      </x:c>
      <x:c r="G1848" s="46" t="n">
        <x:v>1</x:v>
      </x:c>
      <x:c r="H1848" s="61" t="n">
        <x:v>20.747805642633228</x:v>
      </x:c>
      <x:c r="I1848" s="52" t="n">
        <x:v>0.8777429467084639</x:v>
      </x:c>
      <x:c r="J1848" s="52" t="n">
        <x:v>0.4545995724138973</x:v>
      </x:c>
      <x:c r="K1848" s="60" t="n">
        <x:v>6135.17</x:v>
      </x:c>
      <x:c r="L1848" s="60" t="n">
        <x:v>483.38</x:v>
      </x:c>
      <x:c r="M1848" s="50" t="n">
        <x:v>280</x:v>
      </x:c>
      <x:c r="N1848" s="50" t="n">
        <x:v>39</x:v>
      </x:c>
      <x:c r="O1848" s="50" t="n">
        <x:v>148</x:v>
      </x:c>
      <x:c r="P1848" s="50" t="n">
        <x:v>22</x:v>
      </x:c>
    </x:row>
    <x:row r="1849" ht="36" customHeight="1">
      <x:c r="A1849" s="53" t="n">
        <x:v>1830</x:v>
      </x:c>
      <x:c r="B1849" s="53" t="n">
        <x:v>3</x:v>
      </x:c>
      <x:c r="C1849" s="40" t="str">
        <x:v>Low-Value Low-Engagement Shoppers</x:v>
      </x:c>
      <x:c r="D1849" s="60" t="n">
        <x:v>39.44</x:v>
      </x:c>
      <x:c r="E1849" s="50" t="n">
        <x:v>1</x:v>
      </x:c>
      <x:c r="F1849" s="46" t="n">
        <x:v>1</x:v>
      </x:c>
      <x:c r="G1849" s="46" t="n">
        <x:v>642</x:v>
      </x:c>
      <x:c r="H1849" s="61" t="n">
        <x:v>39.44</x:v>
      </x:c>
      <x:c r="I1849" s="52" t="n">
        <x:v>1</x:v>
      </x:c>
      <x:c r="J1849" s="52" t="n">
        <x:v>0.5076064908722109</x:v>
      </x:c>
      <x:c r="K1849" s="60" t="n">
        <x:v>39.44</x:v>
      </x:c>
      <x:c r="L1849" s="60" t="n">
        <x:v>0</x:v>
      </x:c>
      <x:c r="M1849" s="50" t="n">
        <x:v>1</x:v>
      </x:c>
      <x:c r="N1849" s="50" t="n">
        <x:v>0</x:v>
      </x:c>
      <x:c r="O1849" s="50" t="n">
        <x:v>7</x:v>
      </x:c>
      <x:c r="P1849" s="50" t="n">
        <x:v>1</x:v>
      </x:c>
    </x:row>
    <x:row r="1850" ht="36" customHeight="1">
      <x:c r="A1850" s="53" t="n">
        <x:v>1831</x:v>
      </x:c>
      <x:c r="B1850" s="53" t="n">
        <x:v>1</x:v>
      </x:c>
      <x:c r="C1850" s="40" t="str">
        <x:v>High-Value Frequent Shoppers</x:v>
      </x:c>
      <x:c r="D1850" s="60" t="n">
        <x:v>5562.06</x:v>
      </x:c>
      <x:c r="E1850" s="50" t="n">
        <x:v>166</x:v>
      </x:c>
      <x:c r="F1850" s="46" t="n">
        <x:v>7.904761904761904</x:v>
      </x:c>
      <x:c r="G1850" s="46" t="n">
        <x:v>10</x:v>
      </x:c>
      <x:c r="H1850" s="61" t="n">
        <x:v>33.50638554216867</x:v>
      </x:c>
      <x:c r="I1850" s="52" t="n">
        <x:v>0.8674698795180722</x:v>
      </x:c>
      <x:c r="J1850" s="52" t="n">
        <x:v>0.6288982858868836</x:v>
      </x:c>
      <x:c r="K1850" s="60" t="n">
        <x:v>5268.84</x:v>
      </x:c>
      <x:c r="L1850" s="60" t="n">
        <x:v>293.22</x:v>
      </x:c>
      <x:c r="M1850" s="50" t="n">
        <x:v>144</x:v>
      </x:c>
      <x:c r="N1850" s="50" t="n">
        <x:v>22</x:v>
      </x:c>
      <x:c r="O1850" s="50" t="n">
        <x:v>164</x:v>
      </x:c>
      <x:c r="P1850" s="50" t="n">
        <x:v>21</x:v>
      </x:c>
    </x:row>
    <x:row r="1851" ht="36" customHeight="1">
      <x:c r="A1851" s="53" t="n">
        <x:v>1832</x:v>
      </x:c>
      <x:c r="B1851" s="53" t="n">
        <x:v>2</x:v>
      </x:c>
      <x:c r="C1851" s="40" t="str">
        <x:v>Large-Basket Occasional Shoppers</x:v>
      </x:c>
      <x:c r="D1851" s="60" t="n">
        <x:v>1357.55</x:v>
      </x:c>
      <x:c r="E1851" s="50" t="n">
        <x:v>55</x:v>
      </x:c>
      <x:c r="F1851" s="46" t="n">
        <x:v>2.75</x:v>
      </x:c>
      <x:c r="G1851" s="46" t="n">
        <x:v>8</x:v>
      </x:c>
      <x:c r="H1851" s="61" t="n">
        <x:v>24.682727272727277</x:v>
      </x:c>
      <x:c r="I1851" s="52" t="n">
        <x:v>0.8363636363636363</x:v>
      </x:c>
      <x:c r="J1851" s="52" t="n">
        <x:v>0.4435048432838569</x:v>
      </x:c>
      <x:c r="K1851" s="60" t="n">
        <x:v>1301.55</x:v>
      </x:c>
      <x:c r="L1851" s="60" t="n">
        <x:v>56</x:v>
      </x:c>
      <x:c r="M1851" s="50" t="n">
        <x:v>46</x:v>
      </x:c>
      <x:c r="N1851" s="50" t="n">
        <x:v>9</x:v>
      </x:c>
      <x:c r="O1851" s="50" t="n">
        <x:v>108</x:v>
      </x:c>
      <x:c r="P1851" s="50" t="n">
        <x:v>20</x:v>
      </x:c>
    </x:row>
    <x:row r="1852" ht="36" customHeight="1">
      <x:c r="A1852" s="53" t="n">
        <x:v>1833</x:v>
      </x:c>
      <x:c r="B1852" s="53" t="n">
        <x:v>1</x:v>
      </x:c>
      <x:c r="C1852" s="40" t="str">
        <x:v>High-Value Frequent Shoppers</x:v>
      </x:c>
      <x:c r="D1852" s="60" t="n">
        <x:v>2991.81</x:v>
      </x:c>
      <x:c r="E1852" s="50" t="n">
        <x:v>83</x:v>
      </x:c>
      <x:c r="F1852" s="46" t="n">
        <x:v>3.6086956521739126</x:v>
      </x:c>
      <x:c r="G1852" s="46" t="n">
        <x:v>0</x:v>
      </x:c>
      <x:c r="H1852" s="61" t="n">
        <x:v>36.04590361445784</x:v>
      </x:c>
      <x:c r="I1852" s="52" t="n">
        <x:v>0.9036144578313252</x:v>
      </x:c>
      <x:c r="J1852" s="52" t="n">
        <x:v>0.651027304541398</x:v>
      </x:c>
      <x:c r="K1852" s="60" t="n">
        <x:v>2922.41</x:v>
      </x:c>
      <x:c r="L1852" s="60" t="n">
        <x:v>69.4</x:v>
      </x:c>
      <x:c r="M1852" s="50" t="n">
        <x:v>75</x:v>
      </x:c>
      <x:c r="N1852" s="50" t="n">
        <x:v>8</x:v>
      </x:c>
      <x:c r="O1852" s="50" t="n">
        <x:v>131</x:v>
      </x:c>
      <x:c r="P1852" s="50" t="n">
        <x:v>23</x:v>
      </x:c>
    </x:row>
    <x:row r="1853" ht="36" customHeight="1">
      <x:c r="A1853" s="53" t="n">
        <x:v>1834</x:v>
      </x:c>
      <x:c r="B1853" s="53" t="n">
        <x:v>1</x:v>
      </x:c>
      <x:c r="C1853" s="40" t="str">
        <x:v>High-Value Frequent Shoppers</x:v>
      </x:c>
      <x:c r="D1853" s="60" t="n">
        <x:v>3769.5</x:v>
      </x:c>
      <x:c r="E1853" s="50" t="n">
        <x:v>135</x:v>
      </x:c>
      <x:c r="F1853" s="46" t="n">
        <x:v>7.105263157894737</x:v>
      </x:c>
      <x:c r="G1853" s="46" t="n">
        <x:v>52</x:v>
      </x:c>
      <x:c r="H1853" s="61" t="n">
        <x:v>27.922222222222224</x:v>
      </x:c>
      <x:c r="I1853" s="52" t="n">
        <x:v>0.8592592592592592</x:v>
      </x:c>
      <x:c r="J1853" s="52" t="n">
        <x:v>0.5709775832338506</x:v>
      </x:c>
      <x:c r="K1853" s="60" t="n">
        <x:v>3537.09</x:v>
      </x:c>
      <x:c r="L1853" s="60" t="n">
        <x:v>232.41</x:v>
      </x:c>
      <x:c r="M1853" s="50" t="n">
        <x:v>116</x:v>
      </x:c>
      <x:c r="N1853" s="50" t="n">
        <x:v>19</x:v>
      </x:c>
      <x:c r="O1853" s="50" t="n">
        <x:v>147</x:v>
      </x:c>
      <x:c r="P1853" s="50" t="n">
        <x:v>19</x:v>
      </x:c>
    </x:row>
    <x:row r="1854" ht="36" customHeight="1">
      <x:c r="A1854" s="53" t="n">
        <x:v>1835</x:v>
      </x:c>
      <x:c r="B1854" s="53" t="n">
        <x:v>1</x:v>
      </x:c>
      <x:c r="C1854" s="40" t="str">
        <x:v>High-Value Frequent Shoppers</x:v>
      </x:c>
      <x:c r="D1854" s="60" t="n">
        <x:v>10995.71</x:v>
      </x:c>
      <x:c r="E1854" s="50" t="n">
        <x:v>310</x:v>
      </x:c>
      <x:c r="F1854" s="46" t="n">
        <x:v>12.916666666666666</x:v>
      </x:c>
      <x:c r="G1854" s="46" t="n">
        <x:v>5</x:v>
      </x:c>
      <x:c r="H1854" s="61" t="n">
        <x:v>35.47003225806452</x:v>
      </x:c>
      <x:c r="I1854" s="52" t="n">
        <x:v>0.9032258064516128</x:v>
      </x:c>
      <x:c r="J1854" s="52" t="n">
        <x:v>0.5072405510876514</x:v>
      </x:c>
      <x:c r="K1854" s="60" t="n">
        <x:v>10646.12</x:v>
      </x:c>
      <x:c r="L1854" s="60" t="n">
        <x:v>349.59</x:v>
      </x:c>
      <x:c r="M1854" s="50" t="n">
        <x:v>280</x:v>
      </x:c>
      <x:c r="N1854" s="50" t="n">
        <x:v>30</x:v>
      </x:c>
      <x:c r="O1854" s="50" t="n">
        <x:v>202</x:v>
      </x:c>
      <x:c r="P1854" s="50" t="n">
        <x:v>24</x:v>
      </x:c>
    </x:row>
    <x:row r="1855" ht="36" customHeight="1">
      <x:c r="A1855" s="53" t="n">
        <x:v>1836</x:v>
      </x:c>
      <x:c r="B1855" s="53" t="n">
        <x:v>2</x:v>
      </x:c>
      <x:c r="C1855" s="40" t="str">
        <x:v>Large-Basket Occasional Shoppers</x:v>
      </x:c>
      <x:c r="D1855" s="60" t="n">
        <x:v>2991.96</x:v>
      </x:c>
      <x:c r="E1855" s="50" t="n">
        <x:v>93</x:v>
      </x:c>
      <x:c r="F1855" s="46" t="n">
        <x:v>4.227272727272728</x:v>
      </x:c>
      <x:c r="G1855" s="46" t="n">
        <x:v>10</x:v>
      </x:c>
      <x:c r="H1855" s="61" t="n">
        <x:v>32.17161290322581</x:v>
      </x:c>
      <x:c r="I1855" s="52" t="n">
        <x:v>0.8172043010752688</x:v>
      </x:c>
      <x:c r="J1855" s="52" t="n">
        <x:v>0.4370646666399283</x:v>
      </x:c>
      <x:c r="K1855" s="60" t="n">
        <x:v>2795.41</x:v>
      </x:c>
      <x:c r="L1855" s="60" t="n">
        <x:v>196.55</x:v>
      </x:c>
      <x:c r="M1855" s="50" t="n">
        <x:v>76</x:v>
      </x:c>
      <x:c r="N1855" s="50" t="n">
        <x:v>17</x:v>
      </x:c>
      <x:c r="O1855" s="50" t="n">
        <x:v>133</x:v>
      </x:c>
      <x:c r="P1855" s="50" t="n">
        <x:v>22</x:v>
      </x:c>
    </x:row>
    <x:row r="1856" ht="36" customHeight="1">
      <x:c r="A1856" s="53" t="n">
        <x:v>1837</x:v>
      </x:c>
      <x:c r="B1856" s="53" t="n">
        <x:v>1</x:v>
      </x:c>
      <x:c r="C1856" s="40" t="str">
        <x:v>High-Value Frequent Shoppers</x:v>
      </x:c>
      <x:c r="D1856" s="60" t="n">
        <x:v>7528.5</x:v>
      </x:c>
      <x:c r="E1856" s="50" t="n">
        <x:v>160</x:v>
      </x:c>
      <x:c r="F1856" s="46" t="n">
        <x:v>8</x:v>
      </x:c>
      <x:c r="G1856" s="46" t="n">
        <x:v>4</x:v>
      </x:c>
      <x:c r="H1856" s="61" t="n">
        <x:v>47.053125</x:v>
      </x:c>
      <x:c r="I1856" s="52" t="n">
        <x:v>0.78125</x:v>
      </x:c>
      <x:c r="J1856" s="52" t="n">
        <x:v>0.3272843195855748</x:v>
      </x:c>
      <x:c r="K1856" s="60" t="n">
        <x:v>6050.2</x:v>
      </x:c>
      <x:c r="L1856" s="60" t="n">
        <x:v>1478.3</x:v>
      </x:c>
      <x:c r="M1856" s="50" t="n">
        <x:v>125</x:v>
      </x:c>
      <x:c r="N1856" s="50" t="n">
        <x:v>35</x:v>
      </x:c>
      <x:c r="O1856" s="50" t="n">
        <x:v>135</x:v>
      </x:c>
      <x:c r="P1856" s="50" t="n">
        <x:v>20</x:v>
      </x:c>
    </x:row>
    <x:row r="1857" ht="36" customHeight="1">
      <x:c r="A1857" s="53" t="n">
        <x:v>1838</x:v>
      </x:c>
      <x:c r="B1857" s="53" t="n">
        <x:v>2</x:v>
      </x:c>
      <x:c r="C1857" s="40" t="str">
        <x:v>Large-Basket Occasional Shoppers</x:v>
      </x:c>
      <x:c r="D1857" s="60" t="n">
        <x:v>1179.61</x:v>
      </x:c>
      <x:c r="E1857" s="50" t="n">
        <x:v>33</x:v>
      </x:c>
      <x:c r="F1857" s="46" t="n">
        <x:v>1.9411764705882355</x:v>
      </x:c>
      <x:c r="G1857" s="46" t="n">
        <x:v>27</x:v>
      </x:c>
      <x:c r="H1857" s="61" t="n">
        <x:v>35.74575757575757</x:v>
      </x:c>
      <x:c r="I1857" s="52" t="n">
        <x:v>0.9393939393939392</x:v>
      </x:c>
      <x:c r="J1857" s="52" t="n">
        <x:v>0.6299793999711769</x:v>
      </x:c>
      <x:c r="K1857" s="60" t="n">
        <x:v>1162.68</x:v>
      </x:c>
      <x:c r="L1857" s="60" t="n">
        <x:v>16.93</x:v>
      </x:c>
      <x:c r="M1857" s="50" t="n">
        <x:v>31</x:v>
      </x:c>
      <x:c r="N1857" s="50" t="n">
        <x:v>2</x:v>
      </x:c>
      <x:c r="O1857" s="50" t="n">
        <x:v>88</x:v>
      </x:c>
      <x:c r="P1857" s="50" t="n">
        <x:v>17</x:v>
      </x:c>
    </x:row>
    <x:row r="1858" ht="36" customHeight="1">
      <x:c r="A1858" s="53" t="n">
        <x:v>1839</x:v>
      </x:c>
      <x:c r="B1858" s="53" t="n">
        <x:v>3</x:v>
      </x:c>
      <x:c r="C1858" s="40" t="str">
        <x:v>Low-Value Low-Engagement Shoppers</x:v>
      </x:c>
      <x:c r="D1858" s="60" t="n">
        <x:v>1764.15</x:v>
      </x:c>
      <x:c r="E1858" s="50" t="n">
        <x:v>99</x:v>
      </x:c>
      <x:c r="F1858" s="46" t="n">
        <x:v>4.7142857142857135</x:v>
      </x:c>
      <x:c r="G1858" s="46" t="n">
        <x:v>3</x:v>
      </x:c>
      <x:c r="H1858" s="61" t="n">
        <x:v>17.819696969696967</x:v>
      </x:c>
      <x:c r="I1858" s="52" t="n">
        <x:v>0.7878787878787878</x:v>
      </x:c>
      <x:c r="J1858" s="52" t="n">
        <x:v>0.4883655017997335</x:v>
      </x:c>
      <x:c r="K1858" s="60" t="n">
        <x:v>1577.25</x:v>
      </x:c>
      <x:c r="L1858" s="60" t="n">
        <x:v>186.9</x:v>
      </x:c>
      <x:c r="M1858" s="50" t="n">
        <x:v>78</x:v>
      </x:c>
      <x:c r="N1858" s="50" t="n">
        <x:v>21</x:v>
      </x:c>
      <x:c r="O1858" s="50" t="n">
        <x:v>57</x:v>
      </x:c>
      <x:c r="P1858" s="50" t="n">
        <x:v>21</x:v>
      </x:c>
    </x:row>
    <x:row r="1859" ht="36" customHeight="1">
      <x:c r="A1859" s="53" t="n">
        <x:v>1840</x:v>
      </x:c>
      <x:c r="B1859" s="53" t="n">
        <x:v>3</x:v>
      </x:c>
      <x:c r="C1859" s="40" t="str">
        <x:v>Low-Value Low-Engagement Shoppers</x:v>
      </x:c>
      <x:c r="D1859" s="60" t="n">
        <x:v>337.21</x:v>
      </x:c>
      <x:c r="E1859" s="50" t="n">
        <x:v>37</x:v>
      </x:c>
      <x:c r="F1859" s="46" t="n">
        <x:v>4.625</x:v>
      </x:c>
      <x:c r="G1859" s="46" t="n">
        <x:v>155</x:v>
      </x:c>
      <x:c r="H1859" s="61" t="n">
        <x:v>9.113783783783786</x:v>
      </x:c>
      <x:c r="I1859" s="52" t="n">
        <x:v>0.4594594594594594</x:v>
      </x:c>
      <x:c r="J1859" s="52" t="n">
        <x:v>0.2280774591500845</x:v>
      </x:c>
      <x:c r="K1859" s="60" t="n">
        <x:v>186.59</x:v>
      </x:c>
      <x:c r="L1859" s="60" t="n">
        <x:v>150.62</x:v>
      </x:c>
      <x:c r="M1859" s="50" t="n">
        <x:v>17</x:v>
      </x:c>
      <x:c r="N1859" s="50" t="n">
        <x:v>20</x:v>
      </x:c>
      <x:c r="O1859" s="50" t="n">
        <x:v>50</x:v>
      </x:c>
      <x:c r="P1859" s="50" t="n">
        <x:v>8</x:v>
      </x:c>
    </x:row>
    <x:row r="1860" ht="36" customHeight="1">
      <x:c r="A1860" s="53" t="n">
        <x:v>1841</x:v>
      </x:c>
      <x:c r="B1860" s="53" t="n">
        <x:v>2</x:v>
      </x:c>
      <x:c r="C1860" s="40" t="str">
        <x:v>Large-Basket Occasional Shoppers</x:v>
      </x:c>
      <x:c r="D1860" s="60" t="n">
        <x:v>2401.78</x:v>
      </x:c>
      <x:c r="E1860" s="50" t="n">
        <x:v>32</x:v>
      </x:c>
      <x:c r="F1860" s="46" t="n">
        <x:v>1.777777777777778</x:v>
      </x:c>
      <x:c r="G1860" s="46" t="n">
        <x:v>10</x:v>
      </x:c>
      <x:c r="H1860" s="61" t="n">
        <x:v>75.055625</x:v>
      </x:c>
      <x:c r="I1860" s="52" t="n">
        <x:v>0.96875</x:v>
      </x:c>
      <x:c r="J1860" s="52" t="n">
        <x:v>0.3738518931792254</x:v>
      </x:c>
      <x:c r="K1860" s="60" t="n">
        <x:v>2367.56</x:v>
      </x:c>
      <x:c r="L1860" s="60" t="n">
        <x:v>34.22</x:v>
      </x:c>
      <x:c r="M1860" s="50" t="n">
        <x:v>31</x:v>
      </x:c>
      <x:c r="N1860" s="50" t="n">
        <x:v>1</x:v>
      </x:c>
      <x:c r="O1860" s="50" t="n">
        <x:v>104</x:v>
      </x:c>
      <x:c r="P1860" s="50" t="n">
        <x:v>18</x:v>
      </x:c>
    </x:row>
    <x:row r="1861" ht="36" customHeight="1">
      <x:c r="A1861" s="53" t="n">
        <x:v>1842</x:v>
      </x:c>
      <x:c r="B1861" s="53" t="n">
        <x:v>2</x:v>
      </x:c>
      <x:c r="C1861" s="40" t="str">
        <x:v>Large-Basket Occasional Shoppers</x:v>
      </x:c>
      <x:c r="D1861" s="60" t="n">
        <x:v>906.65</x:v>
      </x:c>
      <x:c r="E1861" s="50" t="n">
        <x:v>19</x:v>
      </x:c>
      <x:c r="F1861" s="46" t="n">
        <x:v>1.4615384615384617</x:v>
      </x:c>
      <x:c r="G1861" s="46" t="n">
        <x:v>6</x:v>
      </x:c>
      <x:c r="H1861" s="61" t="n">
        <x:v>47.71842105263158</x:v>
      </x:c>
      <x:c r="I1861" s="52" t="n">
        <x:v>0.894736842105263</x:v>
      </x:c>
      <x:c r="J1861" s="52" t="n">
        <x:v>0.3137484144929134</x:v>
      </x:c>
      <x:c r="K1861" s="60" t="n">
        <x:v>876.01</x:v>
      </x:c>
      <x:c r="L1861" s="60" t="n">
        <x:v>30.64</x:v>
      </x:c>
      <x:c r="M1861" s="50" t="n">
        <x:v>17</x:v>
      </x:c>
      <x:c r="N1861" s="50" t="n">
        <x:v>2</x:v>
      </x:c>
      <x:c r="O1861" s="50" t="n">
        <x:v>77</x:v>
      </x:c>
      <x:c r="P1861" s="50" t="n">
        <x:v>13</x:v>
      </x:c>
    </x:row>
    <x:row r="1862" ht="36" customHeight="1">
      <x:c r="A1862" s="53" t="n">
        <x:v>1843</x:v>
      </x:c>
      <x:c r="B1862" s="53" t="n">
        <x:v>3</x:v>
      </x:c>
      <x:c r="C1862" s="40" t="str">
        <x:v>Low-Value Low-Engagement Shoppers</x:v>
      </x:c>
      <x:c r="D1862" s="60" t="n">
        <x:v>770.15</x:v>
      </x:c>
      <x:c r="E1862" s="50" t="n">
        <x:v>42</x:v>
      </x:c>
      <x:c r="F1862" s="46" t="n">
        <x:v>2.333333333333333</x:v>
      </x:c>
      <x:c r="G1862" s="46" t="n">
        <x:v>29</x:v>
      </x:c>
      <x:c r="H1862" s="61" t="n">
        <x:v>18.33690476190476</x:v>
      </x:c>
      <x:c r="I1862" s="52" t="n">
        <x:v>0.8333333333333333</x:v>
      </x:c>
      <x:c r="J1862" s="52" t="n">
        <x:v>0.5751217295332078</x:v>
      </x:c>
      <x:c r="K1862" s="60" t="n">
        <x:v>711.71</x:v>
      </x:c>
      <x:c r="L1862" s="60" t="n">
        <x:v>58.44</x:v>
      </x:c>
      <x:c r="M1862" s="50" t="n">
        <x:v>35</x:v>
      </x:c>
      <x:c r="N1862" s="50" t="n">
        <x:v>7</x:v>
      </x:c>
      <x:c r="O1862" s="50" t="n">
        <x:v>66</x:v>
      </x:c>
      <x:c r="P1862" s="50" t="n">
        <x:v>18</x:v>
      </x:c>
    </x:row>
    <x:row r="1863" ht="36" customHeight="1">
      <x:c r="A1863" s="53" t="n">
        <x:v>1844</x:v>
      </x:c>
      <x:c r="B1863" s="53" t="n">
        <x:v>3</x:v>
      </x:c>
      <x:c r="C1863" s="40" t="str">
        <x:v>Low-Value Low-Engagement Shoppers</x:v>
      </x:c>
      <x:c r="D1863" s="60" t="n">
        <x:v>1523.8</x:v>
      </x:c>
      <x:c r="E1863" s="50" t="n">
        <x:v>83</x:v>
      </x:c>
      <x:c r="F1863" s="46" t="n">
        <x:v>3.952380952380952</x:v>
      </x:c>
      <x:c r="G1863" s="46" t="n">
        <x:v>3</x:v>
      </x:c>
      <x:c r="H1863" s="61" t="n">
        <x:v>18.359036144578315</x:v>
      </x:c>
      <x:c r="I1863" s="52" t="n">
        <x:v>0.6506024096385542</x:v>
      </x:c>
      <x:c r="J1863" s="52" t="n">
        <x:v>0.2054206588791179</x:v>
      </x:c>
      <x:c r="K1863" s="60" t="n">
        <x:v>1171.2</x:v>
      </x:c>
      <x:c r="L1863" s="60" t="n">
        <x:v>352.6</x:v>
      </x:c>
      <x:c r="M1863" s="50" t="n">
        <x:v>54</x:v>
      </x:c>
      <x:c r="N1863" s="50" t="n">
        <x:v>29</x:v>
      </x:c>
      <x:c r="O1863" s="50" t="n">
        <x:v>116</x:v>
      </x:c>
      <x:c r="P1863" s="50" t="n">
        <x:v>21</x:v>
      </x:c>
    </x:row>
    <x:row r="1864" ht="36" customHeight="1">
      <x:c r="A1864" s="53" t="n">
        <x:v>1845</x:v>
      </x:c>
      <x:c r="B1864" s="53" t="n">
        <x:v>1</x:v>
      </x:c>
      <x:c r="C1864" s="40" t="str">
        <x:v>High-Value Frequent Shoppers</x:v>
      </x:c>
      <x:c r="D1864" s="60" t="n">
        <x:v>12647.61</x:v>
      </x:c>
      <x:c r="E1864" s="50" t="n">
        <x:v>151</x:v>
      </x:c>
      <x:c r="F1864" s="46" t="n">
        <x:v>6.565217391304348</x:v>
      </x:c>
      <x:c r="G1864" s="46" t="n">
        <x:v>0</x:v>
      </x:c>
      <x:c r="H1864" s="61" t="n">
        <x:v>83.75900662251654</x:v>
      </x:c>
      <x:c r="I1864" s="52" t="n">
        <x:v>0.9403973509933774</x:v>
      </x:c>
      <x:c r="J1864" s="52" t="n">
        <x:v>0.359282900089424</x:v>
      </x:c>
      <x:c r="K1864" s="60" t="n">
        <x:v>12524.42</x:v>
      </x:c>
      <x:c r="L1864" s="60" t="n">
        <x:v>123.19</x:v>
      </x:c>
      <x:c r="M1864" s="50" t="n">
        <x:v>142</x:v>
      </x:c>
      <x:c r="N1864" s="50" t="n">
        <x:v>9</x:v>
      </x:c>
      <x:c r="O1864" s="50" t="n">
        <x:v>196</x:v>
      </x:c>
      <x:c r="P1864" s="50" t="n">
        <x:v>23</x:v>
      </x:c>
    </x:row>
    <x:row r="1865" ht="36" customHeight="1">
      <x:c r="A1865" s="53" t="n">
        <x:v>1846</x:v>
      </x:c>
      <x:c r="B1865" s="53" t="n">
        <x:v>2</x:v>
      </x:c>
      <x:c r="C1865" s="40" t="str">
        <x:v>Large-Basket Occasional Shoppers</x:v>
      </x:c>
      <x:c r="D1865" s="60" t="n">
        <x:v>690.39</x:v>
      </x:c>
      <x:c r="E1865" s="50" t="n">
        <x:v>25</x:v>
      </x:c>
      <x:c r="F1865" s="46" t="n">
        <x:v>2.083333333333333</x:v>
      </x:c>
      <x:c r="G1865" s="46" t="n">
        <x:v>3</x:v>
      </x:c>
      <x:c r="H1865" s="61" t="n">
        <x:v>27.6156</x:v>
      </x:c>
      <x:c r="I1865" s="52" t="n">
        <x:v>0.84</x:v>
      </x:c>
      <x:c r="J1865" s="52" t="n">
        <x:v>0.6774142151537536</x:v>
      </x:c>
      <x:c r="K1865" s="60" t="n">
        <x:v>672.91</x:v>
      </x:c>
      <x:c r="L1865" s="60" t="n">
        <x:v>17.48</x:v>
      </x:c>
      <x:c r="M1865" s="50" t="n">
        <x:v>21</x:v>
      </x:c>
      <x:c r="N1865" s="50" t="n">
        <x:v>4</x:v>
      </x:c>
      <x:c r="O1865" s="50" t="n">
        <x:v>71</x:v>
      </x:c>
      <x:c r="P1865" s="50" t="n">
        <x:v>12</x:v>
      </x:c>
    </x:row>
    <x:row r="1866" ht="36" customHeight="1">
      <x:c r="A1866" s="53" t="n">
        <x:v>1847</x:v>
      </x:c>
      <x:c r="B1866" s="53" t="n">
        <x:v>1</x:v>
      </x:c>
      <x:c r="C1866" s="40" t="str">
        <x:v>High-Value Frequent Shoppers</x:v>
      </x:c>
      <x:c r="D1866" s="60" t="n">
        <x:v>2678.71</x:v>
      </x:c>
      <x:c r="E1866" s="50" t="n">
        <x:v>103</x:v>
      </x:c>
      <x:c r="F1866" s="46" t="n">
        <x:v>4.904761904761905</x:v>
      </x:c>
      <x:c r="G1866" s="46" t="n">
        <x:v>2</x:v>
      </x:c>
      <x:c r="H1866" s="61" t="n">
        <x:v>26.006893203883493</x:v>
      </x:c>
      <x:c r="I1866" s="52" t="n">
        <x:v>0.9029126213592232</x:v>
      </x:c>
      <x:c r="J1866" s="52" t="n">
        <x:v>0.552863131880644</x:v>
      </x:c>
      <x:c r="K1866" s="60" t="n">
        <x:v>2535.33</x:v>
      </x:c>
      <x:c r="L1866" s="60" t="n">
        <x:v>143.38</x:v>
      </x:c>
      <x:c r="M1866" s="50" t="n">
        <x:v>93</x:v>
      </x:c>
      <x:c r="N1866" s="50" t="n">
        <x:v>10</x:v>
      </x:c>
      <x:c r="O1866" s="50" t="n">
        <x:v>124</x:v>
      </x:c>
      <x:c r="P1866" s="50" t="n">
        <x:v>21</x:v>
      </x:c>
    </x:row>
    <x:row r="1867" ht="36" customHeight="1">
      <x:c r="A1867" s="53" t="n">
        <x:v>1848</x:v>
      </x:c>
      <x:c r="B1867" s="53" t="n">
        <x:v>1</x:v>
      </x:c>
      <x:c r="C1867" s="40" t="str">
        <x:v>High-Value Frequent Shoppers</x:v>
      </x:c>
      <x:c r="D1867" s="60" t="n">
        <x:v>10848.11</x:v>
      </x:c>
      <x:c r="E1867" s="50" t="n">
        <x:v>110</x:v>
      </x:c>
      <x:c r="F1867" s="46" t="n">
        <x:v>5.238095238095238</x:v>
      </x:c>
      <x:c r="G1867" s="46" t="n">
        <x:v>5</x:v>
      </x:c>
      <x:c r="H1867" s="61" t="n">
        <x:v>98.6191818181818</x:v>
      </x:c>
      <x:c r="I1867" s="52" t="n">
        <x:v>0.9818181818181818</x:v>
      </x:c>
      <x:c r="J1867" s="52" t="n">
        <x:v>0.3128600281523693</x:v>
      </x:c>
      <x:c r="K1867" s="60" t="n">
        <x:v>10826.95</x:v>
      </x:c>
      <x:c r="L1867" s="60" t="n">
        <x:v>21.16</x:v>
      </x:c>
      <x:c r="M1867" s="50" t="n">
        <x:v>108</x:v>
      </x:c>
      <x:c r="N1867" s="50" t="n">
        <x:v>2</x:v>
      </x:c>
      <x:c r="O1867" s="50" t="n">
        <x:v>173</x:v>
      </x:c>
      <x:c r="P1867" s="50" t="n">
        <x:v>21</x:v>
      </x:c>
    </x:row>
    <x:row r="1868" ht="36" customHeight="1">
      <x:c r="A1868" s="53" t="n">
        <x:v>1849</x:v>
      </x:c>
      <x:c r="B1868" s="53" t="n">
        <x:v>1</x:v>
      </x:c>
      <x:c r="C1868" s="40" t="str">
        <x:v>High-Value Frequent Shoppers</x:v>
      </x:c>
      <x:c r="D1868" s="60" t="n">
        <x:v>2666.5</x:v>
      </x:c>
      <x:c r="E1868" s="50" t="n">
        <x:v>162</x:v>
      </x:c>
      <x:c r="F1868" s="46" t="n">
        <x:v>7.0434782608695645</x:v>
      </x:c>
      <x:c r="G1868" s="46" t="n">
        <x:v>2</x:v>
      </x:c>
      <x:c r="H1868" s="61" t="n">
        <x:v>16.459876543209877</x:v>
      </x:c>
      <x:c r="I1868" s="52" t="n">
        <x:v>0.8209876543209876</x:v>
      </x:c>
      <x:c r="J1868" s="52" t="n">
        <x:v>0.6122932683292704</x:v>
      </x:c>
      <x:c r="K1868" s="60" t="n">
        <x:v>2508.14</x:v>
      </x:c>
      <x:c r="L1868" s="60" t="n">
        <x:v>158.36</x:v>
      </x:c>
      <x:c r="M1868" s="50" t="n">
        <x:v>133</x:v>
      </x:c>
      <x:c r="N1868" s="50" t="n">
        <x:v>29</x:v>
      </x:c>
      <x:c r="O1868" s="50" t="n">
        <x:v>138</x:v>
      </x:c>
      <x:c r="P1868" s="50" t="n">
        <x:v>23</x:v>
      </x:c>
    </x:row>
    <x:row r="1869" ht="36" customHeight="1">
      <x:c r="A1869" s="53" t="n">
        <x:v>1850</x:v>
      </x:c>
      <x:c r="B1869" s="53" t="n">
        <x:v>1</x:v>
      </x:c>
      <x:c r="C1869" s="40" t="str">
        <x:v>High-Value Frequent Shoppers</x:v>
      </x:c>
      <x:c r="D1869" s="60" t="n">
        <x:v>6882.11</x:v>
      </x:c>
      <x:c r="E1869" s="50" t="n">
        <x:v>223</x:v>
      </x:c>
      <x:c r="F1869" s="46" t="n">
        <x:v>10.61904761904762</x:v>
      </x:c>
      <x:c r="G1869" s="46" t="n">
        <x:v>5</x:v>
      </x:c>
      <x:c r="H1869" s="61" t="n">
        <x:v>30.8614798206278</x:v>
      </x:c>
      <x:c r="I1869" s="52" t="n">
        <x:v>0.8251121076233183</x:v>
      </x:c>
      <x:c r="J1869" s="52" t="n">
        <x:v>0.4598328129018571</x:v>
      </x:c>
      <x:c r="K1869" s="60" t="n">
        <x:v>6362.33</x:v>
      </x:c>
      <x:c r="L1869" s="60" t="n">
        <x:v>519.78</x:v>
      </x:c>
      <x:c r="M1869" s="50" t="n">
        <x:v>184</x:v>
      </x:c>
      <x:c r="N1869" s="50" t="n">
        <x:v>39</x:v>
      </x:c>
      <x:c r="O1869" s="50" t="n">
        <x:v>190</x:v>
      </x:c>
      <x:c r="P1869" s="50" t="n">
        <x:v>21</x:v>
      </x:c>
    </x:row>
    <x:row r="1870" ht="36" customHeight="1">
      <x:c r="A1870" s="53" t="n">
        <x:v>1851</x:v>
      </x:c>
      <x:c r="B1870" s="53" t="n">
        <x:v>2</x:v>
      </x:c>
      <x:c r="C1870" s="40" t="str">
        <x:v>Large-Basket Occasional Shoppers</x:v>
      </x:c>
      <x:c r="D1870" s="60" t="n">
        <x:v>1255.55</x:v>
      </x:c>
      <x:c r="E1870" s="50" t="n">
        <x:v>41</x:v>
      </x:c>
      <x:c r="F1870" s="46" t="n">
        <x:v>2.05</x:v>
      </x:c>
      <x:c r="G1870" s="46" t="n">
        <x:v>15</x:v>
      </x:c>
      <x:c r="H1870" s="61" t="n">
        <x:v>30.62317073170732</x:v>
      </x:c>
      <x:c r="I1870" s="52" t="n">
        <x:v>0.8292682926829268</x:v>
      </x:c>
      <x:c r="J1870" s="52" t="n">
        <x:v>0.4050495798653976</x:v>
      </x:c>
      <x:c r="K1870" s="60" t="n">
        <x:v>1108.64</x:v>
      </x:c>
      <x:c r="L1870" s="60" t="n">
        <x:v>146.91</x:v>
      </x:c>
      <x:c r="M1870" s="50" t="n">
        <x:v>34</x:v>
      </x:c>
      <x:c r="N1870" s="50" t="n">
        <x:v>7</x:v>
      </x:c>
      <x:c r="O1870" s="50" t="n">
        <x:v>114</x:v>
      </x:c>
      <x:c r="P1870" s="50" t="n">
        <x:v>20</x:v>
      </x:c>
    </x:row>
    <x:row r="1871" ht="36" customHeight="1">
      <x:c r="A1871" s="53" t="n">
        <x:v>1852</x:v>
      </x:c>
      <x:c r="B1871" s="53" t="n">
        <x:v>1</x:v>
      </x:c>
      <x:c r="C1871" s="40" t="str">
        <x:v>High-Value Frequent Shoppers</x:v>
      </x:c>
      <x:c r="D1871" s="60" t="n">
        <x:v>9800.02</x:v>
      </x:c>
      <x:c r="E1871" s="50" t="n">
        <x:v>317</x:v>
      </x:c>
      <x:c r="F1871" s="46" t="n">
        <x:v>14.409090909090908</x:v>
      </x:c>
      <x:c r="G1871" s="46" t="n">
        <x:v>17</x:v>
      </x:c>
      <x:c r="H1871" s="61" t="n">
        <x:v>30.91488958990536</x:v>
      </x:c>
      <x:c r="I1871" s="52" t="n">
        <x:v>0.8675078864353312</x:v>
      </x:c>
      <x:c r="J1871" s="52" t="n">
        <x:v>0.5271234140338489</x:v>
      </x:c>
      <x:c r="K1871" s="60" t="n">
        <x:v>9375.98</x:v>
      </x:c>
      <x:c r="L1871" s="60" t="n">
        <x:v>424.04</x:v>
      </x:c>
      <x:c r="M1871" s="50" t="n">
        <x:v>275</x:v>
      </x:c>
      <x:c r="N1871" s="50" t="n">
        <x:v>42</x:v>
      </x:c>
      <x:c r="O1871" s="50" t="n">
        <x:v>214</x:v>
      </x:c>
      <x:c r="P1871" s="50" t="n">
        <x:v>22</x:v>
      </x:c>
    </x:row>
    <x:row r="1872" ht="36" customHeight="1">
      <x:c r="A1872" s="53" t="n">
        <x:v>1853</x:v>
      </x:c>
      <x:c r="B1872" s="53" t="n">
        <x:v>3</x:v>
      </x:c>
      <x:c r="C1872" s="40" t="str">
        <x:v>Low-Value Low-Engagement Shoppers</x:v>
      </x:c>
      <x:c r="D1872" s="60" t="n">
        <x:v>274.39</x:v>
      </x:c>
      <x:c r="E1872" s="50" t="n">
        <x:v>35</x:v>
      </x:c>
      <x:c r="F1872" s="46" t="n">
        <x:v>2.1875</x:v>
      </x:c>
      <x:c r="G1872" s="46" t="n">
        <x:v>9</x:v>
      </x:c>
      <x:c r="H1872" s="61" t="n">
        <x:v>7.839714285714285</x:v>
      </x:c>
      <x:c r="I1872" s="52" t="n">
        <x:v>0.6</x:v>
      </x:c>
      <x:c r="J1872" s="52" t="n">
        <x:v>0.2591566748059331</x:v>
      </x:c>
      <x:c r="K1872" s="60" t="n">
        <x:v>156.33</x:v>
      </x:c>
      <x:c r="L1872" s="60" t="n">
        <x:v>118.06</x:v>
      </x:c>
      <x:c r="M1872" s="50" t="n">
        <x:v>21</x:v>
      </x:c>
      <x:c r="N1872" s="50" t="n">
        <x:v>14</x:v>
      </x:c>
      <x:c r="O1872" s="50" t="n">
        <x:v>38</x:v>
      </x:c>
      <x:c r="P1872" s="50" t="n">
        <x:v>16</x:v>
      </x:c>
    </x:row>
    <x:row r="1873" ht="36" customHeight="1">
      <x:c r="A1873" s="53" t="n">
        <x:v>1854</x:v>
      </x:c>
      <x:c r="B1873" s="53" t="n">
        <x:v>1</x:v>
      </x:c>
      <x:c r="C1873" s="40" t="str">
        <x:v>High-Value Frequent Shoppers</x:v>
      </x:c>
      <x:c r="D1873" s="60" t="n">
        <x:v>7631.72</x:v>
      </x:c>
      <x:c r="E1873" s="50" t="n">
        <x:v>269</x:v>
      </x:c>
      <x:c r="F1873" s="46" t="n">
        <x:v>11.695652173913045</x:v>
      </x:c>
      <x:c r="G1873" s="46" t="n">
        <x:v>2</x:v>
      </x:c>
      <x:c r="H1873" s="61" t="n">
        <x:v>28.3707063197026</x:v>
      </x:c>
      <x:c r="I1873" s="52" t="n">
        <x:v>0.795539033457249</x:v>
      </x:c>
      <x:c r="J1873" s="52" t="n">
        <x:v>0.4168391922135508</x:v>
      </x:c>
      <x:c r="K1873" s="60" t="n">
        <x:v>6996.48</x:v>
      </x:c>
      <x:c r="L1873" s="60" t="n">
        <x:v>635.24</x:v>
      </x:c>
      <x:c r="M1873" s="50" t="n">
        <x:v>214</x:v>
      </x:c>
      <x:c r="N1873" s="50" t="n">
        <x:v>55</x:v>
      </x:c>
      <x:c r="O1873" s="50" t="n">
        <x:v>189</x:v>
      </x:c>
      <x:c r="P1873" s="50" t="n">
        <x:v>23</x:v>
      </x:c>
    </x:row>
    <x:row r="1874" ht="36" customHeight="1">
      <x:c r="A1874" s="53" t="n">
        <x:v>1855</x:v>
      </x:c>
      <x:c r="B1874" s="53" t="n">
        <x:v>3</x:v>
      </x:c>
      <x:c r="C1874" s="40" t="str">
        <x:v>Low-Value Low-Engagement Shoppers</x:v>
      </x:c>
      <x:c r="D1874" s="60" t="n">
        <x:v>251.95</x:v>
      </x:c>
      <x:c r="E1874" s="50" t="n">
        <x:v>11</x:v>
      </x:c>
      <x:c r="F1874" s="46" t="n">
        <x:v>1.375</x:v>
      </x:c>
      <x:c r="G1874" s="46" t="n">
        <x:v>25</x:v>
      </x:c>
      <x:c r="H1874" s="61" t="n">
        <x:v>22.904545454545453</x:v>
      </x:c>
      <x:c r="I1874" s="52" t="n">
        <x:v>0.7272727272727272</x:v>
      </x:c>
      <x:c r="J1874" s="52" t="n">
        <x:v>0.4949791625322484</x:v>
      </x:c>
      <x:c r="K1874" s="60" t="n">
        <x:v>222.6</x:v>
      </x:c>
      <x:c r="L1874" s="60" t="n">
        <x:v>29.35</x:v>
      </x:c>
      <x:c r="M1874" s="50" t="n">
        <x:v>8</x:v>
      </x:c>
      <x:c r="N1874" s="50" t="n">
        <x:v>3</x:v>
      </x:c>
      <x:c r="O1874" s="50" t="n">
        <x:v>23</x:v>
      </x:c>
      <x:c r="P1874" s="50" t="n">
        <x:v>8</x:v>
      </x:c>
    </x:row>
    <x:row r="1875" ht="36" customHeight="1">
      <x:c r="A1875" s="53" t="n">
        <x:v>1856</x:v>
      </x:c>
      <x:c r="B1875" s="53" t="n">
        <x:v>1</x:v>
      </x:c>
      <x:c r="C1875" s="40" t="str">
        <x:v>High-Value Frequent Shoppers</x:v>
      </x:c>
      <x:c r="D1875" s="60" t="n">
        <x:v>4661.53</x:v>
      </x:c>
      <x:c r="E1875" s="50" t="n">
        <x:v>458</x:v>
      </x:c>
      <x:c r="F1875" s="46" t="n">
        <x:v>19.08333333333333</x:v>
      </x:c>
      <x:c r="G1875" s="46" t="n">
        <x:v>0</x:v>
      </x:c>
      <x:c r="H1875" s="61" t="n">
        <x:v>10.17801310043668</x:v>
      </x:c>
      <x:c r="I1875" s="52" t="n">
        <x:v>0.7117903930131004</x:v>
      </x:c>
      <x:c r="J1875" s="52" t="n">
        <x:v>0.6018474620993536</x:v>
      </x:c>
      <x:c r="K1875" s="60" t="n">
        <x:v>4209.69</x:v>
      </x:c>
      <x:c r="L1875" s="60" t="n">
        <x:v>451.84</x:v>
      </x:c>
      <x:c r="M1875" s="50" t="n">
        <x:v>326</x:v>
      </x:c>
      <x:c r="N1875" s="50" t="n">
        <x:v>132</x:v>
      </x:c>
      <x:c r="O1875" s="50" t="n">
        <x:v>195</x:v>
      </x:c>
      <x:c r="P1875" s="50" t="n">
        <x:v>24</x:v>
      </x:c>
    </x:row>
    <x:row r="1876" ht="36" customHeight="1">
      <x:c r="A1876" s="53" t="n">
        <x:v>1857</x:v>
      </x:c>
      <x:c r="B1876" s="53" t="n">
        <x:v>1</x:v>
      </x:c>
      <x:c r="C1876" s="40" t="str">
        <x:v>High-Value Frequent Shoppers</x:v>
      </x:c>
      <x:c r="D1876" s="60" t="n">
        <x:v>1755.3</x:v>
      </x:c>
      <x:c r="E1876" s="50" t="n">
        <x:v>82</x:v>
      </x:c>
      <x:c r="F1876" s="46" t="n">
        <x:v>3.565217391304348</x:v>
      </x:c>
      <x:c r="G1876" s="46" t="n">
        <x:v>0</x:v>
      </x:c>
      <x:c r="H1876" s="61" t="n">
        <x:v>21.406097560975606</x:v>
      </x:c>
      <x:c r="I1876" s="52" t="n">
        <x:v>0.8048780487804879</x:v>
      </x:c>
      <x:c r="J1876" s="52" t="n">
        <x:v>0.5167777587876716</x:v>
      </x:c>
      <x:c r="K1876" s="60" t="n">
        <x:v>1656.02</x:v>
      </x:c>
      <x:c r="L1876" s="60" t="n">
        <x:v>99.28</x:v>
      </x:c>
      <x:c r="M1876" s="50" t="n">
        <x:v>66</x:v>
      </x:c>
      <x:c r="N1876" s="50" t="n">
        <x:v>16</x:v>
      </x:c>
      <x:c r="O1876" s="50" t="n">
        <x:v>105</x:v>
      </x:c>
      <x:c r="P1876" s="50" t="n">
        <x:v>23</x:v>
      </x:c>
    </x:row>
    <x:row r="1877" ht="36" customHeight="1">
      <x:c r="A1877" s="53" t="n">
        <x:v>1858</x:v>
      </x:c>
      <x:c r="B1877" s="53" t="n">
        <x:v>2</x:v>
      </x:c>
      <x:c r="C1877" s="40" t="str">
        <x:v>Large-Basket Occasional Shoppers</x:v>
      </x:c>
      <x:c r="D1877" s="60" t="n">
        <x:v>2860.07</x:v>
      </x:c>
      <x:c r="E1877" s="50" t="n">
        <x:v>67</x:v>
      </x:c>
      <x:c r="F1877" s="46" t="n">
        <x:v>3.1904761904761902</x:v>
      </x:c>
      <x:c r="G1877" s="46" t="n">
        <x:v>8</x:v>
      </x:c>
      <x:c r="H1877" s="61" t="n">
        <x:v>42.6876119402985</x:v>
      </x:c>
      <x:c r="I1877" s="52" t="n">
        <x:v>0.8955223880597014</x:v>
      </x:c>
      <x:c r="J1877" s="52" t="n">
        <x:v>0.4116612530462541</x:v>
      </x:c>
      <x:c r="K1877" s="60" t="n">
        <x:v>2728.96</x:v>
      </x:c>
      <x:c r="L1877" s="60" t="n">
        <x:v>131.11</x:v>
      </x:c>
      <x:c r="M1877" s="50" t="n">
        <x:v>60</x:v>
      </x:c>
      <x:c r="N1877" s="50" t="n">
        <x:v>7</x:v>
      </x:c>
      <x:c r="O1877" s="50" t="n">
        <x:v>99</x:v>
      </x:c>
      <x:c r="P1877" s="50" t="n">
        <x:v>21</x:v>
      </x:c>
    </x:row>
    <x:row r="1878" ht="36" customHeight="1">
      <x:c r="A1878" s="53" t="n">
        <x:v>1859</x:v>
      </x:c>
      <x:c r="B1878" s="53" t="n">
        <x:v>2</x:v>
      </x:c>
      <x:c r="C1878" s="40" t="str">
        <x:v>Large-Basket Occasional Shoppers</x:v>
      </x:c>
      <x:c r="D1878" s="60" t="n">
        <x:v>1791.28</x:v>
      </x:c>
      <x:c r="E1878" s="50" t="n">
        <x:v>35</x:v>
      </x:c>
      <x:c r="F1878" s="46" t="n">
        <x:v>2.058823529411765</x:v>
      </x:c>
      <x:c r="G1878" s="46" t="n">
        <x:v>4</x:v>
      </x:c>
      <x:c r="H1878" s="61" t="n">
        <x:v>51.179428571428566</x:v>
      </x:c>
      <x:c r="I1878" s="52" t="n">
        <x:v>0.914285714285714</x:v>
      </x:c>
      <x:c r="J1878" s="52" t="n">
        <x:v>0.3350844089142959</x:v>
      </x:c>
      <x:c r="K1878" s="60" t="n">
        <x:v>1704.06</x:v>
      </x:c>
      <x:c r="L1878" s="60" t="n">
        <x:v>87.22</x:v>
      </x:c>
      <x:c r="M1878" s="50" t="n">
        <x:v>32</x:v>
      </x:c>
      <x:c r="N1878" s="50" t="n">
        <x:v>3</x:v>
      </x:c>
      <x:c r="O1878" s="50" t="n">
        <x:v>103</x:v>
      </x:c>
      <x:c r="P1878" s="50" t="n">
        <x:v>17</x:v>
      </x:c>
    </x:row>
    <x:row r="1879" ht="36" customHeight="1">
      <x:c r="A1879" s="53" t="n">
        <x:v>1860</x:v>
      </x:c>
      <x:c r="B1879" s="53" t="n">
        <x:v>3</x:v>
      </x:c>
      <x:c r="C1879" s="40" t="str">
        <x:v>Low-Value Low-Engagement Shoppers</x:v>
      </x:c>
      <x:c r="D1879" s="60" t="n">
        <x:v>753.42</x:v>
      </x:c>
      <x:c r="E1879" s="50" t="n">
        <x:v>58</x:v>
      </x:c>
      <x:c r="F1879" s="46" t="n">
        <x:v>4.461538461538462</x:v>
      </x:c>
      <x:c r="G1879" s="46" t="n">
        <x:v>82</x:v>
      </x:c>
      <x:c r="H1879" s="61" t="n">
        <x:v>12.99</x:v>
      </x:c>
      <x:c r="I1879" s="52" t="n">
        <x:v>0.896551724137931</x:v>
      </x:c>
      <x:c r="J1879" s="52" t="n">
        <x:v>0.524355605107377</x:v>
      </x:c>
      <x:c r="K1879" s="60" t="n">
        <x:v>709.58</x:v>
      </x:c>
      <x:c r="L1879" s="60" t="n">
        <x:v>43.84</x:v>
      </x:c>
      <x:c r="M1879" s="50" t="n">
        <x:v>52</x:v>
      </x:c>
      <x:c r="N1879" s="50" t="n">
        <x:v>6</x:v>
      </x:c>
      <x:c r="O1879" s="50" t="n">
        <x:v>87</x:v>
      </x:c>
      <x:c r="P1879" s="50" t="n">
        <x:v>13</x:v>
      </x:c>
    </x:row>
    <x:row r="1880" ht="36" customHeight="1">
      <x:c r="A1880" s="53" t="n">
        <x:v>1861</x:v>
      </x:c>
      <x:c r="B1880" s="53" t="n">
        <x:v>1</x:v>
      </x:c>
      <x:c r="C1880" s="40" t="str">
        <x:v>High-Value Frequent Shoppers</x:v>
      </x:c>
      <x:c r="D1880" s="60" t="n">
        <x:v>1868.45</x:v>
      </x:c>
      <x:c r="E1880" s="50" t="n">
        <x:v>122</x:v>
      </x:c>
      <x:c r="F1880" s="46" t="n">
        <x:v>5.083333333333333</x:v>
      </x:c>
      <x:c r="G1880" s="46" t="n">
        <x:v>0</x:v>
      </x:c>
      <x:c r="H1880" s="61" t="n">
        <x:v>15.315163934426227</x:v>
      </x:c>
      <x:c r="I1880" s="52" t="n">
        <x:v>0.8442622950819672</x:v>
      </x:c>
      <x:c r="J1880" s="52" t="n">
        <x:v>0.5122855843078487</x:v>
      </x:c>
      <x:c r="K1880" s="60" t="n">
        <x:v>1744.1</x:v>
      </x:c>
      <x:c r="L1880" s="60" t="n">
        <x:v>124.35</x:v>
      </x:c>
      <x:c r="M1880" s="50" t="n">
        <x:v>103</x:v>
      </x:c>
      <x:c r="N1880" s="50" t="n">
        <x:v>19</x:v>
      </x:c>
      <x:c r="O1880" s="50" t="n">
        <x:v>117</x:v>
      </x:c>
      <x:c r="P1880" s="50" t="n">
        <x:v>24</x:v>
      </x:c>
    </x:row>
    <x:row r="1881" ht="36" customHeight="1">
      <x:c r="A1881" s="53" t="n">
        <x:v>1862</x:v>
      </x:c>
      <x:c r="B1881" s="53" t="n">
        <x:v>3</x:v>
      </x:c>
      <x:c r="C1881" s="40" t="str">
        <x:v>Low-Value Low-Engagement Shoppers</x:v>
      </x:c>
      <x:c r="D1881" s="60" t="n">
        <x:v>2210.04</x:v>
      </x:c>
      <x:c r="E1881" s="50" t="n">
        <x:v>141</x:v>
      </x:c>
      <x:c r="F1881" s="46" t="n">
        <x:v>7.05</x:v>
      </x:c>
      <x:c r="G1881" s="46" t="n">
        <x:v>27</x:v>
      </x:c>
      <x:c r="H1881" s="61" t="n">
        <x:v>15.674042553191487</x:v>
      </x:c>
      <x:c r="I1881" s="52" t="n">
        <x:v>0.6737588652482269</x:v>
      </x:c>
      <x:c r="J1881" s="52" t="n">
        <x:v>0.5322890083437403</x:v>
      </x:c>
      <x:c r="K1881" s="60" t="n">
        <x:v>1958.38</x:v>
      </x:c>
      <x:c r="L1881" s="60" t="n">
        <x:v>251.66</x:v>
      </x:c>
      <x:c r="M1881" s="50" t="n">
        <x:v>95</x:v>
      </x:c>
      <x:c r="N1881" s="50" t="n">
        <x:v>46</x:v>
      </x:c>
      <x:c r="O1881" s="50" t="n">
        <x:v>125</x:v>
      </x:c>
      <x:c r="P1881" s="50" t="n">
        <x:v>20</x:v>
      </x:c>
    </x:row>
    <x:row r="1882" ht="36" customHeight="1">
      <x:c r="A1882" s="53" t="n">
        <x:v>1863</x:v>
      </x:c>
      <x:c r="B1882" s="53" t="n">
        <x:v>2</x:v>
      </x:c>
      <x:c r="C1882" s="40" t="str">
        <x:v>Large-Basket Occasional Shoppers</x:v>
      </x:c>
      <x:c r="D1882" s="60" t="n">
        <x:v>411.45</x:v>
      </x:c>
      <x:c r="E1882" s="50" t="n">
        <x:v>14</x:v>
      </x:c>
      <x:c r="F1882" s="46" t="n">
        <x:v>2.333333333333333</x:v>
      </x:c>
      <x:c r="G1882" s="46" t="n">
        <x:v>242</x:v>
      </x:c>
      <x:c r="H1882" s="61" t="n">
        <x:v>29.38928571428572</x:v>
      </x:c>
      <x:c r="I1882" s="52" t="n">
        <x:v>1</x:v>
      </x:c>
      <x:c r="J1882" s="52" t="n">
        <x:v>0.7430550492161866</x:v>
      </x:c>
      <x:c r="K1882" s="60" t="n">
        <x:v>411.45</x:v>
      </x:c>
      <x:c r="L1882" s="60" t="n">
        <x:v>0</x:v>
      </x:c>
      <x:c r="M1882" s="50" t="n">
        <x:v>14</x:v>
      </x:c>
      <x:c r="N1882" s="50" t="n">
        <x:v>0</x:v>
      </x:c>
      <x:c r="O1882" s="50" t="n">
        <x:v>37</x:v>
      </x:c>
      <x:c r="P1882" s="50" t="n">
        <x:v>6</x:v>
      </x:c>
    </x:row>
    <x:row r="1883" ht="36" customHeight="1">
      <x:c r="A1883" s="53" t="n">
        <x:v>1864</x:v>
      </x:c>
      <x:c r="B1883" s="53" t="n">
        <x:v>1</x:v>
      </x:c>
      <x:c r="C1883" s="40" t="str">
        <x:v>High-Value Frequent Shoppers</x:v>
      </x:c>
      <x:c r="D1883" s="60" t="n">
        <x:v>16941.58</x:v>
      </x:c>
      <x:c r="E1883" s="50" t="n">
        <x:v>163</x:v>
      </x:c>
      <x:c r="F1883" s="46" t="n">
        <x:v>7.761904761904764</x:v>
      </x:c>
      <x:c r="G1883" s="46" t="n">
        <x:v>1</x:v>
      </x:c>
      <x:c r="H1883" s="61" t="n">
        <x:v>103.9360736196319</x:v>
      </x:c>
      <x:c r="I1883" s="52" t="n">
        <x:v>0.9754601226993864</x:v>
      </x:c>
      <x:c r="J1883" s="52" t="n">
        <x:v>0.3556439245926294</x:v>
      </x:c>
      <x:c r="K1883" s="60" t="n">
        <x:v>16907.39</x:v>
      </x:c>
      <x:c r="L1883" s="60" t="n">
        <x:v>34.19</x:v>
      </x:c>
      <x:c r="M1883" s="50" t="n">
        <x:v>159</x:v>
      </x:c>
      <x:c r="N1883" s="50" t="n">
        <x:v>4</x:v>
      </x:c>
      <x:c r="O1883" s="50" t="n">
        <x:v>173</x:v>
      </x:c>
      <x:c r="P1883" s="50" t="n">
        <x:v>21</x:v>
      </x:c>
    </x:row>
    <x:row r="1884" ht="36" customHeight="1">
      <x:c r="A1884" s="53" t="n">
        <x:v>1865</x:v>
      </x:c>
      <x:c r="B1884" s="53" t="n">
        <x:v>1</x:v>
      </x:c>
      <x:c r="C1884" s="40" t="str">
        <x:v>High-Value Frequent Shoppers</x:v>
      </x:c>
      <x:c r="D1884" s="60" t="n">
        <x:v>6651.93</x:v>
      </x:c>
      <x:c r="E1884" s="50" t="n">
        <x:v>161</x:v>
      </x:c>
      <x:c r="F1884" s="46" t="n">
        <x:v>6.708333333333333</x:v>
      </x:c>
      <x:c r="G1884" s="46" t="n">
        <x:v>4</x:v>
      </x:c>
      <x:c r="H1884" s="61" t="n">
        <x:v>41.31633540372671</x:v>
      </x:c>
      <x:c r="I1884" s="52" t="n">
        <x:v>0.9316770186335404</x:v>
      </x:c>
      <x:c r="J1884" s="52" t="n">
        <x:v>0.2777419485773301</x:v>
      </x:c>
      <x:c r="K1884" s="60" t="n">
        <x:v>6423.53</x:v>
      </x:c>
      <x:c r="L1884" s="60" t="n">
        <x:v>228.4</x:v>
      </x:c>
      <x:c r="M1884" s="50" t="n">
        <x:v>150</x:v>
      </x:c>
      <x:c r="N1884" s="50" t="n">
        <x:v>11</x:v>
      </x:c>
      <x:c r="O1884" s="50" t="n">
        <x:v>173</x:v>
      </x:c>
      <x:c r="P1884" s="50" t="n">
        <x:v>24</x:v>
      </x:c>
    </x:row>
    <x:row r="1885" ht="36" customHeight="1">
      <x:c r="A1885" s="53" t="n">
        <x:v>1866</x:v>
      </x:c>
      <x:c r="B1885" s="53" t="n">
        <x:v>3</x:v>
      </x:c>
      <x:c r="C1885" s="40" t="str">
        <x:v>Low-Value Low-Engagement Shoppers</x:v>
      </x:c>
      <x:c r="D1885" s="60" t="n">
        <x:v>159.05</x:v>
      </x:c>
      <x:c r="E1885" s="50" t="n">
        <x:v>15</x:v>
      </x:c>
      <x:c r="F1885" s="46" t="n">
        <x:v>1.3636363636363635</x:v>
      </x:c>
      <x:c r="G1885" s="46" t="n">
        <x:v>61</x:v>
      </x:c>
      <x:c r="H1885" s="61" t="n">
        <x:v>10.603333333333332</x:v>
      </x:c>
      <x:c r="I1885" s="52" t="n">
        <x:v>0.8666666666666666</x:v>
      </x:c>
      <x:c r="J1885" s="52" t="n">
        <x:v>0.573215969820811</x:v>
      </x:c>
      <x:c r="K1885" s="60" t="n">
        <x:v>143.81</x:v>
      </x:c>
      <x:c r="L1885" s="60" t="n">
        <x:v>15.24</x:v>
      </x:c>
      <x:c r="M1885" s="50" t="n">
        <x:v>13</x:v>
      </x:c>
      <x:c r="N1885" s="50" t="n">
        <x:v>2</x:v>
      </x:c>
      <x:c r="O1885" s="50" t="n">
        <x:v>24</x:v>
      </x:c>
      <x:c r="P1885" s="50" t="n">
        <x:v>11</x:v>
      </x:c>
    </x:row>
    <x:row r="1886" ht="36" customHeight="1">
      <x:c r="A1886" s="53" t="n">
        <x:v>1867</x:v>
      </x:c>
      <x:c r="B1886" s="53" t="n">
        <x:v>3</x:v>
      </x:c>
      <x:c r="C1886" s="40" t="str">
        <x:v>Low-Value Low-Engagement Shoppers</x:v>
      </x:c>
      <x:c r="D1886" s="60" t="n">
        <x:v>1093.51</x:v>
      </x:c>
      <x:c r="E1886" s="50" t="n">
        <x:v>75</x:v>
      </x:c>
      <x:c r="F1886" s="46" t="n">
        <x:v>5.357142857142857</x:v>
      </x:c>
      <x:c r="G1886" s="46" t="n">
        <x:v>11</x:v>
      </x:c>
      <x:c r="H1886" s="61" t="n">
        <x:v>14.580133333333333</x:v>
      </x:c>
      <x:c r="I1886" s="52" t="n">
        <x:v>0.8133333333333334</x:v>
      </x:c>
      <x:c r="J1886" s="52" t="n">
        <x:v>0.6473283280445536</x:v>
      </x:c>
      <x:c r="K1886" s="60" t="n">
        <x:v>1018.19</x:v>
      </x:c>
      <x:c r="L1886" s="60" t="n">
        <x:v>75.32</x:v>
      </x:c>
      <x:c r="M1886" s="50" t="n">
        <x:v>61</x:v>
      </x:c>
      <x:c r="N1886" s="50" t="n">
        <x:v>14</x:v>
      </x:c>
      <x:c r="O1886" s="50" t="n">
        <x:v>73</x:v>
      </x:c>
      <x:c r="P1886" s="50" t="n">
        <x:v>14</x:v>
      </x:c>
    </x:row>
    <x:row r="1887" ht="36" customHeight="1">
      <x:c r="A1887" s="53" t="n">
        <x:v>1868</x:v>
      </x:c>
      <x:c r="B1887" s="53" t="n">
        <x:v>2</x:v>
      </x:c>
      <x:c r="C1887" s="40" t="str">
        <x:v>Large-Basket Occasional Shoppers</x:v>
      </x:c>
      <x:c r="D1887" s="60" t="n">
        <x:v>700.96</x:v>
      </x:c>
      <x:c r="E1887" s="50" t="n">
        <x:v>39</x:v>
      </x:c>
      <x:c r="F1887" s="46" t="n">
        <x:v>2.6</x:v>
      </x:c>
      <x:c r="G1887" s="46" t="n">
        <x:v>1</x:v>
      </x:c>
      <x:c r="H1887" s="61" t="n">
        <x:v>17.973333333333333</x:v>
      </x:c>
      <x:c r="I1887" s="52" t="n">
        <x:v>0.923076923076923</x:v>
      </x:c>
      <x:c r="J1887" s="52" t="n">
        <x:v>0.7236361561287377</x:v>
      </x:c>
      <x:c r="K1887" s="60" t="n">
        <x:v>694.81</x:v>
      </x:c>
      <x:c r="L1887" s="60" t="n">
        <x:v>6.15</x:v>
      </x:c>
      <x:c r="M1887" s="50" t="n">
        <x:v>36</x:v>
      </x:c>
      <x:c r="N1887" s="50" t="n">
        <x:v>3</x:v>
      </x:c>
      <x:c r="O1887" s="50" t="n">
        <x:v>71</x:v>
      </x:c>
      <x:c r="P1887" s="50" t="n">
        <x:v>15</x:v>
      </x:c>
    </x:row>
    <x:row r="1888" ht="36" customHeight="1">
      <x:c r="A1888" s="53" t="n">
        <x:v>1869</x:v>
      </x:c>
      <x:c r="B1888" s="53" t="n">
        <x:v>1</x:v>
      </x:c>
      <x:c r="C1888" s="40" t="str">
        <x:v>High-Value Frequent Shoppers</x:v>
      </x:c>
      <x:c r="D1888" s="60" t="n">
        <x:v>3630.62</x:v>
      </x:c>
      <x:c r="E1888" s="50" t="n">
        <x:v>119</x:v>
      </x:c>
      <x:c r="F1888" s="46" t="n">
        <x:v>5.666666666666666</x:v>
      </x:c>
      <x:c r="G1888" s="46" t="n">
        <x:v>0</x:v>
      </x:c>
      <x:c r="H1888" s="61" t="n">
        <x:v>30.50941176470588</x:v>
      </x:c>
      <x:c r="I1888" s="52" t="n">
        <x:v>0.8991596638655462</x:v>
      </x:c>
      <x:c r="J1888" s="52" t="n">
        <x:v>0.6187923825682665</x:v>
      </x:c>
      <x:c r="K1888" s="60" t="n">
        <x:v>3522.35</x:v>
      </x:c>
      <x:c r="L1888" s="60" t="n">
        <x:v>108.27</x:v>
      </x:c>
      <x:c r="M1888" s="50" t="n">
        <x:v>107</x:v>
      </x:c>
      <x:c r="N1888" s="50" t="n">
        <x:v>12</x:v>
      </x:c>
      <x:c r="O1888" s="50" t="n">
        <x:v>159</x:v>
      </x:c>
      <x:c r="P1888" s="50" t="n">
        <x:v>21</x:v>
      </x:c>
    </x:row>
    <x:row r="1889" ht="36" customHeight="1">
      <x:c r="A1889" s="53" t="n">
        <x:v>1870</x:v>
      </x:c>
      <x:c r="B1889" s="53" t="n">
        <x:v>3</x:v>
      </x:c>
      <x:c r="C1889" s="40" t="str">
        <x:v>Low-Value Low-Engagement Shoppers</x:v>
      </x:c>
      <x:c r="D1889" s="60" t="n">
        <x:v>303.6</x:v>
      </x:c>
      <x:c r="E1889" s="50" t="n">
        <x:v>37</x:v>
      </x:c>
      <x:c r="F1889" s="46" t="n">
        <x:v>1.85</x:v>
      </x:c>
      <x:c r="G1889" s="46" t="n">
        <x:v>23</x:v>
      </x:c>
      <x:c r="H1889" s="61" t="n">
        <x:v>8.205405405405404</x:v>
      </x:c>
      <x:c r="I1889" s="52" t="n">
        <x:v>0.6486486486486486</x:v>
      </x:c>
      <x:c r="J1889" s="52" t="n">
        <x:v>0.4710474308300395</x:v>
      </x:c>
      <x:c r="K1889" s="60" t="n">
        <x:v>215.86</x:v>
      </x:c>
      <x:c r="L1889" s="60" t="n">
        <x:v>87.74</x:v>
      </x:c>
      <x:c r="M1889" s="50" t="n">
        <x:v>24</x:v>
      </x:c>
      <x:c r="N1889" s="50" t="n">
        <x:v>13</x:v>
      </x:c>
      <x:c r="O1889" s="50" t="n">
        <x:v>31</x:v>
      </x:c>
      <x:c r="P1889" s="50" t="n">
        <x:v>20</x:v>
      </x:c>
    </x:row>
    <x:row r="1890" ht="36" customHeight="1">
      <x:c r="A1890" s="53" t="n">
        <x:v>1871</x:v>
      </x:c>
      <x:c r="B1890" s="53" t="n">
        <x:v>3</x:v>
      </x:c>
      <x:c r="C1890" s="40" t="str">
        <x:v>Low-Value Low-Engagement Shoppers</x:v>
      </x:c>
      <x:c r="D1890" s="60" t="n">
        <x:v>547.41</x:v>
      </x:c>
      <x:c r="E1890" s="50" t="n">
        <x:v>20</x:v>
      </x:c>
      <x:c r="F1890" s="46" t="n">
        <x:v>1.4285714285714286</x:v>
      </x:c>
      <x:c r="G1890" s="46" t="n">
        <x:v>10</x:v>
      </x:c>
      <x:c r="H1890" s="61" t="n">
        <x:v>27.3705</x:v>
      </x:c>
      <x:c r="I1890" s="52" t="n">
        <x:v>0.85</x:v>
      </x:c>
      <x:c r="J1890" s="52" t="n">
        <x:v>0.2466524177490363</x:v>
      </x:c>
      <x:c r="K1890" s="60" t="n">
        <x:v>498.25</x:v>
      </x:c>
      <x:c r="L1890" s="60" t="n">
        <x:v>49.16</x:v>
      </x:c>
      <x:c r="M1890" s="50" t="n">
        <x:v>17</x:v>
      </x:c>
      <x:c r="N1890" s="50" t="n">
        <x:v>3</x:v>
      </x:c>
      <x:c r="O1890" s="50" t="n">
        <x:v>53</x:v>
      </x:c>
      <x:c r="P1890" s="50" t="n">
        <x:v>14</x:v>
      </x:c>
    </x:row>
    <x:row r="1891" ht="36" customHeight="1">
      <x:c r="A1891" s="53" t="n">
        <x:v>1872</x:v>
      </x:c>
      <x:c r="B1891" s="53" t="n">
        <x:v>1</x:v>
      </x:c>
      <x:c r="C1891" s="40" t="str">
        <x:v>High-Value Frequent Shoppers</x:v>
      </x:c>
      <x:c r="D1891" s="60" t="n">
        <x:v>3762.97</x:v>
      </x:c>
      <x:c r="E1891" s="50" t="n">
        <x:v>161</x:v>
      </x:c>
      <x:c r="F1891" s="46" t="n">
        <x:v>7</x:v>
      </x:c>
      <x:c r="G1891" s="46" t="n">
        <x:v>2</x:v>
      </x:c>
      <x:c r="H1891" s="61" t="n">
        <x:v>23.37248447204969</x:v>
      </x:c>
      <x:c r="I1891" s="52" t="n">
        <x:v>0.8322981366459627</x:v>
      </x:c>
      <x:c r="J1891" s="52" t="n">
        <x:v>0.4457250522858274</x:v>
      </x:c>
      <x:c r="K1891" s="60" t="n">
        <x:v>3491</x:v>
      </x:c>
      <x:c r="L1891" s="60" t="n">
        <x:v>271.97</x:v>
      </x:c>
      <x:c r="M1891" s="50" t="n">
        <x:v>134</x:v>
      </x:c>
      <x:c r="N1891" s="50" t="n">
        <x:v>27</x:v>
      </x:c>
      <x:c r="O1891" s="50" t="n">
        <x:v>155</x:v>
      </x:c>
      <x:c r="P1891" s="50" t="n">
        <x:v>23</x:v>
      </x:c>
    </x:row>
    <x:row r="1892" ht="36" customHeight="1">
      <x:c r="A1892" s="53" t="n">
        <x:v>1873</x:v>
      </x:c>
      <x:c r="B1892" s="53" t="n">
        <x:v>1</x:v>
      </x:c>
      <x:c r="C1892" s="40" t="str">
        <x:v>High-Value Frequent Shoppers</x:v>
      </x:c>
      <x:c r="D1892" s="60" t="n">
        <x:v>5686.82</x:v>
      </x:c>
      <x:c r="E1892" s="50" t="n">
        <x:v>268</x:v>
      </x:c>
      <x:c r="F1892" s="46" t="n">
        <x:v>11.166666666666666</x:v>
      </x:c>
      <x:c r="G1892" s="46" t="n">
        <x:v>4</x:v>
      </x:c>
      <x:c r="H1892" s="61" t="n">
        <x:v>21.21947761194029</x:v>
      </x:c>
      <x:c r="I1892" s="52" t="n">
        <x:v>0.8059701492537313</x:v>
      </x:c>
      <x:c r="J1892" s="52" t="n">
        <x:v>0.574139853204427</x:v>
      </x:c>
      <x:c r="K1892" s="60" t="n">
        <x:v>5232.48</x:v>
      </x:c>
      <x:c r="L1892" s="60" t="n">
        <x:v>454.34</x:v>
      </x:c>
      <x:c r="M1892" s="50" t="n">
        <x:v>216</x:v>
      </x:c>
      <x:c r="N1892" s="50" t="n">
        <x:v>52</x:v>
      </x:c>
      <x:c r="O1892" s="50" t="n">
        <x:v>150</x:v>
      </x:c>
      <x:c r="P1892" s="50" t="n">
        <x:v>24</x:v>
      </x:c>
    </x:row>
    <x:row r="1893" ht="36" customHeight="1">
      <x:c r="A1893" s="53" t="n">
        <x:v>1874</x:v>
      </x:c>
      <x:c r="B1893" s="53" t="n">
        <x:v>3</x:v>
      </x:c>
      <x:c r="C1893" s="40" t="str">
        <x:v>Low-Value Low-Engagement Shoppers</x:v>
      </x:c>
      <x:c r="D1893" s="60" t="n">
        <x:v>834.29</x:v>
      </x:c>
      <x:c r="E1893" s="50" t="n">
        <x:v>33</x:v>
      </x:c>
      <x:c r="F1893" s="46" t="n">
        <x:v>1.9411764705882355</x:v>
      </x:c>
      <x:c r="G1893" s="46" t="n">
        <x:v>19</x:v>
      </x:c>
      <x:c r="H1893" s="61" t="n">
        <x:v>25.28151515151515</x:v>
      </x:c>
      <x:c r="I1893" s="52" t="n">
        <x:v>0.7878787878787878</x:v>
      </x:c>
      <x:c r="J1893" s="52" t="n">
        <x:v>0.6194368864543504</x:v>
      </x:c>
      <x:c r="K1893" s="60" t="n">
        <x:v>766.02</x:v>
      </x:c>
      <x:c r="L1893" s="60" t="n">
        <x:v>68.27</x:v>
      </x:c>
      <x:c r="M1893" s="50" t="n">
        <x:v>26</x:v>
      </x:c>
      <x:c r="N1893" s="50" t="n">
        <x:v>7</x:v>
      </x:c>
      <x:c r="O1893" s="50" t="n">
        <x:v>94</x:v>
      </x:c>
      <x:c r="P1893" s="50" t="n">
        <x:v>17</x:v>
      </x:c>
    </x:row>
    <x:row r="1894" ht="36" customHeight="1">
      <x:c r="A1894" s="53" t="n">
        <x:v>1875</x:v>
      </x:c>
      <x:c r="B1894" s="53" t="n">
        <x:v>2</x:v>
      </x:c>
      <x:c r="C1894" s="40" t="str">
        <x:v>Large-Basket Occasional Shoppers</x:v>
      </x:c>
      <x:c r="D1894" s="60" t="n">
        <x:v>909.05</x:v>
      </x:c>
      <x:c r="E1894" s="50" t="n">
        <x:v>44</x:v>
      </x:c>
      <x:c r="F1894" s="46" t="n">
        <x:v>3.3846153846153846</x:v>
      </x:c>
      <x:c r="G1894" s="46" t="n">
        <x:v>18</x:v>
      </x:c>
      <x:c r="H1894" s="61" t="n">
        <x:v>20.660227272727276</x:v>
      </x:c>
      <x:c r="I1894" s="52" t="n">
        <x:v>0.8636363636363636</x:v>
      </x:c>
      <x:c r="J1894" s="52" t="n">
        <x:v>0.5972058742643418</x:v>
      </x:c>
      <x:c r="K1894" s="60" t="n">
        <x:v>784.39</x:v>
      </x:c>
      <x:c r="L1894" s="60" t="n">
        <x:v>124.66</x:v>
      </x:c>
      <x:c r="M1894" s="50" t="n">
        <x:v>38</x:v>
      </x:c>
      <x:c r="N1894" s="50" t="n">
        <x:v>6</x:v>
      </x:c>
      <x:c r="O1894" s="50" t="n">
        <x:v>73</x:v>
      </x:c>
      <x:c r="P1894" s="50" t="n">
        <x:v>13</x:v>
      </x:c>
    </x:row>
    <x:row r="1895" ht="36" customHeight="1">
      <x:c r="A1895" s="53" t="n">
        <x:v>1876</x:v>
      </x:c>
      <x:c r="B1895" s="53" t="n">
        <x:v>3</x:v>
      </x:c>
      <x:c r="C1895" s="40" t="str">
        <x:v>Low-Value Low-Engagement Shoppers</x:v>
      </x:c>
      <x:c r="D1895" s="60" t="n">
        <x:v>86.19</x:v>
      </x:c>
      <x:c r="E1895" s="50" t="n">
        <x:v>5</x:v>
      </x:c>
      <x:c r="F1895" s="46" t="n">
        <x:v>1.25</x:v>
      </x:c>
      <x:c r="G1895" s="46" t="n">
        <x:v>8</x:v>
      </x:c>
      <x:c r="H1895" s="61" t="n">
        <x:v>17.238</x:v>
      </x:c>
      <x:c r="I1895" s="52" t="n">
        <x:v>0.8</x:v>
      </x:c>
      <x:c r="J1895" s="52" t="n">
        <x:v>0.4710523262559461</x:v>
      </x:c>
      <x:c r="K1895" s="60" t="n">
        <x:v>82.21</x:v>
      </x:c>
      <x:c r="L1895" s="60" t="n">
        <x:v>3.98</x:v>
      </x:c>
      <x:c r="M1895" s="50" t="n">
        <x:v>4</x:v>
      </x:c>
      <x:c r="N1895" s="50" t="n">
        <x:v>1</x:v>
      </x:c>
      <x:c r="O1895" s="50" t="n">
        <x:v>10</x:v>
      </x:c>
      <x:c r="P1895" s="50" t="n">
        <x:v>4</x:v>
      </x:c>
    </x:row>
    <x:row r="1896" ht="36" customHeight="1">
      <x:c r="A1896" s="53" t="n">
        <x:v>1877</x:v>
      </x:c>
      <x:c r="B1896" s="53" t="n">
        <x:v>2</x:v>
      </x:c>
      <x:c r="C1896" s="40" t="str">
        <x:v>Large-Basket Occasional Shoppers</x:v>
      </x:c>
      <x:c r="D1896" s="60" t="n">
        <x:v>1975.04</x:v>
      </x:c>
      <x:c r="E1896" s="50" t="n">
        <x:v>64</x:v>
      </x:c>
      <x:c r="F1896" s="46" t="n">
        <x:v>3.3684210526315788</x:v>
      </x:c>
      <x:c r="G1896" s="46" t="n">
        <x:v>2</x:v>
      </x:c>
      <x:c r="H1896" s="61" t="n">
        <x:v>30.86</x:v>
      </x:c>
      <x:c r="I1896" s="52" t="n">
        <x:v>0.859375</x:v>
      </x:c>
      <x:c r="J1896" s="52" t="n">
        <x:v>0.5579076879455604</x:v>
      </x:c>
      <x:c r="K1896" s="60" t="n">
        <x:v>1877.65</x:v>
      </x:c>
      <x:c r="L1896" s="60" t="n">
        <x:v>97.39</x:v>
      </x:c>
      <x:c r="M1896" s="50" t="n">
        <x:v>55</x:v>
      </x:c>
      <x:c r="N1896" s="50" t="n">
        <x:v>9</x:v>
      </x:c>
      <x:c r="O1896" s="50" t="n">
        <x:v>101</x:v>
      </x:c>
      <x:c r="P1896" s="50" t="n">
        <x:v>19</x:v>
      </x:c>
    </x:row>
    <x:row r="1897" ht="36" customHeight="1">
      <x:c r="A1897" s="53" t="n">
        <x:v>1878</x:v>
      </x:c>
      <x:c r="B1897" s="53" t="n">
        <x:v>3</x:v>
      </x:c>
      <x:c r="C1897" s="40" t="str">
        <x:v>Low-Value Low-Engagement Shoppers</x:v>
      </x:c>
      <x:c r="D1897" s="60" t="n">
        <x:v>625.64</x:v>
      </x:c>
      <x:c r="E1897" s="50" t="n">
        <x:v>35</x:v>
      </x:c>
      <x:c r="F1897" s="46" t="n">
        <x:v>2.5</x:v>
      </x:c>
      <x:c r="G1897" s="46" t="n">
        <x:v>9</x:v>
      </x:c>
      <x:c r="H1897" s="61" t="n">
        <x:v>17.87542857142857</x:v>
      </x:c>
      <x:c r="I1897" s="52" t="n">
        <x:v>0.7714285714285714</x:v>
      </x:c>
      <x:c r="J1897" s="52" t="n">
        <x:v>0.4450322869381753</x:v>
      </x:c>
      <x:c r="K1897" s="60" t="n">
        <x:v>585.62</x:v>
      </x:c>
      <x:c r="L1897" s="60" t="n">
        <x:v>40.02</x:v>
      </x:c>
      <x:c r="M1897" s="50" t="n">
        <x:v>27</x:v>
      </x:c>
      <x:c r="N1897" s="50" t="n">
        <x:v>8</x:v>
      </x:c>
      <x:c r="O1897" s="50" t="n">
        <x:v>78</x:v>
      </x:c>
      <x:c r="P1897" s="50" t="n">
        <x:v>14</x:v>
      </x:c>
    </x:row>
    <x:row r="1898" ht="36" customHeight="1">
      <x:c r="A1898" s="53" t="n">
        <x:v>1879</x:v>
      </x:c>
      <x:c r="B1898" s="53" t="n">
        <x:v>1</x:v>
      </x:c>
      <x:c r="C1898" s="40" t="str">
        <x:v>High-Value Frequent Shoppers</x:v>
      </x:c>
      <x:c r="D1898" s="60" t="n">
        <x:v>4861.95</x:v>
      </x:c>
      <x:c r="E1898" s="50" t="n">
        <x:v>272</x:v>
      </x:c>
      <x:c r="F1898" s="46" t="n">
        <x:v>12.952380952380953</x:v>
      </x:c>
      <x:c r="G1898" s="46" t="n">
        <x:v>3</x:v>
      </x:c>
      <x:c r="H1898" s="61" t="n">
        <x:v>17.87481617647059</x:v>
      </x:c>
      <x:c r="I1898" s="52" t="n">
        <x:v>0.9154411764705882</x:v>
      </x:c>
      <x:c r="J1898" s="52" t="n">
        <x:v>0.3643928876273923</x:v>
      </x:c>
      <x:c r="K1898" s="60" t="n">
        <x:v>4611.52</x:v>
      </x:c>
      <x:c r="L1898" s="60" t="n">
        <x:v>250.43</x:v>
      </x:c>
      <x:c r="M1898" s="50" t="n">
        <x:v>249</x:v>
      </x:c>
      <x:c r="N1898" s="50" t="n">
        <x:v>23</x:v>
      </x:c>
      <x:c r="O1898" s="50" t="n">
        <x:v>99</x:v>
      </x:c>
      <x:c r="P1898" s="50" t="n">
        <x:v>21</x:v>
      </x:c>
    </x:row>
    <x:row r="1899" ht="36" customHeight="1">
      <x:c r="A1899" s="53" t="n">
        <x:v>1880</x:v>
      </x:c>
      <x:c r="B1899" s="53" t="n">
        <x:v>2</x:v>
      </x:c>
      <x:c r="C1899" s="40" t="str">
        <x:v>Large-Basket Occasional Shoppers</x:v>
      </x:c>
      <x:c r="D1899" s="60" t="n">
        <x:v>773.39</x:v>
      </x:c>
      <x:c r="E1899" s="50" t="n">
        <x:v>36</x:v>
      </x:c>
      <x:c r="F1899" s="46" t="n">
        <x:v>3</x:v>
      </x:c>
      <x:c r="G1899" s="46" t="n">
        <x:v>20</x:v>
      </x:c>
      <x:c r="H1899" s="61" t="n">
        <x:v>21.48305555555556</x:v>
      </x:c>
      <x:c r="I1899" s="52" t="n">
        <x:v>0.9444444444444444</x:v>
      </x:c>
      <x:c r="J1899" s="52" t="n">
        <x:v>0.4466439959140925</x:v>
      </x:c>
      <x:c r="K1899" s="60" t="n">
        <x:v>769.02</x:v>
      </x:c>
      <x:c r="L1899" s="60" t="n">
        <x:v>4.37</x:v>
      </x:c>
      <x:c r="M1899" s="50" t="n">
        <x:v>34</x:v>
      </x:c>
      <x:c r="N1899" s="50" t="n">
        <x:v>2</x:v>
      </x:c>
      <x:c r="O1899" s="50" t="n">
        <x:v>77</x:v>
      </x:c>
      <x:c r="P1899" s="50" t="n">
        <x:v>12</x:v>
      </x:c>
    </x:row>
    <x:row r="1900" ht="36" customHeight="1">
      <x:c r="A1900" s="53" t="n">
        <x:v>1881</x:v>
      </x:c>
      <x:c r="B1900" s="53" t="n">
        <x:v>2</x:v>
      </x:c>
      <x:c r="C1900" s="40" t="str">
        <x:v>Large-Basket Occasional Shoppers</x:v>
      </x:c>
      <x:c r="D1900" s="60" t="n">
        <x:v>2913.96</x:v>
      </x:c>
      <x:c r="E1900" s="50" t="n">
        <x:v>119</x:v>
      </x:c>
      <x:c r="F1900" s="46" t="n">
        <x:v>5.666666666666666</x:v>
      </x:c>
      <x:c r="G1900" s="46" t="n">
        <x:v>10</x:v>
      </x:c>
      <x:c r="H1900" s="61" t="n">
        <x:v>24.48705882352941</x:v>
      </x:c>
      <x:c r="I1900" s="52" t="n">
        <x:v>0.9159663865546218</x:v>
      </x:c>
      <x:c r="J1900" s="52" t="n">
        <x:v>0.5414624771788219</x:v>
      </x:c>
      <x:c r="K1900" s="60" t="n">
        <x:v>2847.89</x:v>
      </x:c>
      <x:c r="L1900" s="60" t="n">
        <x:v>66.07</x:v>
      </x:c>
      <x:c r="M1900" s="50" t="n">
        <x:v>109</x:v>
      </x:c>
      <x:c r="N1900" s="50" t="n">
        <x:v>10</x:v>
      </x:c>
      <x:c r="O1900" s="50" t="n">
        <x:v>103</x:v>
      </x:c>
      <x:c r="P1900" s="50" t="n">
        <x:v>21</x:v>
      </x:c>
    </x:row>
    <x:row r="1901" ht="36" customHeight="1">
      <x:c r="A1901" s="53" t="n">
        <x:v>1882</x:v>
      </x:c>
      <x:c r="B1901" s="53" t="n">
        <x:v>3</x:v>
      </x:c>
      <x:c r="C1901" s="40" t="str">
        <x:v>Low-Value Low-Engagement Shoppers</x:v>
      </x:c>
      <x:c r="D1901" s="60" t="n">
        <x:v>405.54</x:v>
      </x:c>
      <x:c r="E1901" s="50" t="n">
        <x:v>26</x:v>
      </x:c>
      <x:c r="F1901" s="46" t="n">
        <x:v>2.6</x:v>
      </x:c>
      <x:c r="G1901" s="46" t="n">
        <x:v>32</x:v>
      </x:c>
      <x:c r="H1901" s="61" t="n">
        <x:v>15.597692307692308</x:v>
      </x:c>
      <x:c r="I1901" s="52" t="n">
        <x:v>0.7692307692307692</x:v>
      </x:c>
      <x:c r="J1901" s="52" t="n">
        <x:v>0.537382255757755</x:v>
      </x:c>
      <x:c r="K1901" s="60" t="n">
        <x:v>390.22</x:v>
      </x:c>
      <x:c r="L1901" s="60" t="n">
        <x:v>15.32</x:v>
      </x:c>
      <x:c r="M1901" s="50" t="n">
        <x:v>20</x:v>
      </x:c>
      <x:c r="N1901" s="50" t="n">
        <x:v>6</x:v>
      </x:c>
      <x:c r="O1901" s="50" t="n">
        <x:v>52</x:v>
      </x:c>
      <x:c r="P1901" s="50" t="n">
        <x:v>10</x:v>
      </x:c>
    </x:row>
    <x:row r="1902" ht="36" customHeight="1">
      <x:c r="A1902" s="53" t="n">
        <x:v>1883</x:v>
      </x:c>
      <x:c r="B1902" s="53" t="n">
        <x:v>1</x:v>
      </x:c>
      <x:c r="C1902" s="40" t="str">
        <x:v>High-Value Frequent Shoppers</x:v>
      </x:c>
      <x:c r="D1902" s="60" t="n">
        <x:v>2460.98</x:v>
      </x:c>
      <x:c r="E1902" s="50" t="n">
        <x:v>126</x:v>
      </x:c>
      <x:c r="F1902" s="46" t="n">
        <x:v>5.478260869565218</x:v>
      </x:c>
      <x:c r="G1902" s="46" t="n">
        <x:v>6</x:v>
      </x:c>
      <x:c r="H1902" s="61" t="n">
        <x:v>19.5315873015873</x:v>
      </x:c>
      <x:c r="I1902" s="52" t="n">
        <x:v>0.8015873015873015</x:v>
      </x:c>
      <x:c r="J1902" s="52" t="n">
        <x:v>0.5238888572844964</x:v>
      </x:c>
      <x:c r="K1902" s="60" t="n">
        <x:v>2298.46</x:v>
      </x:c>
      <x:c r="L1902" s="60" t="n">
        <x:v>162.52</x:v>
      </x:c>
      <x:c r="M1902" s="50" t="n">
        <x:v>101</x:v>
      </x:c>
      <x:c r="N1902" s="50" t="n">
        <x:v>25</x:v>
      </x:c>
      <x:c r="O1902" s="50" t="n">
        <x:v>141</x:v>
      </x:c>
      <x:c r="P1902" s="50" t="n">
        <x:v>23</x:v>
      </x:c>
    </x:row>
    <x:row r="1903" ht="36" customHeight="1">
      <x:c r="A1903" s="53" t="n">
        <x:v>1884</x:v>
      </x:c>
      <x:c r="B1903" s="53" t="n">
        <x:v>3</x:v>
      </x:c>
      <x:c r="C1903" s="40" t="str">
        <x:v>Low-Value Low-Engagement Shoppers</x:v>
      </x:c>
      <x:c r="D1903" s="60" t="n">
        <x:v>592.73</x:v>
      </x:c>
      <x:c r="E1903" s="50" t="n">
        <x:v>30</x:v>
      </x:c>
      <x:c r="F1903" s="46" t="n">
        <x:v>2.5</x:v>
      </x:c>
      <x:c r="G1903" s="46" t="n">
        <x:v>0</x:v>
      </x:c>
      <x:c r="H1903" s="61" t="n">
        <x:v>19.757666666666665</x:v>
      </x:c>
      <x:c r="I1903" s="52" t="n">
        <x:v>0.6666666666666666</x:v>
      </x:c>
      <x:c r="J1903" s="52" t="n">
        <x:v>0.3212930001855819</x:v>
      </x:c>
      <x:c r="K1903" s="60" t="n">
        <x:v>479.08</x:v>
      </x:c>
      <x:c r="L1903" s="60" t="n">
        <x:v>113.65</x:v>
      </x:c>
      <x:c r="M1903" s="50" t="n">
        <x:v>20</x:v>
      </x:c>
      <x:c r="N1903" s="50" t="n">
        <x:v>10</x:v>
      </x:c>
      <x:c r="O1903" s="50" t="n">
        <x:v>68</x:v>
      </x:c>
      <x:c r="P1903" s="50" t="n">
        <x:v>12</x:v>
      </x:c>
    </x:row>
    <x:row r="1904" ht="36" customHeight="1">
      <x:c r="A1904" s="53" t="n">
        <x:v>1885</x:v>
      </x:c>
      <x:c r="B1904" s="53" t="n">
        <x:v>3</x:v>
      </x:c>
      <x:c r="C1904" s="40" t="str">
        <x:v>Low-Value Low-Engagement Shoppers</x:v>
      </x:c>
      <x:c r="D1904" s="60" t="n">
        <x:v>265.35</x:v>
      </x:c>
      <x:c r="E1904" s="50" t="n">
        <x:v>13</x:v>
      </x:c>
      <x:c r="F1904" s="46" t="n">
        <x:v>1.625</x:v>
      </x:c>
      <x:c r="G1904" s="46" t="n">
        <x:v>0</x:v>
      </x:c>
      <x:c r="H1904" s="61" t="n">
        <x:v>20.41153846153846</x:v>
      </x:c>
      <x:c r="I1904" s="52" t="n">
        <x:v>0.8461538461538461</x:v>
      </x:c>
      <x:c r="J1904" s="52" t="n">
        <x:v>0.6453740342943282</x:v>
      </x:c>
      <x:c r="K1904" s="60" t="n">
        <x:v>244.51</x:v>
      </x:c>
      <x:c r="L1904" s="60" t="n">
        <x:v>20.84</x:v>
      </x:c>
      <x:c r="M1904" s="50" t="n">
        <x:v>11</x:v>
      </x:c>
      <x:c r="N1904" s="50" t="n">
        <x:v>2</x:v>
      </x:c>
      <x:c r="O1904" s="50" t="n">
        <x:v>25</x:v>
      </x:c>
      <x:c r="P1904" s="50" t="n">
        <x:v>8</x:v>
      </x:c>
    </x:row>
    <x:row r="1905" ht="36" customHeight="1">
      <x:c r="A1905" s="53" t="n">
        <x:v>1886</x:v>
      </x:c>
      <x:c r="B1905" s="53" t="n">
        <x:v>3</x:v>
      </x:c>
      <x:c r="C1905" s="40" t="str">
        <x:v>Low-Value Low-Engagement Shoppers</x:v>
      </x:c>
      <x:c r="D1905" s="60" t="n">
        <x:v>406.25</x:v>
      </x:c>
      <x:c r="E1905" s="50" t="n">
        <x:v>30</x:v>
      </x:c>
      <x:c r="F1905" s="46" t="n">
        <x:v>2.7272727272727275</x:v>
      </x:c>
      <x:c r="G1905" s="46" t="n">
        <x:v>33</x:v>
      </x:c>
      <x:c r="H1905" s="61" t="n">
        <x:v>13.541666666666666</x:v>
      </x:c>
      <x:c r="I1905" s="52" t="n">
        <x:v>0.8333333333333333</x:v>
      </x:c>
      <x:c r="J1905" s="52" t="n">
        <x:v>0.3844923076923076</x:v>
      </x:c>
      <x:c r="K1905" s="60" t="n">
        <x:v>268.39</x:v>
      </x:c>
      <x:c r="L1905" s="60" t="n">
        <x:v>137.86</x:v>
      </x:c>
      <x:c r="M1905" s="50" t="n">
        <x:v>25</x:v>
      </x:c>
      <x:c r="N1905" s="50" t="n">
        <x:v>5</x:v>
      </x:c>
      <x:c r="O1905" s="50" t="n">
        <x:v>69</x:v>
      </x:c>
      <x:c r="P1905" s="50" t="n">
        <x:v>11</x:v>
      </x:c>
    </x:row>
    <x:row r="1906" ht="36" customHeight="1">
      <x:c r="A1906" s="53" t="n">
        <x:v>1887</x:v>
      </x:c>
      <x:c r="B1906" s="53" t="n">
        <x:v>3</x:v>
      </x:c>
      <x:c r="C1906" s="40" t="str">
        <x:v>Low-Value Low-Engagement Shoppers</x:v>
      </x:c>
      <x:c r="D1906" s="60" t="n">
        <x:v>876.88</x:v>
      </x:c>
      <x:c r="E1906" s="50" t="n">
        <x:v>87</x:v>
      </x:c>
      <x:c r="F1906" s="46" t="n">
        <x:v>4.142857142857143</x:v>
      </x:c>
      <x:c r="G1906" s="46" t="n">
        <x:v>12</x:v>
      </x:c>
      <x:c r="H1906" s="61" t="n">
        <x:v>10.079080459770116</x:v>
      </x:c>
      <x:c r="I1906" s="52" t="n">
        <x:v>0.8045977011494252</x:v>
      </x:c>
      <x:c r="J1906" s="52" t="n">
        <x:v>0.5955775020527324</x:v>
      </x:c>
      <x:c r="K1906" s="60" t="n">
        <x:v>785.52</x:v>
      </x:c>
      <x:c r="L1906" s="60" t="n">
        <x:v>91.36</x:v>
      </x:c>
      <x:c r="M1906" s="50" t="n">
        <x:v>70</x:v>
      </x:c>
      <x:c r="N1906" s="50" t="n">
        <x:v>17</x:v>
      </x:c>
      <x:c r="O1906" s="50" t="n">
        <x:v>60</x:v>
      </x:c>
      <x:c r="P1906" s="50" t="n">
        <x:v>21</x:v>
      </x:c>
    </x:row>
    <x:row r="1907" ht="36" customHeight="1">
      <x:c r="A1907" s="53" t="n">
        <x:v>1888</x:v>
      </x:c>
      <x:c r="B1907" s="53" t="n">
        <x:v>3</x:v>
      </x:c>
      <x:c r="C1907" s="40" t="str">
        <x:v>Low-Value Low-Engagement Shoppers</x:v>
      </x:c>
      <x:c r="D1907" s="60" t="n">
        <x:v>135.61</x:v>
      </x:c>
      <x:c r="E1907" s="50" t="n">
        <x:v>11</x:v>
      </x:c>
      <x:c r="F1907" s="46" t="n">
        <x:v>1.8333333333333333</x:v>
      </x:c>
      <x:c r="G1907" s="46" t="n">
        <x:v>188</x:v>
      </x:c>
      <x:c r="H1907" s="61" t="n">
        <x:v>12.328181818181818</x:v>
      </x:c>
      <x:c r="I1907" s="52" t="n">
        <x:v>0.8181818181818181</x:v>
      </x:c>
      <x:c r="J1907" s="52" t="n">
        <x:v>0.3631000663667871</x:v>
      </x:c>
      <x:c r="K1907" s="60" t="n">
        <x:v>123.66</x:v>
      </x:c>
      <x:c r="L1907" s="60" t="n">
        <x:v>11.95</x:v>
      </x:c>
      <x:c r="M1907" s="50" t="n">
        <x:v>9</x:v>
      </x:c>
      <x:c r="N1907" s="50" t="n">
        <x:v>2</x:v>
      </x:c>
      <x:c r="O1907" s="50" t="n">
        <x:v>39</x:v>
      </x:c>
      <x:c r="P1907" s="50" t="n">
        <x:v>6</x:v>
      </x:c>
    </x:row>
    <x:row r="1908" ht="36" customHeight="1">
      <x:c r="A1908" s="53" t="n">
        <x:v>1889</x:v>
      </x:c>
      <x:c r="B1908" s="53" t="n">
        <x:v>2</x:v>
      </x:c>
      <x:c r="C1908" s="40" t="str">
        <x:v>Large-Basket Occasional Shoppers</x:v>
      </x:c>
      <x:c r="D1908" s="60" t="n">
        <x:v>1803.8</x:v>
      </x:c>
      <x:c r="E1908" s="50" t="n">
        <x:v>46</x:v>
      </x:c>
      <x:c r="F1908" s="46" t="n">
        <x:v>2.421052631578948</x:v>
      </x:c>
      <x:c r="G1908" s="46" t="n">
        <x:v>17</x:v>
      </x:c>
      <x:c r="H1908" s="61" t="n">
        <x:v>39.21304347826087</x:v>
      </x:c>
      <x:c r="I1908" s="52" t="n">
        <x:v>0.8478260869565217</x:v>
      </x:c>
      <x:c r="J1908" s="52" t="n">
        <x:v>0.4198026388734893</x:v>
      </x:c>
      <x:c r="K1908" s="60" t="n">
        <x:v>1717.9</x:v>
      </x:c>
      <x:c r="L1908" s="60" t="n">
        <x:v>85.9</x:v>
      </x:c>
      <x:c r="M1908" s="50" t="n">
        <x:v>39</x:v>
      </x:c>
      <x:c r="N1908" s="50" t="n">
        <x:v>7</x:v>
      </x:c>
      <x:c r="O1908" s="50" t="n">
        <x:v>128</x:v>
      </x:c>
      <x:c r="P1908" s="50" t="n">
        <x:v>19</x:v>
      </x:c>
    </x:row>
    <x:row r="1909" ht="36" customHeight="1">
      <x:c r="A1909" s="53" t="n">
        <x:v>1890</x:v>
      </x:c>
      <x:c r="B1909" s="53" t="n">
        <x:v>2</x:v>
      </x:c>
      <x:c r="C1909" s="40" t="str">
        <x:v>Large-Basket Occasional Shoppers</x:v>
      </x:c>
      <x:c r="D1909" s="60" t="n">
        <x:v>1934.45</x:v>
      </x:c>
      <x:c r="E1909" s="50" t="n">
        <x:v>51</x:v>
      </x:c>
      <x:c r="F1909" s="46" t="n">
        <x:v>2.833333333333333</x:v>
      </x:c>
      <x:c r="G1909" s="46" t="n">
        <x:v>0</x:v>
      </x:c>
      <x:c r="H1909" s="61" t="n">
        <x:v>37.93039215686274</x:v>
      </x:c>
      <x:c r="I1909" s="52" t="n">
        <x:v>0.7647058823529411</x:v>
      </x:c>
      <x:c r="J1909" s="52" t="n">
        <x:v>0.305192690428804</x:v>
      </x:c>
      <x:c r="K1909" s="60" t="n">
        <x:v>1727.41</x:v>
      </x:c>
      <x:c r="L1909" s="60" t="n">
        <x:v>207.04</x:v>
      </x:c>
      <x:c r="M1909" s="50" t="n">
        <x:v>39</x:v>
      </x:c>
      <x:c r="N1909" s="50" t="n">
        <x:v>12</x:v>
      </x:c>
      <x:c r="O1909" s="50" t="n">
        <x:v>112</x:v>
      </x:c>
      <x:c r="P1909" s="50" t="n">
        <x:v>18</x:v>
      </x:c>
    </x:row>
    <x:row r="1910" ht="36" customHeight="1">
      <x:c r="A1910" s="53" t="n">
        <x:v>1891</x:v>
      </x:c>
      <x:c r="B1910" s="53" t="n">
        <x:v>2</x:v>
      </x:c>
      <x:c r="C1910" s="40" t="str">
        <x:v>Large-Basket Occasional Shoppers</x:v>
      </x:c>
      <x:c r="D1910" s="60" t="n">
        <x:v>1344.71</x:v>
      </x:c>
      <x:c r="E1910" s="50" t="n">
        <x:v>38</x:v>
      </x:c>
      <x:c r="F1910" s="46" t="n">
        <x:v>2.235294117647059</x:v>
      </x:c>
      <x:c r="G1910" s="46" t="n">
        <x:v>2</x:v>
      </x:c>
      <x:c r="H1910" s="61" t="n">
        <x:v>35.38710526315789</x:v>
      </x:c>
      <x:c r="I1910" s="52" t="n">
        <x:v>0.9473684210526316</x:v>
      </x:c>
      <x:c r="J1910" s="52" t="n">
        <x:v>0.5115006209517293</x:v>
      </x:c>
      <x:c r="K1910" s="60" t="n">
        <x:v>1339.44</x:v>
      </x:c>
      <x:c r="L1910" s="60" t="n">
        <x:v>5.27</x:v>
      </x:c>
      <x:c r="M1910" s="50" t="n">
        <x:v>36</x:v>
      </x:c>
      <x:c r="N1910" s="50" t="n">
        <x:v>2</x:v>
      </x:c>
      <x:c r="O1910" s="50" t="n">
        <x:v>84</x:v>
      </x:c>
      <x:c r="P1910" s="50" t="n">
        <x:v>17</x:v>
      </x:c>
    </x:row>
    <x:row r="1911" ht="36" customHeight="1">
      <x:c r="A1911" s="53" t="n">
        <x:v>1892</x:v>
      </x:c>
      <x:c r="B1911" s="53" t="n">
        <x:v>1</x:v>
      </x:c>
      <x:c r="C1911" s="40" t="str">
        <x:v>High-Value Frequent Shoppers</x:v>
      </x:c>
      <x:c r="D1911" s="60" t="n">
        <x:v>5532.21</x:v>
      </x:c>
      <x:c r="E1911" s="50" t="n">
        <x:v>306</x:v>
      </x:c>
      <x:c r="F1911" s="46" t="n">
        <x:v>14.571428571428571</x:v>
      </x:c>
      <x:c r="G1911" s="46" t="n">
        <x:v>0</x:v>
      </x:c>
      <x:c r="H1911" s="61" t="n">
        <x:v>18.079117647058823</x:v>
      </x:c>
      <x:c r="I1911" s="52" t="n">
        <x:v>0.8006535947712418</x:v>
      </x:c>
      <x:c r="J1911" s="52" t="n">
        <x:v>0.6827596927810043</x:v>
      </x:c>
      <x:c r="K1911" s="60" t="n">
        <x:v>5048.83</x:v>
      </x:c>
      <x:c r="L1911" s="60" t="n">
        <x:v>483.38</x:v>
      </x:c>
      <x:c r="M1911" s="50" t="n">
        <x:v>245</x:v>
      </x:c>
      <x:c r="N1911" s="50" t="n">
        <x:v>61</x:v>
      </x:c>
      <x:c r="O1911" s="50" t="n">
        <x:v>162</x:v>
      </x:c>
      <x:c r="P1911" s="50" t="n">
        <x:v>21</x:v>
      </x:c>
    </x:row>
    <x:row r="1912" ht="36" customHeight="1">
      <x:c r="A1912" s="53" t="n">
        <x:v>1893</x:v>
      </x:c>
      <x:c r="B1912" s="53" t="n">
        <x:v>3</x:v>
      </x:c>
      <x:c r="C1912" s="40" t="str">
        <x:v>Low-Value Low-Engagement Shoppers</x:v>
      </x:c>
      <x:c r="D1912" s="60" t="n">
        <x:v>373.71</x:v>
      </x:c>
      <x:c r="E1912" s="50" t="n">
        <x:v>18</x:v>
      </x:c>
      <x:c r="F1912" s="46" t="n">
        <x:v>1.5</x:v>
      </x:c>
      <x:c r="G1912" s="46" t="n">
        <x:v>8</x:v>
      </x:c>
      <x:c r="H1912" s="61" t="n">
        <x:v>20.761666666666663</x:v>
      </x:c>
      <x:c r="I1912" s="52" t="n">
        <x:v>0.8888888888888888</x:v>
      </x:c>
      <x:c r="J1912" s="52" t="n">
        <x:v>0.671215648497498</x:v>
      </x:c>
      <x:c r="K1912" s="60" t="n">
        <x:v>363.08</x:v>
      </x:c>
      <x:c r="L1912" s="60" t="n">
        <x:v>10.63</x:v>
      </x:c>
      <x:c r="M1912" s="50" t="n">
        <x:v>16</x:v>
      </x:c>
      <x:c r="N1912" s="50" t="n">
        <x:v>2</x:v>
      </x:c>
      <x:c r="O1912" s="50" t="n">
        <x:v>33</x:v>
      </x:c>
      <x:c r="P1912" s="50" t="n">
        <x:v>12</x:v>
      </x:c>
    </x:row>
    <x:row r="1913" ht="36" customHeight="1">
      <x:c r="A1913" s="53" t="n">
        <x:v>1894</x:v>
      </x:c>
      <x:c r="B1913" s="53" t="n">
        <x:v>2</x:v>
      </x:c>
      <x:c r="C1913" s="40" t="str">
        <x:v>Large-Basket Occasional Shoppers</x:v>
      </x:c>
      <x:c r="D1913" s="60" t="n">
        <x:v>2335.47</x:v>
      </x:c>
      <x:c r="E1913" s="50" t="n">
        <x:v>42</x:v>
      </x:c>
      <x:c r="F1913" s="46" t="n">
        <x:v>2.625</x:v>
      </x:c>
      <x:c r="G1913" s="46" t="n">
        <x:v>53</x:v>
      </x:c>
      <x:c r="H1913" s="61" t="n">
        <x:v>55.606428571428566</x:v>
      </x:c>
      <x:c r="I1913" s="52" t="n">
        <x:v>0.7619047619047619</x:v>
      </x:c>
      <x:c r="J1913" s="52" t="n">
        <x:v>0.493138426098387</x:v>
      </x:c>
      <x:c r="K1913" s="60" t="n">
        <x:v>2220.93</x:v>
      </x:c>
      <x:c r="L1913" s="60" t="n">
        <x:v>114.54</x:v>
      </x:c>
      <x:c r="M1913" s="50" t="n">
        <x:v>32</x:v>
      </x:c>
      <x:c r="N1913" s="50" t="n">
        <x:v>10</x:v>
      </x:c>
      <x:c r="O1913" s="50" t="n">
        <x:v>117</x:v>
      </x:c>
      <x:c r="P1913" s="50" t="n">
        <x:v>16</x:v>
      </x:c>
    </x:row>
    <x:row r="1914" ht="36" customHeight="1">
      <x:c r="A1914" s="53" t="n">
        <x:v>1895</x:v>
      </x:c>
      <x:c r="B1914" s="53" t="n">
        <x:v>3</x:v>
      </x:c>
      <x:c r="C1914" s="40" t="str">
        <x:v>Low-Value Low-Engagement Shoppers</x:v>
      </x:c>
      <x:c r="D1914" s="60" t="n">
        <x:v>927.56</x:v>
      </x:c>
      <x:c r="E1914" s="50" t="n">
        <x:v>49</x:v>
      </x:c>
      <x:c r="F1914" s="46" t="n">
        <x:v>2.8823529411764706</x:v>
      </x:c>
      <x:c r="G1914" s="46" t="n">
        <x:v>37</x:v>
      </x:c>
      <x:c r="H1914" s="61" t="n">
        <x:v>18.929795918367343</x:v>
      </x:c>
      <x:c r="I1914" s="52" t="n">
        <x:v>0.8163265306122448</x:v>
      </x:c>
      <x:c r="J1914" s="52" t="n">
        <x:v>0.4569407908922333</x:v>
      </x:c>
      <x:c r="K1914" s="60" t="n">
        <x:v>801.59</x:v>
      </x:c>
      <x:c r="L1914" s="60" t="n">
        <x:v>125.97</x:v>
      </x:c>
      <x:c r="M1914" s="50" t="n">
        <x:v>40</x:v>
      </x:c>
      <x:c r="N1914" s="50" t="n">
        <x:v>9</x:v>
      </x:c>
      <x:c r="O1914" s="50" t="n">
        <x:v>72</x:v>
      </x:c>
      <x:c r="P1914" s="50" t="n">
        <x:v>17</x:v>
      </x:c>
    </x:row>
    <x:row r="1915" ht="36" customHeight="1">
      <x:c r="A1915" s="53" t="n">
        <x:v>1896</x:v>
      </x:c>
      <x:c r="B1915" s="53" t="n">
        <x:v>1</x:v>
      </x:c>
      <x:c r="C1915" s="40" t="str">
        <x:v>High-Value Frequent Shoppers</x:v>
      </x:c>
      <x:c r="D1915" s="60" t="n">
        <x:v>3378.34</x:v>
      </x:c>
      <x:c r="E1915" s="50" t="n">
        <x:v>128</x:v>
      </x:c>
      <x:c r="F1915" s="46" t="n">
        <x:v>6.4</x:v>
      </x:c>
      <x:c r="G1915" s="46" t="n">
        <x:v>1</x:v>
      </x:c>
      <x:c r="H1915" s="61" t="n">
        <x:v>26.39328125</x:v>
      </x:c>
      <x:c r="I1915" s="52" t="n">
        <x:v>0.796875</x:v>
      </x:c>
      <x:c r="J1915" s="52" t="n">
        <x:v>0.5705612815761587</x:v>
      </x:c>
      <x:c r="K1915" s="60" t="n">
        <x:v>3230.16</x:v>
      </x:c>
      <x:c r="L1915" s="60" t="n">
        <x:v>148.18</x:v>
      </x:c>
      <x:c r="M1915" s="50" t="n">
        <x:v>102</x:v>
      </x:c>
      <x:c r="N1915" s="50" t="n">
        <x:v>26</x:v>
      </x:c>
      <x:c r="O1915" s="50" t="n">
        <x:v>175</x:v>
      </x:c>
      <x:c r="P1915" s="50" t="n">
        <x:v>20</x:v>
      </x:c>
    </x:row>
    <x:row r="1916" ht="36" customHeight="1">
      <x:c r="A1916" s="53" t="n">
        <x:v>1897</x:v>
      </x:c>
      <x:c r="B1916" s="53" t="n">
        <x:v>3</x:v>
      </x:c>
      <x:c r="C1916" s="40" t="str">
        <x:v>Low-Value Low-Engagement Shoppers</x:v>
      </x:c>
      <x:c r="D1916" s="60" t="n">
        <x:v>19.58</x:v>
      </x:c>
      <x:c r="E1916" s="50" t="n">
        <x:v>1</x:v>
      </x:c>
      <x:c r="F1916" s="46" t="n">
        <x:v>1</x:v>
      </x:c>
      <x:c r="G1916" s="46" t="n">
        <x:v>642</x:v>
      </x:c>
      <x:c r="H1916" s="61" t="n">
        <x:v>19.58</x:v>
      </x:c>
      <x:c r="I1916" s="52" t="n">
        <x:v>1</x:v>
      </x:c>
      <x:c r="J1916" s="52" t="n">
        <x:v>0.1787538304392236</x:v>
      </x:c>
      <x:c r="K1916" s="60" t="n">
        <x:v>19.58</x:v>
      </x:c>
      <x:c r="L1916" s="60" t="n">
        <x:v>0</x:v>
      </x:c>
      <x:c r="M1916" s="50" t="n">
        <x:v>1</x:v>
      </x:c>
      <x:c r="N1916" s="50" t="n">
        <x:v>0</x:v>
      </x:c>
      <x:c r="O1916" s="50" t="n">
        <x:v>5</x:v>
      </x:c>
      <x:c r="P1916" s="50" t="n">
        <x:v>1</x:v>
      </x:c>
    </x:row>
    <x:row r="1917" ht="36" customHeight="1">
      <x:c r="A1917" s="53" t="n">
        <x:v>1898</x:v>
      </x:c>
      <x:c r="B1917" s="53" t="n">
        <x:v>3</x:v>
      </x:c>
      <x:c r="C1917" s="40" t="str">
        <x:v>Low-Value Low-Engagement Shoppers</x:v>
      </x:c>
      <x:c r="D1917" s="60" t="n">
        <x:v>717.71</x:v>
      </x:c>
      <x:c r="E1917" s="50" t="n">
        <x:v>48</x:v>
      </x:c>
      <x:c r="F1917" s="46" t="n">
        <x:v>3.428571428571429</x:v>
      </x:c>
      <x:c r="G1917" s="46" t="n">
        <x:v>0</x:v>
      </x:c>
      <x:c r="H1917" s="61" t="n">
        <x:v>14.952291666666666</x:v>
      </x:c>
      <x:c r="I1917" s="52" t="n">
        <x:v>0.8125</x:v>
      </x:c>
      <x:c r="J1917" s="52" t="n">
        <x:v>0.602443884020008</x:v>
      </x:c>
      <x:c r="K1917" s="60" t="n">
        <x:v>635.31</x:v>
      </x:c>
      <x:c r="L1917" s="60" t="n">
        <x:v>82.4</x:v>
      </x:c>
      <x:c r="M1917" s="50" t="n">
        <x:v>39</x:v>
      </x:c>
      <x:c r="N1917" s="50" t="n">
        <x:v>9</x:v>
      </x:c>
      <x:c r="O1917" s="50" t="n">
        <x:v>60</x:v>
      </x:c>
      <x:c r="P1917" s="50" t="n">
        <x:v>14</x:v>
      </x:c>
    </x:row>
    <x:row r="1918" ht="36" customHeight="1">
      <x:c r="A1918" s="53" t="n">
        <x:v>1899</x:v>
      </x:c>
      <x:c r="B1918" s="53" t="n">
        <x:v>2</x:v>
      </x:c>
      <x:c r="C1918" s="40" t="str">
        <x:v>Large-Basket Occasional Shoppers</x:v>
      </x:c>
      <x:c r="D1918" s="60" t="n">
        <x:v>11276.8</x:v>
      </x:c>
      <x:c r="E1918" s="50" t="n">
        <x:v>69</x:v>
      </x:c>
      <x:c r="F1918" s="46" t="n">
        <x:v>2.875</x:v>
      </x:c>
      <x:c r="G1918" s="46" t="n">
        <x:v>6</x:v>
      </x:c>
      <x:c r="H1918" s="61" t="n">
        <x:v>163.431884057971</x:v>
      </x:c>
      <x:c r="I1918" s="52" t="n">
        <x:v>0.9855072463768116</x:v>
      </x:c>
      <x:c r="J1918" s="52" t="n">
        <x:v>0.5136368473325766</x:v>
      </x:c>
      <x:c r="K1918" s="60" t="n">
        <x:v>11261.81</x:v>
      </x:c>
      <x:c r="L1918" s="60" t="n">
        <x:v>14.99</x:v>
      </x:c>
      <x:c r="M1918" s="50" t="n">
        <x:v>68</x:v>
      </x:c>
      <x:c r="N1918" s="50" t="n">
        <x:v>1</x:v>
      </x:c>
      <x:c r="O1918" s="50" t="n">
        <x:v>152</x:v>
      </x:c>
      <x:c r="P1918" s="50" t="n">
        <x:v>24</x:v>
      </x:c>
    </x:row>
    <x:row r="1919" ht="36" customHeight="1">
      <x:c r="A1919" s="53" t="n">
        <x:v>1900</x:v>
      </x:c>
      <x:c r="B1919" s="53" t="n">
        <x:v>2</x:v>
      </x:c>
      <x:c r="C1919" s="40" t="str">
        <x:v>Large-Basket Occasional Shoppers</x:v>
      </x:c>
      <x:c r="D1919" s="60" t="n">
        <x:v>8541.14</x:v>
      </x:c>
      <x:c r="E1919" s="50" t="n">
        <x:v>56</x:v>
      </x:c>
      <x:c r="F1919" s="46" t="n">
        <x:v>2.947368421052632</x:v>
      </x:c>
      <x:c r="G1919" s="46" t="n">
        <x:v>4</x:v>
      </x:c>
      <x:c r="H1919" s="61" t="n">
        <x:v>152.52035714285714</x:v>
      </x:c>
      <x:c r="I1919" s="52" t="n">
        <x:v>0.9821428571428572</x:v>
      </x:c>
      <x:c r="J1919" s="52" t="n">
        <x:v>0.3562943588326616</x:v>
      </x:c>
      <x:c r="K1919" s="60" t="n">
        <x:v>8519.15</x:v>
      </x:c>
      <x:c r="L1919" s="60" t="n">
        <x:v>21.99</x:v>
      </x:c>
      <x:c r="M1919" s="50" t="n">
        <x:v>55</x:v>
      </x:c>
      <x:c r="N1919" s="50" t="n">
        <x:v>1</x:v>
      </x:c>
      <x:c r="O1919" s="50" t="n">
        <x:v>176</x:v>
      </x:c>
      <x:c r="P1919" s="50" t="n">
        <x:v>19</x:v>
      </x:c>
    </x:row>
    <x:row r="1920" ht="36" customHeight="1">
      <x:c r="A1920" s="53" t="n">
        <x:v>1901</x:v>
      </x:c>
      <x:c r="B1920" s="53" t="n">
        <x:v>1</x:v>
      </x:c>
      <x:c r="C1920" s="40" t="str">
        <x:v>High-Value Frequent Shoppers</x:v>
      </x:c>
      <x:c r="D1920" s="60" t="n">
        <x:v>11462.24</x:v>
      </x:c>
      <x:c r="E1920" s="50" t="n">
        <x:v>838</x:v>
      </x:c>
      <x:c r="F1920" s="46" t="n">
        <x:v>38.090909090909086</x:v>
      </x:c>
      <x:c r="G1920" s="46" t="n">
        <x:v>0</x:v>
      </x:c>
      <x:c r="H1920" s="61" t="n">
        <x:v>13.678090692124105</x:v>
      </x:c>
      <x:c r="I1920" s="52" t="n">
        <x:v>0.6730310262529832</x:v>
      </x:c>
      <x:c r="J1920" s="52" t="n">
        <x:v>0.4283674046259718</x:v>
      </x:c>
      <x:c r="K1920" s="60" t="n">
        <x:v>9947.62</x:v>
      </x:c>
      <x:c r="L1920" s="60" t="n">
        <x:v>1514.62</x:v>
      </x:c>
      <x:c r="M1920" s="50" t="n">
        <x:v>564</x:v>
      </x:c>
      <x:c r="N1920" s="50" t="n">
        <x:v>274</x:v>
      </x:c>
      <x:c r="O1920" s="50" t="n">
        <x:v>237</x:v>
      </x:c>
      <x:c r="P1920" s="50" t="n">
        <x:v>22</x:v>
      </x:c>
    </x:row>
    <x:row r="1921" ht="36" customHeight="1">
      <x:c r="A1921" s="53" t="n">
        <x:v>1902</x:v>
      </x:c>
      <x:c r="B1921" s="53" t="n">
        <x:v>2</x:v>
      </x:c>
      <x:c r="C1921" s="40" t="str">
        <x:v>Large-Basket Occasional Shoppers</x:v>
      </x:c>
      <x:c r="D1921" s="60" t="n">
        <x:v>1646</x:v>
      </x:c>
      <x:c r="E1921" s="50" t="n">
        <x:v>21</x:v>
      </x:c>
      <x:c r="F1921" s="46" t="n">
        <x:v>1.4</x:v>
      </x:c>
      <x:c r="G1921" s="46" t="n">
        <x:v>20</x:v>
      </x:c>
      <x:c r="H1921" s="61" t="n">
        <x:v>78.38095238095238</x:v>
      </x:c>
      <x:c r="I1921" s="52" t="n">
        <x:v>0.9047619047619048</x:v>
      </x:c>
      <x:c r="J1921" s="52" t="n">
        <x:v>0.5290886998784933</x:v>
      </x:c>
      <x:c r="K1921" s="60" t="n">
        <x:v>1596.66</x:v>
      </x:c>
      <x:c r="L1921" s="60" t="n">
        <x:v>49.34</x:v>
      </x:c>
      <x:c r="M1921" s="50" t="n">
        <x:v>19</x:v>
      </x:c>
      <x:c r="N1921" s="50" t="n">
        <x:v>2</x:v>
      </x:c>
      <x:c r="O1921" s="50" t="n">
        <x:v>118</x:v>
      </x:c>
      <x:c r="P1921" s="50" t="n">
        <x:v>15</x:v>
      </x:c>
    </x:row>
    <x:row r="1922" ht="36" customHeight="1">
      <x:c r="A1922" s="53" t="n">
        <x:v>1903</x:v>
      </x:c>
      <x:c r="B1922" s="53" t="n">
        <x:v>2</x:v>
      </x:c>
      <x:c r="C1922" s="40" t="str">
        <x:v>Large-Basket Occasional Shoppers</x:v>
      </x:c>
      <x:c r="D1922" s="60" t="n">
        <x:v>1152.32</x:v>
      </x:c>
      <x:c r="E1922" s="50" t="n">
        <x:v>40</x:v>
      </x:c>
      <x:c r="F1922" s="46" t="n">
        <x:v>2.1052631578947367</x:v>
      </x:c>
      <x:c r="G1922" s="46" t="n">
        <x:v>33</x:v>
      </x:c>
      <x:c r="H1922" s="61" t="n">
        <x:v>28.808</x:v>
      </x:c>
      <x:c r="I1922" s="52" t="n">
        <x:v>0.85</x:v>
      </x:c>
      <x:c r="J1922" s="52" t="n">
        <x:v>0.6205481116356567</x:v>
      </x:c>
      <x:c r="K1922" s="60" t="n">
        <x:v>1109.4</x:v>
      </x:c>
      <x:c r="L1922" s="60" t="n">
        <x:v>42.92</x:v>
      </x:c>
      <x:c r="M1922" s="50" t="n">
        <x:v>34</x:v>
      </x:c>
      <x:c r="N1922" s="50" t="n">
        <x:v>6</x:v>
      </x:c>
      <x:c r="O1922" s="50" t="n">
        <x:v>90</x:v>
      </x:c>
      <x:c r="P1922" s="50" t="n">
        <x:v>19</x:v>
      </x:c>
    </x:row>
    <x:row r="1923" ht="36" customHeight="1">
      <x:c r="A1923" s="53" t="n">
        <x:v>1904</x:v>
      </x:c>
      <x:c r="B1923" s="53" t="n">
        <x:v>3</x:v>
      </x:c>
      <x:c r="C1923" s="40" t="str">
        <x:v>Low-Value Low-Engagement Shoppers</x:v>
      </x:c>
      <x:c r="D1923" s="60" t="n">
        <x:v>304.26</x:v>
      </x:c>
      <x:c r="E1923" s="50" t="n">
        <x:v>27</x:v>
      </x:c>
      <x:c r="F1923" s="46" t="n">
        <x:v>1.9285714285714288</x:v>
      </x:c>
      <x:c r="G1923" s="46" t="n">
        <x:v>41</x:v>
      </x:c>
      <x:c r="H1923" s="61" t="n">
        <x:v>11.268888888888888</x:v>
      </x:c>
      <x:c r="I1923" s="52" t="n">
        <x:v>0.925925925925926</x:v>
      </x:c>
      <x:c r="J1923" s="52" t="n">
        <x:v>0.4622033786892789</x:v>
      </x:c>
      <x:c r="K1923" s="60" t="n">
        <x:v>282.89</x:v>
      </x:c>
      <x:c r="L1923" s="60" t="n">
        <x:v>21.37</x:v>
      </x:c>
      <x:c r="M1923" s="50" t="n">
        <x:v>25</x:v>
      </x:c>
      <x:c r="N1923" s="50" t="n">
        <x:v>2</x:v>
      </x:c>
      <x:c r="O1923" s="50" t="n">
        <x:v>55</x:v>
      </x:c>
      <x:c r="P1923" s="50" t="n">
        <x:v>14</x:v>
      </x:c>
    </x:row>
    <x:row r="1924" ht="36" customHeight="1">
      <x:c r="A1924" s="53" t="n">
        <x:v>1905</x:v>
      </x:c>
      <x:c r="B1924" s="53" t="n">
        <x:v>3</x:v>
      </x:c>
      <x:c r="C1924" s="40" t="str">
        <x:v>Low-Value Low-Engagement Shoppers</x:v>
      </x:c>
      <x:c r="D1924" s="60" t="n">
        <x:v>1772.91</x:v>
      </x:c>
      <x:c r="E1924" s="50" t="n">
        <x:v>81</x:v>
      </x:c>
      <x:c r="F1924" s="46" t="n">
        <x:v>3.8571428571428568</x:v>
      </x:c>
      <x:c r="G1924" s="46" t="n">
        <x:v>13</x:v>
      </x:c>
      <x:c r="H1924" s="61" t="n">
        <x:v>21.88777777777777</x:v>
      </x:c>
      <x:c r="I1924" s="52" t="n">
        <x:v>0.7160493827160493</x:v>
      </x:c>
      <x:c r="J1924" s="52" t="n">
        <x:v>0.3565550422751295</x:v>
      </x:c>
      <x:c r="K1924" s="60" t="n">
        <x:v>1589.72</x:v>
      </x:c>
      <x:c r="L1924" s="60" t="n">
        <x:v>183.19</x:v>
      </x:c>
      <x:c r="M1924" s="50" t="n">
        <x:v>58</x:v>
      </x:c>
      <x:c r="N1924" s="50" t="n">
        <x:v>23</x:v>
      </x:c>
      <x:c r="O1924" s="50" t="n">
        <x:v>128</x:v>
      </x:c>
      <x:c r="P1924" s="50" t="n">
        <x:v>21</x:v>
      </x:c>
    </x:row>
    <x:row r="1925" ht="36" customHeight="1">
      <x:c r="A1925" s="53" t="n">
        <x:v>1906</x:v>
      </x:c>
      <x:c r="B1925" s="53" t="n">
        <x:v>1</x:v>
      </x:c>
      <x:c r="C1925" s="40" t="str">
        <x:v>High-Value Frequent Shoppers</x:v>
      </x:c>
      <x:c r="D1925" s="60" t="n">
        <x:v>8631.61</x:v>
      </x:c>
      <x:c r="E1925" s="50" t="n">
        <x:v>163</x:v>
      </x:c>
      <x:c r="F1925" s="46" t="n">
        <x:v>7.761904761904764</x:v>
      </x:c>
      <x:c r="G1925" s="46" t="n">
        <x:v>1</x:v>
      </x:c>
      <x:c r="H1925" s="61" t="n">
        <x:v>52.95466257668712</x:v>
      </x:c>
      <x:c r="I1925" s="52" t="n">
        <x:v>0.9447852760736196</x:v>
      </x:c>
      <x:c r="J1925" s="52" t="n">
        <x:v>0.4560829323845725</x:v>
      </x:c>
      <x:c r="K1925" s="60" t="n">
        <x:v>8489.41</x:v>
      </x:c>
      <x:c r="L1925" s="60" t="n">
        <x:v>142.2</x:v>
      </x:c>
      <x:c r="M1925" s="50" t="n">
        <x:v>154</x:v>
      </x:c>
      <x:c r="N1925" s="50" t="n">
        <x:v>9</x:v>
      </x:c>
      <x:c r="O1925" s="50" t="n">
        <x:v>181</x:v>
      </x:c>
      <x:c r="P1925" s="50" t="n">
        <x:v>21</x:v>
      </x:c>
    </x:row>
    <x:row r="1926" ht="36" customHeight="1">
      <x:c r="A1926" s="53" t="n">
        <x:v>1907</x:v>
      </x:c>
      <x:c r="B1926" s="53" t="n">
        <x:v>1</x:v>
      </x:c>
      <x:c r="C1926" s="40" t="str">
        <x:v>High-Value Frequent Shoppers</x:v>
      </x:c>
      <x:c r="D1926" s="60" t="n">
        <x:v>8939</x:v>
      </x:c>
      <x:c r="E1926" s="50" t="n">
        <x:v>385</x:v>
      </x:c>
      <x:c r="F1926" s="46" t="n">
        <x:v>19.25</x:v>
      </x:c>
      <x:c r="G1926" s="46" t="n">
        <x:v>0</x:v>
      </x:c>
      <x:c r="H1926" s="61" t="n">
        <x:v>23.21818181818181</x:v>
      </x:c>
      <x:c r="I1926" s="52" t="n">
        <x:v>0.7896103896103897</x:v>
      </x:c>
      <x:c r="J1926" s="52" t="n">
        <x:v>0.5092213894171607</x:v>
      </x:c>
      <x:c r="K1926" s="60" t="n">
        <x:v>8374.97</x:v>
      </x:c>
      <x:c r="L1926" s="60" t="n">
        <x:v>564.03</x:v>
      </x:c>
      <x:c r="M1926" s="50" t="n">
        <x:v>304</x:v>
      </x:c>
      <x:c r="N1926" s="50" t="n">
        <x:v>81</x:v>
      </x:c>
      <x:c r="O1926" s="50" t="n">
        <x:v>189</x:v>
      </x:c>
      <x:c r="P1926" s="50" t="n">
        <x:v>20</x:v>
      </x:c>
    </x:row>
    <x:row r="1927" ht="36" customHeight="1">
      <x:c r="A1927" s="53" t="n">
        <x:v>1908</x:v>
      </x:c>
      <x:c r="B1927" s="53" t="n">
        <x:v>2</x:v>
      </x:c>
      <x:c r="C1927" s="40" t="str">
        <x:v>Large-Basket Occasional Shoppers</x:v>
      </x:c>
      <x:c r="D1927" s="60" t="n">
        <x:v>714.31</x:v>
      </x:c>
      <x:c r="E1927" s="50" t="n">
        <x:v>38</x:v>
      </x:c>
      <x:c r="F1927" s="46" t="n">
        <x:v>2.7142857142857144</x:v>
      </x:c>
      <x:c r="G1927" s="46" t="n">
        <x:v>123</x:v>
      </x:c>
      <x:c r="H1927" s="61" t="n">
        <x:v>18.797631578947367</x:v>
      </x:c>
      <x:c r="I1927" s="52" t="n">
        <x:v>0.9736842105263156</x:v>
      </x:c>
      <x:c r="J1927" s="52" t="n">
        <x:v>0.4291134101440551</x:v>
      </x:c>
      <x:c r="K1927" s="60" t="n">
        <x:v>696.67</x:v>
      </x:c>
      <x:c r="L1927" s="60" t="n">
        <x:v>17.64</x:v>
      </x:c>
      <x:c r="M1927" s="50" t="n">
        <x:v>37</x:v>
      </x:c>
      <x:c r="N1927" s="50" t="n">
        <x:v>1</x:v>
      </x:c>
      <x:c r="O1927" s="50" t="n">
        <x:v>63</x:v>
      </x:c>
      <x:c r="P1927" s="50" t="n">
        <x:v>14</x:v>
      </x:c>
    </x:row>
    <x:row r="1928" ht="36" customHeight="1">
      <x:c r="A1928" s="53" t="n">
        <x:v>1909</x:v>
      </x:c>
      <x:c r="B1928" s="53" t="n">
        <x:v>3</x:v>
      </x:c>
      <x:c r="C1928" s="40" t="str">
        <x:v>Low-Value Low-Engagement Shoppers</x:v>
      </x:c>
      <x:c r="D1928" s="60" t="n">
        <x:v>546.99</x:v>
      </x:c>
      <x:c r="E1928" s="50" t="n">
        <x:v>22</x:v>
      </x:c>
      <x:c r="F1928" s="46" t="n">
        <x:v>1.4666666666666668</x:v>
      </x:c>
      <x:c r="G1928" s="46" t="n">
        <x:v>38</x:v>
      </x:c>
      <x:c r="H1928" s="61" t="n">
        <x:v>24.86318181818181</x:v>
      </x:c>
      <x:c r="I1928" s="52" t="n">
        <x:v>0.6818181818181818</x:v>
      </x:c>
      <x:c r="J1928" s="52" t="n">
        <x:v>0.4352547578566335</x:v>
      </x:c>
      <x:c r="K1928" s="60" t="n">
        <x:v>516.81</x:v>
      </x:c>
      <x:c r="L1928" s="60" t="n">
        <x:v>30.18</x:v>
      </x:c>
      <x:c r="M1928" s="50" t="n">
        <x:v>15</x:v>
      </x:c>
      <x:c r="N1928" s="50" t="n">
        <x:v>7</x:v>
      </x:c>
      <x:c r="O1928" s="50" t="n">
        <x:v>53</x:v>
      </x:c>
      <x:c r="P1928" s="50" t="n">
        <x:v>15</x:v>
      </x:c>
    </x:row>
    <x:row r="1929" ht="36" customHeight="1">
      <x:c r="A1929" s="53" t="n">
        <x:v>1910</x:v>
      </x:c>
      <x:c r="B1929" s="53" t="n">
        <x:v>2</x:v>
      </x:c>
      <x:c r="C1929" s="40" t="str">
        <x:v>Large-Basket Occasional Shoppers</x:v>
      </x:c>
      <x:c r="D1929" s="60" t="n">
        <x:v>741.83</x:v>
      </x:c>
      <x:c r="E1929" s="50" t="n">
        <x:v>26</x:v>
      </x:c>
      <x:c r="F1929" s="46" t="n">
        <x:v>1.7333333333333332</x:v>
      </x:c>
      <x:c r="G1929" s="46" t="n">
        <x:v>97</x:v>
      </x:c>
      <x:c r="H1929" s="61" t="n">
        <x:v>28.53192307692308</x:v>
      </x:c>
      <x:c r="I1929" s="52" t="n">
        <x:v>1</x:v>
      </x:c>
      <x:c r="J1929" s="52" t="n">
        <x:v>0.4247738700241295</x:v>
      </x:c>
      <x:c r="K1929" s="60" t="n">
        <x:v>741.83</x:v>
      </x:c>
      <x:c r="L1929" s="60" t="n">
        <x:v>0</x:v>
      </x:c>
      <x:c r="M1929" s="50" t="n">
        <x:v>26</x:v>
      </x:c>
      <x:c r="N1929" s="50" t="n">
        <x:v>0</x:v>
      </x:c>
      <x:c r="O1929" s="50" t="n">
        <x:v>61</x:v>
      </x:c>
      <x:c r="P1929" s="50" t="n">
        <x:v>15</x:v>
      </x:c>
    </x:row>
    <x:row r="1930" ht="36" customHeight="1">
      <x:c r="A1930" s="53" t="n">
        <x:v>1911</x:v>
      </x:c>
      <x:c r="B1930" s="53" t="n">
        <x:v>2</x:v>
      </x:c>
      <x:c r="C1930" s="40" t="str">
        <x:v>Large-Basket Occasional Shoppers</x:v>
      </x:c>
      <x:c r="D1930" s="60" t="n">
        <x:v>1601.27</x:v>
      </x:c>
      <x:c r="E1930" s="50" t="n">
        <x:v>124</x:v>
      </x:c>
      <x:c r="F1930" s="46" t="n">
        <x:v>5.904761904761905</x:v>
      </x:c>
      <x:c r="G1930" s="46" t="n">
        <x:v>7</x:v>
      </x:c>
      <x:c r="H1930" s="61" t="n">
        <x:v>12.913467741935484</x:v>
      </x:c>
      <x:c r="I1930" s="52" t="n">
        <x:v>0.9032258064516128</x:v>
      </x:c>
      <x:c r="J1930" s="52" t="n">
        <x:v>0.6839820892166842</x:v>
      </x:c>
      <x:c r="K1930" s="60" t="n">
        <x:v>1527.25</x:v>
      </x:c>
      <x:c r="L1930" s="60" t="n">
        <x:v>74.02</x:v>
      </x:c>
      <x:c r="M1930" s="50" t="n">
        <x:v>112</x:v>
      </x:c>
      <x:c r="N1930" s="50" t="n">
        <x:v>12</x:v>
      </x:c>
      <x:c r="O1930" s="50" t="n">
        <x:v>93</x:v>
      </x:c>
      <x:c r="P1930" s="50" t="n">
        <x:v>21</x:v>
      </x:c>
    </x:row>
    <x:row r="1931" ht="36" customHeight="1">
      <x:c r="A1931" s="53" t="n">
        <x:v>1912</x:v>
      </x:c>
      <x:c r="B1931" s="53" t="n">
        <x:v>2</x:v>
      </x:c>
      <x:c r="C1931" s="40" t="str">
        <x:v>Large-Basket Occasional Shoppers</x:v>
      </x:c>
      <x:c r="D1931" s="60" t="n">
        <x:v>2256.45</x:v>
      </x:c>
      <x:c r="E1931" s="50" t="n">
        <x:v>96</x:v>
      </x:c>
      <x:c r="F1931" s="46" t="n">
        <x:v>4.8</x:v>
      </x:c>
      <x:c r="G1931" s="46" t="n">
        <x:v>18</x:v>
      </x:c>
      <x:c r="H1931" s="61" t="n">
        <x:v>23.5046875</x:v>
      </x:c>
      <x:c r="I1931" s="52" t="n">
        <x:v>0.9375</x:v>
      </x:c>
      <x:c r="J1931" s="52" t="n">
        <x:v>0.451935562498615</x:v>
      </x:c>
      <x:c r="K1931" s="60" t="n">
        <x:v>2194.94</x:v>
      </x:c>
      <x:c r="L1931" s="60" t="n">
        <x:v>61.51</x:v>
      </x:c>
      <x:c r="M1931" s="50" t="n">
        <x:v>90</x:v>
      </x:c>
      <x:c r="N1931" s="50" t="n">
        <x:v>6</x:v>
      </x:c>
      <x:c r="O1931" s="50" t="n">
        <x:v>103</x:v>
      </x:c>
      <x:c r="P1931" s="50" t="n">
        <x:v>20</x:v>
      </x:c>
    </x:row>
    <x:row r="1932" ht="36" customHeight="1">
      <x:c r="A1932" s="53" t="n">
        <x:v>1913</x:v>
      </x:c>
      <x:c r="B1932" s="53" t="n">
        <x:v>3</x:v>
      </x:c>
      <x:c r="C1932" s="40" t="str">
        <x:v>Low-Value Low-Engagement Shoppers</x:v>
      </x:c>
      <x:c r="D1932" s="60" t="n">
        <x:v>895.76</x:v>
      </x:c>
      <x:c r="E1932" s="50" t="n">
        <x:v>49</x:v>
      </x:c>
      <x:c r="F1932" s="46" t="n">
        <x:v>2.7222222222222223</x:v>
      </x:c>
      <x:c r="G1932" s="46" t="n">
        <x:v>3</x:v>
      </x:c>
      <x:c r="H1932" s="61" t="n">
        <x:v>18.28081632653061</x:v>
      </x:c>
      <x:c r="I1932" s="52" t="n">
        <x:v>0.7755102040816326</x:v>
      </x:c>
      <x:c r="J1932" s="52" t="n">
        <x:v>0.5467424310083057</x:v>
      </x:c>
      <x:c r="K1932" s="60" t="n">
        <x:v>810.14</x:v>
      </x:c>
      <x:c r="L1932" s="60" t="n">
        <x:v>85.62</x:v>
      </x:c>
      <x:c r="M1932" s="50" t="n">
        <x:v>38</x:v>
      </x:c>
      <x:c r="N1932" s="50" t="n">
        <x:v>11</x:v>
      </x:c>
      <x:c r="O1932" s="50" t="n">
        <x:v>78</x:v>
      </x:c>
      <x:c r="P1932" s="50" t="n">
        <x:v>18</x:v>
      </x:c>
    </x:row>
    <x:row r="1933" ht="36" customHeight="1">
      <x:c r="A1933" s="53" t="n">
        <x:v>1914</x:v>
      </x:c>
      <x:c r="B1933" s="53" t="n">
        <x:v>1</x:v>
      </x:c>
      <x:c r="C1933" s="40" t="str">
        <x:v>High-Value Frequent Shoppers</x:v>
      </x:c>
      <x:c r="D1933" s="60" t="n">
        <x:v>4075.95</x:v>
      </x:c>
      <x:c r="E1933" s="50" t="n">
        <x:v>156</x:v>
      </x:c>
      <x:c r="F1933" s="46" t="n">
        <x:v>6.782608695652174</x:v>
      </x:c>
      <x:c r="G1933" s="46" t="n">
        <x:v>0</x:v>
      </x:c>
      <x:c r="H1933" s="61" t="n">
        <x:v>26.12788461538461</x:v>
      </x:c>
      <x:c r="I1933" s="52" t="n">
        <x:v>0.6666666666666666</x:v>
      </x:c>
      <x:c r="J1933" s="52" t="n">
        <x:v>0.2476625081269397</x:v>
      </x:c>
      <x:c r="K1933" s="60" t="n">
        <x:v>3387.58</x:v>
      </x:c>
      <x:c r="L1933" s="60" t="n">
        <x:v>688.37</x:v>
      </x:c>
      <x:c r="M1933" s="50" t="n">
        <x:v>104</x:v>
      </x:c>
      <x:c r="N1933" s="50" t="n">
        <x:v>52</x:v>
      </x:c>
      <x:c r="O1933" s="50" t="n">
        <x:v>103</x:v>
      </x:c>
      <x:c r="P1933" s="50" t="n">
        <x:v>23</x:v>
      </x:c>
    </x:row>
    <x:row r="1934" ht="36" customHeight="1">
      <x:c r="A1934" s="53" t="n">
        <x:v>1915</x:v>
      </x:c>
      <x:c r="B1934" s="53" t="n">
        <x:v>3</x:v>
      </x:c>
      <x:c r="C1934" s="40" t="str">
        <x:v>Low-Value Low-Engagement Shoppers</x:v>
      </x:c>
      <x:c r="D1934" s="60" t="n">
        <x:v>485.8</x:v>
      </x:c>
      <x:c r="E1934" s="50" t="n">
        <x:v>28</x:v>
      </x:c>
      <x:c r="F1934" s="46" t="n">
        <x:v>2.1538461538461537</x:v>
      </x:c>
      <x:c r="G1934" s="46" t="n">
        <x:v>3</x:v>
      </x:c>
      <x:c r="H1934" s="61" t="n">
        <x:v>17.35</x:v>
      </x:c>
      <x:c r="I1934" s="52" t="n">
        <x:v>0.4642857142857142</x:v>
      </x:c>
      <x:c r="J1934" s="52" t="n">
        <x:v>0.5368052696582954</x:v>
      </x:c>
      <x:c r="K1934" s="60" t="n">
        <x:v>445.14</x:v>
      </x:c>
      <x:c r="L1934" s="60" t="n">
        <x:v>40.66</x:v>
      </x:c>
      <x:c r="M1934" s="50" t="n">
        <x:v>13</x:v>
      </x:c>
      <x:c r="N1934" s="50" t="n">
        <x:v>15</x:v>
      </x:c>
      <x:c r="O1934" s="50" t="n">
        <x:v>67</x:v>
      </x:c>
      <x:c r="P1934" s="50" t="n">
        <x:v>13</x:v>
      </x:c>
    </x:row>
    <x:row r="1935" ht="36" customHeight="1">
      <x:c r="A1935" s="53" t="n">
        <x:v>1916</x:v>
      </x:c>
      <x:c r="B1935" s="53" t="n">
        <x:v>1</x:v>
      </x:c>
      <x:c r="C1935" s="40" t="str">
        <x:v>High-Value Frequent Shoppers</x:v>
      </x:c>
      <x:c r="D1935" s="60" t="n">
        <x:v>2883.09</x:v>
      </x:c>
      <x:c r="E1935" s="50" t="n">
        <x:v>150</x:v>
      </x:c>
      <x:c r="F1935" s="46" t="n">
        <x:v>6.521739130434783</x:v>
      </x:c>
      <x:c r="G1935" s="46" t="n">
        <x:v>19</x:v>
      </x:c>
      <x:c r="H1935" s="61" t="n">
        <x:v>19.2206</x:v>
      </x:c>
      <x:c r="I1935" s="52" t="n">
        <x:v>0.78</x:v>
      </x:c>
      <x:c r="J1935" s="52" t="n">
        <x:v>0.4539400434950001</x:v>
      </x:c>
      <x:c r="K1935" s="60" t="n">
        <x:v>2718.31</x:v>
      </x:c>
      <x:c r="L1935" s="60" t="n">
        <x:v>164.78</x:v>
      </x:c>
      <x:c r="M1935" s="50" t="n">
        <x:v>117</x:v>
      </x:c>
      <x:c r="N1935" s="50" t="n">
        <x:v>33</x:v>
      </x:c>
      <x:c r="O1935" s="50" t="n">
        <x:v>150</x:v>
      </x:c>
      <x:c r="P1935" s="50" t="n">
        <x:v>23</x:v>
      </x:c>
    </x:row>
    <x:row r="1936" ht="36" customHeight="1">
      <x:c r="A1936" s="53" t="n">
        <x:v>1917</x:v>
      </x:c>
      <x:c r="B1936" s="53" t="n">
        <x:v>1</x:v>
      </x:c>
      <x:c r="C1936" s="40" t="str">
        <x:v>High-Value Frequent Shoppers</x:v>
      </x:c>
      <x:c r="D1936" s="60" t="n">
        <x:v>6788</x:v>
      </x:c>
      <x:c r="E1936" s="50" t="n">
        <x:v>290</x:v>
      </x:c>
      <x:c r="F1936" s="46" t="n">
        <x:v>12.083333333333332</x:v>
      </x:c>
      <x:c r="G1936" s="46" t="n">
        <x:v>0</x:v>
      </x:c>
      <x:c r="H1936" s="61" t="n">
        <x:v>23.40689655172413</x:v>
      </x:c>
      <x:c r="I1936" s="52" t="n">
        <x:v>0.9</x:v>
      </x:c>
      <x:c r="J1936" s="52" t="n">
        <x:v>0.4635503830288744</x:v>
      </x:c>
      <x:c r="K1936" s="60" t="n">
        <x:v>6499.95</x:v>
      </x:c>
      <x:c r="L1936" s="60" t="n">
        <x:v>288.05</x:v>
      </x:c>
      <x:c r="M1936" s="50" t="n">
        <x:v>261</x:v>
      </x:c>
      <x:c r="N1936" s="50" t="n">
        <x:v>29</x:v>
      </x:c>
      <x:c r="O1936" s="50" t="n">
        <x:v>172</x:v>
      </x:c>
      <x:c r="P1936" s="50" t="n">
        <x:v>24</x:v>
      </x:c>
    </x:row>
    <x:row r="1937" ht="36" customHeight="1">
      <x:c r="A1937" s="53" t="n">
        <x:v>1918</x:v>
      </x:c>
      <x:c r="B1937" s="53" t="n">
        <x:v>2</x:v>
      </x:c>
      <x:c r="C1937" s="40" t="str">
        <x:v>Large-Basket Occasional Shoppers</x:v>
      </x:c>
      <x:c r="D1937" s="60" t="n">
        <x:v>3012.49</x:v>
      </x:c>
      <x:c r="E1937" s="50" t="n">
        <x:v>69</x:v>
      </x:c>
      <x:c r="F1937" s="46" t="n">
        <x:v>3.8333333333333326</x:v>
      </x:c>
      <x:c r="G1937" s="46" t="n">
        <x:v>7</x:v>
      </x:c>
      <x:c r="H1937" s="61" t="n">
        <x:v>43.65927536231884</x:v>
      </x:c>
      <x:c r="I1937" s="52" t="n">
        <x:v>0.9565217391304348</x:v>
      </x:c>
      <x:c r="J1937" s="52" t="n">
        <x:v>0.5518026615855987</x:v>
      </x:c>
      <x:c r="K1937" s="60" t="n">
        <x:v>2960.66</x:v>
      </x:c>
      <x:c r="L1937" s="60" t="n">
        <x:v>51.83</x:v>
      </x:c>
      <x:c r="M1937" s="50" t="n">
        <x:v>66</x:v>
      </x:c>
      <x:c r="N1937" s="50" t="n">
        <x:v>3</x:v>
      </x:c>
      <x:c r="O1937" s="50" t="n">
        <x:v>135</x:v>
      </x:c>
      <x:c r="P1937" s="50" t="n">
        <x:v>18</x:v>
      </x:c>
    </x:row>
    <x:row r="1938" ht="36" customHeight="1">
      <x:c r="A1938" s="53" t="n">
        <x:v>1919</x:v>
      </x:c>
      <x:c r="B1938" s="53" t="n">
        <x:v>1</x:v>
      </x:c>
      <x:c r="C1938" s="40" t="str">
        <x:v>High-Value Frequent Shoppers</x:v>
      </x:c>
      <x:c r="D1938" s="60" t="n">
        <x:v>4154.95</x:v>
      </x:c>
      <x:c r="E1938" s="50" t="n">
        <x:v>100</x:v>
      </x:c>
      <x:c r="F1938" s="46" t="n">
        <x:v>4.545454545454546</x:v>
      </x:c>
      <x:c r="G1938" s="46" t="n">
        <x:v>1</x:v>
      </x:c>
      <x:c r="H1938" s="61" t="n">
        <x:v>41.5495</x:v>
      </x:c>
      <x:c r="I1938" s="52" t="n">
        <x:v>0.93</x:v>
      </x:c>
      <x:c r="J1938" s="52" t="n">
        <x:v>0.5876990096150374</x:v>
      </x:c>
      <x:c r="K1938" s="60" t="n">
        <x:v>4093.93</x:v>
      </x:c>
      <x:c r="L1938" s="60" t="n">
        <x:v>61.02</x:v>
      </x:c>
      <x:c r="M1938" s="50" t="n">
        <x:v>93</x:v>
      </x:c>
      <x:c r="N1938" s="50" t="n">
        <x:v>7</x:v>
      </x:c>
      <x:c r="O1938" s="50" t="n">
        <x:v>143</x:v>
      </x:c>
      <x:c r="P1938" s="50" t="n">
        <x:v>22</x:v>
      </x:c>
    </x:row>
    <x:row r="1939" ht="36" customHeight="1">
      <x:c r="A1939" s="53" t="n">
        <x:v>1920</x:v>
      </x:c>
      <x:c r="B1939" s="53" t="n">
        <x:v>1</x:v>
      </x:c>
      <x:c r="C1939" s="40" t="str">
        <x:v>High-Value Frequent Shoppers</x:v>
      </x:c>
      <x:c r="D1939" s="60" t="n">
        <x:v>1927.74</x:v>
      </x:c>
      <x:c r="E1939" s="50" t="n">
        <x:v>93</x:v>
      </x:c>
      <x:c r="F1939" s="46" t="n">
        <x:v>4.65</x:v>
      </x:c>
      <x:c r="G1939" s="46" t="n">
        <x:v>0</x:v>
      </x:c>
      <x:c r="H1939" s="61" t="n">
        <x:v>20.728387096774195</x:v>
      </x:c>
      <x:c r="I1939" s="52" t="n">
        <x:v>0.6559139784946236</x:v>
      </x:c>
      <x:c r="J1939" s="52" t="n">
        <x:v>0.2650772407067343</x:v>
      </x:c>
      <x:c r="K1939" s="60" t="n">
        <x:v>1484.35</x:v>
      </x:c>
      <x:c r="L1939" s="60" t="n">
        <x:v>443.39</x:v>
      </x:c>
      <x:c r="M1939" s="50" t="n">
        <x:v>61</x:v>
      </x:c>
      <x:c r="N1939" s="50" t="n">
        <x:v>32</x:v>
      </x:c>
      <x:c r="O1939" s="50" t="n">
        <x:v>126</x:v>
      </x:c>
      <x:c r="P1939" s="50" t="n">
        <x:v>20</x:v>
      </x:c>
    </x:row>
    <x:row r="1940" ht="36" customHeight="1">
      <x:c r="A1940" s="53" t="n">
        <x:v>1921</x:v>
      </x:c>
      <x:c r="B1940" s="53" t="n">
        <x:v>3</x:v>
      </x:c>
      <x:c r="C1940" s="40" t="str">
        <x:v>Low-Value Low-Engagement Shoppers</x:v>
      </x:c>
      <x:c r="D1940" s="60" t="n">
        <x:v>1460.12</x:v>
      </x:c>
      <x:c r="E1940" s="50" t="n">
        <x:v>103</x:v>
      </x:c>
      <x:c r="F1940" s="46" t="n">
        <x:v>5.722222222222222</x:v>
      </x:c>
      <x:c r="G1940" s="46" t="n">
        <x:v>64</x:v>
      </x:c>
      <x:c r="H1940" s="61" t="n">
        <x:v>14.175922330097087</x:v>
      </x:c>
      <x:c r="I1940" s="52" t="n">
        <x:v>0.8737864077669902</x:v>
      </x:c>
      <x:c r="J1940" s="52" t="n">
        <x:v>0.7180505711859299</x:v>
      </x:c>
      <x:c r="K1940" s="60" t="n">
        <x:v>1395.68</x:v>
      </x:c>
      <x:c r="L1940" s="60" t="n">
        <x:v>64.44</x:v>
      </x:c>
      <x:c r="M1940" s="50" t="n">
        <x:v>90</x:v>
      </x:c>
      <x:c r="N1940" s="50" t="n">
        <x:v>13</x:v>
      </x:c>
      <x:c r="O1940" s="50" t="n">
        <x:v>93</x:v>
      </x:c>
      <x:c r="P1940" s="50" t="n">
        <x:v>18</x:v>
      </x:c>
    </x:row>
    <x:row r="1941" ht="36" customHeight="1">
      <x:c r="A1941" s="53" t="n">
        <x:v>1922</x:v>
      </x:c>
      <x:c r="B1941" s="53" t="n">
        <x:v>1</x:v>
      </x:c>
      <x:c r="C1941" s="40" t="str">
        <x:v>High-Value Frequent Shoppers</x:v>
      </x:c>
      <x:c r="D1941" s="60" t="n">
        <x:v>3096.94</x:v>
      </x:c>
      <x:c r="E1941" s="50" t="n">
        <x:v>113</x:v>
      </x:c>
      <x:c r="F1941" s="46" t="n">
        <x:v>4.913043478260869</x:v>
      </x:c>
      <x:c r="G1941" s="46" t="n">
        <x:v>5</x:v>
      </x:c>
      <x:c r="H1941" s="61" t="n">
        <x:v>27.40654867256637</x:v>
      </x:c>
      <x:c r="I1941" s="52" t="n">
        <x:v>0.8761061946902654</x:v>
      </x:c>
      <x:c r="J1941" s="52" t="n">
        <x:v>0.3662389326238157</x:v>
      </x:c>
      <x:c r="K1941" s="60" t="n">
        <x:v>2887.53</x:v>
      </x:c>
      <x:c r="L1941" s="60" t="n">
        <x:v>209.41</x:v>
      </x:c>
      <x:c r="M1941" s="50" t="n">
        <x:v>99</x:v>
      </x:c>
      <x:c r="N1941" s="50" t="n">
        <x:v>14</x:v>
      </x:c>
      <x:c r="O1941" s="50" t="n">
        <x:v>150</x:v>
      </x:c>
      <x:c r="P1941" s="50" t="n">
        <x:v>23</x:v>
      </x:c>
    </x:row>
    <x:row r="1942" ht="36" customHeight="1">
      <x:c r="A1942" s="53" t="n">
        <x:v>1923</x:v>
      </x:c>
      <x:c r="B1942" s="53" t="n">
        <x:v>1</x:v>
      </x:c>
      <x:c r="C1942" s="40" t="str">
        <x:v>High-Value Frequent Shoppers</x:v>
      </x:c>
      <x:c r="D1942" s="60" t="n">
        <x:v>4870.31</x:v>
      </x:c>
      <x:c r="E1942" s="50" t="n">
        <x:v>167</x:v>
      </x:c>
      <x:c r="F1942" s="46" t="n">
        <x:v>7.260869565217391</x:v>
      </x:c>
      <x:c r="G1942" s="46" t="n">
        <x:v>5</x:v>
      </x:c>
      <x:c r="H1942" s="61" t="n">
        <x:v>29.163532934131737</x:v>
      </x:c>
      <x:c r="I1942" s="52" t="n">
        <x:v>0.8143712574850299</x:v>
      </x:c>
      <x:c r="J1942" s="52" t="n">
        <x:v>0.5212891992501504</x:v>
      </x:c>
      <x:c r="K1942" s="60" t="n">
        <x:v>4630.25</x:v>
      </x:c>
      <x:c r="L1942" s="60" t="n">
        <x:v>240.06</x:v>
      </x:c>
      <x:c r="M1942" s="50" t="n">
        <x:v>136</x:v>
      </x:c>
      <x:c r="N1942" s="50" t="n">
        <x:v>31</x:v>
      </x:c>
      <x:c r="O1942" s="50" t="n">
        <x:v>160</x:v>
      </x:c>
      <x:c r="P1942" s="50" t="n">
        <x:v>23</x:v>
      </x:c>
    </x:row>
    <x:row r="1943" ht="36" customHeight="1">
      <x:c r="A1943" s="53" t="n">
        <x:v>1924</x:v>
      </x:c>
      <x:c r="B1943" s="53" t="n">
        <x:v>1</x:v>
      </x:c>
      <x:c r="C1943" s="40" t="str">
        <x:v>High-Value Frequent Shoppers</x:v>
      </x:c>
      <x:c r="D1943" s="60" t="n">
        <x:v>6225.45</x:v>
      </x:c>
      <x:c r="E1943" s="50" t="n">
        <x:v>220</x:v>
      </x:c>
      <x:c r="F1943" s="46" t="n">
        <x:v>10.476190476190476</x:v>
      </x:c>
      <x:c r="G1943" s="46" t="n">
        <x:v>3</x:v>
      </x:c>
      <x:c r="H1943" s="61" t="n">
        <x:v>28.2975</x:v>
      </x:c>
      <x:c r="I1943" s="52" t="n">
        <x:v>0.8045454545454545</x:v>
      </x:c>
      <x:c r="J1943" s="52" t="n">
        <x:v>0.5096707868507497</x:v>
      </x:c>
      <x:c r="K1943" s="60" t="n">
        <x:v>5747.44</x:v>
      </x:c>
      <x:c r="L1943" s="60" t="n">
        <x:v>478.01</x:v>
      </x:c>
      <x:c r="M1943" s="50" t="n">
        <x:v>177</x:v>
      </x:c>
      <x:c r="N1943" s="50" t="n">
        <x:v>43</x:v>
      </x:c>
      <x:c r="O1943" s="50" t="n">
        <x:v>175</x:v>
      </x:c>
      <x:c r="P1943" s="50" t="n">
        <x:v>21</x:v>
      </x:c>
    </x:row>
    <x:row r="1944" ht="36" customHeight="1">
      <x:c r="A1944" s="53" t="n">
        <x:v>1925</x:v>
      </x:c>
      <x:c r="B1944" s="53" t="n">
        <x:v>1</x:v>
      </x:c>
      <x:c r="C1944" s="40" t="str">
        <x:v>High-Value Frequent Shoppers</x:v>
      </x:c>
      <x:c r="D1944" s="60" t="n">
        <x:v>3019.2</x:v>
      </x:c>
      <x:c r="E1944" s="50" t="n">
        <x:v>118</x:v>
      </x:c>
      <x:c r="F1944" s="46" t="n">
        <x:v>5.9</x:v>
      </x:c>
      <x:c r="G1944" s="46" t="n">
        <x:v>43</x:v>
      </x:c>
      <x:c r="H1944" s="61" t="n">
        <x:v>25.5864406779661</x:v>
      </x:c>
      <x:c r="I1944" s="52" t="n">
        <x:v>0.7033898305084745</x:v>
      </x:c>
      <x:c r="J1944" s="52" t="n">
        <x:v>0.3407955749867514</x:v>
      </x:c>
      <x:c r="K1944" s="60" t="n">
        <x:v>2746.2</x:v>
      </x:c>
      <x:c r="L1944" s="60" t="n">
        <x:v>273</x:v>
      </x:c>
      <x:c r="M1944" s="50" t="n">
        <x:v>83</x:v>
      </x:c>
      <x:c r="N1944" s="50" t="n">
        <x:v>35</x:v>
      </x:c>
      <x:c r="O1944" s="50" t="n">
        <x:v>147</x:v>
      </x:c>
      <x:c r="P1944" s="50" t="n">
        <x:v>20</x:v>
      </x:c>
    </x:row>
    <x:row r="1945" ht="36" customHeight="1">
      <x:c r="A1945" s="53" t="n">
        <x:v>1926</x:v>
      </x:c>
      <x:c r="B1945" s="53" t="n">
        <x:v>2</x:v>
      </x:c>
      <x:c r="C1945" s="40" t="str">
        <x:v>Large-Basket Occasional Shoppers</x:v>
      </x:c>
      <x:c r="D1945" s="60" t="n">
        <x:v>2145.71</x:v>
      </x:c>
      <x:c r="E1945" s="50" t="n">
        <x:v>71</x:v>
      </x:c>
      <x:c r="F1945" s="46" t="n">
        <x:v>3.55</x:v>
      </x:c>
      <x:c r="G1945" s="46" t="n">
        <x:v>10</x:v>
      </x:c>
      <x:c r="H1945" s="61" t="n">
        <x:v>30.2212676056338</x:v>
      </x:c>
      <x:c r="I1945" s="52" t="n">
        <x:v>0.943661971830986</x:v>
      </x:c>
      <x:c r="J1945" s="52" t="n">
        <x:v>0.7575441229243467</x:v>
      </x:c>
      <x:c r="K1945" s="60" t="n">
        <x:v>2099.73</x:v>
      </x:c>
      <x:c r="L1945" s="60" t="n">
        <x:v>45.98</x:v>
      </x:c>
      <x:c r="M1945" s="50" t="n">
        <x:v>67</x:v>
      </x:c>
      <x:c r="N1945" s="50" t="n">
        <x:v>4</x:v>
      </x:c>
      <x:c r="O1945" s="50" t="n">
        <x:v>83</x:v>
      </x:c>
      <x:c r="P1945" s="50" t="n">
        <x:v>20</x:v>
      </x:c>
    </x:row>
    <x:row r="1946" ht="36" customHeight="1">
      <x:c r="A1946" s="53" t="n">
        <x:v>1927</x:v>
      </x:c>
      <x:c r="B1946" s="53" t="n">
        <x:v>1</x:v>
      </x:c>
      <x:c r="C1946" s="40" t="str">
        <x:v>High-Value Frequent Shoppers</x:v>
      </x:c>
      <x:c r="D1946" s="60" t="n">
        <x:v>5097.28</x:v>
      </x:c>
      <x:c r="E1946" s="50" t="n">
        <x:v>98</x:v>
      </x:c>
      <x:c r="F1946" s="46" t="n">
        <x:v>5.157894736842104</x:v>
      </x:c>
      <x:c r="G1946" s="46" t="n">
        <x:v>20</x:v>
      </x:c>
      <x:c r="H1946" s="61" t="n">
        <x:v>52.0130612244898</x:v>
      </x:c>
      <x:c r="I1946" s="52" t="n">
        <x:v>0.8775510204081632</x:v>
      </x:c>
      <x:c r="J1946" s="52" t="n">
        <x:v>0.4434482704501224</x:v>
      </x:c>
      <x:c r="K1946" s="60" t="n">
        <x:v>4992.26</x:v>
      </x:c>
      <x:c r="L1946" s="60" t="n">
        <x:v>105.02</x:v>
      </x:c>
      <x:c r="M1946" s="50" t="n">
        <x:v>86</x:v>
      </x:c>
      <x:c r="N1946" s="50" t="n">
        <x:v>12</x:v>
      </x:c>
      <x:c r="O1946" s="50" t="n">
        <x:v>151</x:v>
      </x:c>
      <x:c r="P1946" s="50" t="n">
        <x:v>19</x:v>
      </x:c>
    </x:row>
    <x:row r="1947" ht="36" customHeight="1">
      <x:c r="A1947" s="53" t="n">
        <x:v>1928</x:v>
      </x:c>
      <x:c r="B1947" s="53" t="n">
        <x:v>1</x:v>
      </x:c>
      <x:c r="C1947" s="40" t="str">
        <x:v>High-Value Frequent Shoppers</x:v>
      </x:c>
      <x:c r="D1947" s="60" t="n">
        <x:v>2328.37</x:v>
      </x:c>
      <x:c r="E1947" s="50" t="n">
        <x:v>114</x:v>
      </x:c>
      <x:c r="F1947" s="46" t="n">
        <x:v>4.956521739130435</x:v>
      </x:c>
      <x:c r="G1947" s="46" t="n">
        <x:v>2</x:v>
      </x:c>
      <x:c r="H1947" s="61" t="n">
        <x:v>20.42429824561404</x:v>
      </x:c>
      <x:c r="I1947" s="52" t="n">
        <x:v>0.9210526315789472</x:v>
      </x:c>
      <x:c r="J1947" s="52" t="n">
        <x:v>0.607051284804391</x:v>
      </x:c>
      <x:c r="K1947" s="60" t="n">
        <x:v>2266.55</x:v>
      </x:c>
      <x:c r="L1947" s="60" t="n">
        <x:v>61.82</x:v>
      </x:c>
      <x:c r="M1947" s="50" t="n">
        <x:v>105</x:v>
      </x:c>
      <x:c r="N1947" s="50" t="n">
        <x:v>9</x:v>
      </x:c>
      <x:c r="O1947" s="50" t="n">
        <x:v>121</x:v>
      </x:c>
      <x:c r="P1947" s="50" t="n">
        <x:v>23</x:v>
      </x:c>
    </x:row>
    <x:row r="1948" ht="36" customHeight="1">
      <x:c r="A1948" s="53" t="n">
        <x:v>1929</x:v>
      </x:c>
      <x:c r="B1948" s="53" t="n">
        <x:v>2</x:v>
      </x:c>
      <x:c r="C1948" s="40" t="str">
        <x:v>Large-Basket Occasional Shoppers</x:v>
      </x:c>
      <x:c r="D1948" s="60" t="n">
        <x:v>4395.83</x:v>
      </x:c>
      <x:c r="E1948" s="50" t="n">
        <x:v>62</x:v>
      </x:c>
      <x:c r="F1948" s="46" t="n">
        <x:v>2.583333333333333</x:v>
      </x:c>
      <x:c r="G1948" s="46" t="n">
        <x:v>6</x:v>
      </x:c>
      <x:c r="H1948" s="61" t="n">
        <x:v>70.90048387096775</x:v>
      </x:c>
      <x:c r="I1948" s="52" t="n">
        <x:v>0.9516129032258064</x:v>
      </x:c>
      <x:c r="J1948" s="52" t="n">
        <x:v>0.4515347499789573</x:v>
      </x:c>
      <x:c r="K1948" s="60" t="n">
        <x:v>4335</x:v>
      </x:c>
      <x:c r="L1948" s="60" t="n">
        <x:v>60.83</x:v>
      </x:c>
      <x:c r="M1948" s="50" t="n">
        <x:v>59</x:v>
      </x:c>
      <x:c r="N1948" s="50" t="n">
        <x:v>3</x:v>
      </x:c>
      <x:c r="O1948" s="50" t="n">
        <x:v>139</x:v>
      </x:c>
      <x:c r="P1948" s="50" t="n">
        <x:v>24</x:v>
      </x:c>
    </x:row>
    <x:row r="1949" ht="36" customHeight="1">
      <x:c r="A1949" s="53" t="n">
        <x:v>1930</x:v>
      </x:c>
      <x:c r="B1949" s="53" t="n">
        <x:v>1</x:v>
      </x:c>
      <x:c r="C1949" s="40" t="str">
        <x:v>High-Value Frequent Shoppers</x:v>
      </x:c>
      <x:c r="D1949" s="60" t="n">
        <x:v>2674.9</x:v>
      </x:c>
      <x:c r="E1949" s="50" t="n">
        <x:v>182</x:v>
      </x:c>
      <x:c r="F1949" s="46" t="n">
        <x:v>9.578947368421051</x:v>
      </x:c>
      <x:c r="G1949" s="46" t="n">
        <x:v>20</x:v>
      </x:c>
      <x:c r="H1949" s="61" t="n">
        <x:v>14.697252747252747</x:v>
      </x:c>
      <x:c r="I1949" s="52" t="n">
        <x:v>0.7032967032967032</x:v>
      </x:c>
      <x:c r="J1949" s="52" t="n">
        <x:v>0.437474298104602</x:v>
      </x:c>
      <x:c r="K1949" s="60" t="n">
        <x:v>2329.01</x:v>
      </x:c>
      <x:c r="L1949" s="60" t="n">
        <x:v>345.89</x:v>
      </x:c>
      <x:c r="M1949" s="50" t="n">
        <x:v>128</x:v>
      </x:c>
      <x:c r="N1949" s="50" t="n">
        <x:v>54</x:v>
      </x:c>
      <x:c r="O1949" s="50" t="n">
        <x:v>133</x:v>
      </x:c>
      <x:c r="P1949" s="50" t="n">
        <x:v>19</x:v>
      </x:c>
    </x:row>
    <x:row r="1950" ht="36" customHeight="1">
      <x:c r="A1950" s="53" t="n">
        <x:v>1931</x:v>
      </x:c>
      <x:c r="B1950" s="53" t="n">
        <x:v>2</x:v>
      </x:c>
      <x:c r="C1950" s="40" t="str">
        <x:v>Large-Basket Occasional Shoppers</x:v>
      </x:c>
      <x:c r="D1950" s="60" t="n">
        <x:v>2211.08</x:v>
      </x:c>
      <x:c r="E1950" s="50" t="n">
        <x:v>101</x:v>
      </x:c>
      <x:c r="F1950" s="46" t="n">
        <x:v>4.590909090909091</x:v>
      </x:c>
      <x:c r="G1950" s="46" t="n">
        <x:v>28</x:v>
      </x:c>
      <x:c r="H1950" s="61" t="n">
        <x:v>21.89188118811881</x:v>
      </x:c>
      <x:c r="I1950" s="52" t="n">
        <x:v>0.9405940594059404</x:v>
      </x:c>
      <x:c r="J1950" s="52" t="n">
        <x:v>0.581783562783798</x:v>
      </x:c>
      <x:c r="K1950" s="60" t="n">
        <x:v>2183.72</x:v>
      </x:c>
      <x:c r="L1950" s="60" t="n">
        <x:v>27.36</x:v>
      </x:c>
      <x:c r="M1950" s="50" t="n">
        <x:v>95</x:v>
      </x:c>
      <x:c r="N1950" s="50" t="n">
        <x:v>6</x:v>
      </x:c>
      <x:c r="O1950" s="50" t="n">
        <x:v>99</x:v>
      </x:c>
      <x:c r="P1950" s="50" t="n">
        <x:v>22</x:v>
      </x:c>
    </x:row>
    <x:row r="1951" ht="36" customHeight="1">
      <x:c r="A1951" s="53" t="n">
        <x:v>1932</x:v>
      </x:c>
      <x:c r="B1951" s="53" t="n">
        <x:v>2</x:v>
      </x:c>
      <x:c r="C1951" s="40" t="str">
        <x:v>Large-Basket Occasional Shoppers</x:v>
      </x:c>
      <x:c r="D1951" s="60" t="n">
        <x:v>2678.78</x:v>
      </x:c>
      <x:c r="E1951" s="50" t="n">
        <x:v>74</x:v>
      </x:c>
      <x:c r="F1951" s="46" t="n">
        <x:v>3.8947368421052633</x:v>
      </x:c>
      <x:c r="G1951" s="46" t="n">
        <x:v>1</x:v>
      </x:c>
      <x:c r="H1951" s="61" t="n">
        <x:v>36.199729729729725</x:v>
      </x:c>
      <x:c r="I1951" s="52" t="n">
        <x:v>0.8243243243243243</x:v>
      </x:c>
      <x:c r="J1951" s="52" t="n">
        <x:v>0.5686469213597234</x:v>
      </x:c>
      <x:c r="K1951" s="60" t="n">
        <x:v>2414.77</x:v>
      </x:c>
      <x:c r="L1951" s="60" t="n">
        <x:v>264.01</x:v>
      </x:c>
      <x:c r="M1951" s="50" t="n">
        <x:v>61</x:v>
      </x:c>
      <x:c r="N1951" s="50" t="n">
        <x:v>13</x:v>
      </x:c>
      <x:c r="O1951" s="50" t="n">
        <x:v>110</x:v>
      </x:c>
      <x:c r="P1951" s="50" t="n">
        <x:v>19</x:v>
      </x:c>
    </x:row>
    <x:row r="1952" ht="36" customHeight="1">
      <x:c r="A1952" s="53" t="n">
        <x:v>1933</x:v>
      </x:c>
      <x:c r="B1952" s="53" t="n">
        <x:v>2</x:v>
      </x:c>
      <x:c r="C1952" s="40" t="str">
        <x:v>Large-Basket Occasional Shoppers</x:v>
      </x:c>
      <x:c r="D1952" s="60" t="n">
        <x:v>2180.22</x:v>
      </x:c>
      <x:c r="E1952" s="50" t="n">
        <x:v>85</x:v>
      </x:c>
      <x:c r="F1952" s="46" t="n">
        <x:v>3.863636363636364</x:v>
      </x:c>
      <x:c r="G1952" s="46" t="n">
        <x:v>4</x:v>
      </x:c>
      <x:c r="H1952" s="61" t="n">
        <x:v>25.64964705882353</x:v>
      </x:c>
      <x:c r="I1952" s="52" t="n">
        <x:v>0.8470588235294118</x:v>
      </x:c>
      <x:c r="J1952" s="52" t="n">
        <x:v>0.5203328104503215</x:v>
      </x:c>
      <x:c r="K1952" s="60" t="n">
        <x:v>2027.69</x:v>
      </x:c>
      <x:c r="L1952" s="60" t="n">
        <x:v>152.53</x:v>
      </x:c>
      <x:c r="M1952" s="50" t="n">
        <x:v>72</x:v>
      </x:c>
      <x:c r="N1952" s="50" t="n">
        <x:v>13</x:v>
      </x:c>
      <x:c r="O1952" s="50" t="n">
        <x:v>129</x:v>
      </x:c>
      <x:c r="P1952" s="50" t="n">
        <x:v>22</x:v>
      </x:c>
    </x:row>
    <x:row r="1953" ht="36" customHeight="1">
      <x:c r="A1953" s="53" t="n">
        <x:v>1934</x:v>
      </x:c>
      <x:c r="B1953" s="53" t="n">
        <x:v>2</x:v>
      </x:c>
      <x:c r="C1953" s="40" t="str">
        <x:v>Large-Basket Occasional Shoppers</x:v>
      </x:c>
      <x:c r="D1953" s="60" t="n">
        <x:v>542.87</x:v>
      </x:c>
      <x:c r="E1953" s="50" t="n">
        <x:v>15</x:v>
      </x:c>
      <x:c r="F1953" s="46" t="n">
        <x:v>1.5</x:v>
      </x:c>
      <x:c r="G1953" s="46" t="n">
        <x:v>162</x:v>
      </x:c>
      <x:c r="H1953" s="61" t="n">
        <x:v>36.191333333333326</x:v>
      </x:c>
      <x:c r="I1953" s="52" t="n">
        <x:v>0.9333333333333332</x:v>
      </x:c>
      <x:c r="J1953" s="52" t="n">
        <x:v>0.5853335052590859</x:v>
      </x:c>
      <x:c r="K1953" s="60" t="n">
        <x:v>534.42</x:v>
      </x:c>
      <x:c r="L1953" s="60" t="n">
        <x:v>8.45</x:v>
      </x:c>
      <x:c r="M1953" s="50" t="n">
        <x:v>14</x:v>
      </x:c>
      <x:c r="N1953" s="50" t="n">
        <x:v>1</x:v>
      </x:c>
      <x:c r="O1953" s="50" t="n">
        <x:v>77</x:v>
      </x:c>
      <x:c r="P1953" s="50" t="n">
        <x:v>10</x:v>
      </x:c>
    </x:row>
    <x:row r="1954" ht="36" customHeight="1">
      <x:c r="A1954" s="53" t="n">
        <x:v>1935</x:v>
      </x:c>
      <x:c r="B1954" s="53" t="n">
        <x:v>1</x:v>
      </x:c>
      <x:c r="C1954" s="40" t="str">
        <x:v>High-Value Frequent Shoppers</x:v>
      </x:c>
      <x:c r="D1954" s="60" t="n">
        <x:v>12371.26</x:v>
      </x:c>
      <x:c r="E1954" s="50" t="n">
        <x:v>177</x:v>
      </x:c>
      <x:c r="F1954" s="46" t="n">
        <x:v>8.428571428571427</x:v>
      </x:c>
      <x:c r="G1954" s="46" t="n">
        <x:v>0</x:v>
      </x:c>
      <x:c r="H1954" s="61" t="n">
        <x:v>69.89412429378531</x:v>
      </x:c>
      <x:c r="I1954" s="52" t="n">
        <x:v>0.9096045197740112</x:v>
      </x:c>
      <x:c r="J1954" s="52" t="n">
        <x:v>0.5199680549919733</x:v>
      </x:c>
      <x:c r="K1954" s="60" t="n">
        <x:v>12193.09</x:v>
      </x:c>
      <x:c r="L1954" s="60" t="n">
        <x:v>178.17</x:v>
      </x:c>
      <x:c r="M1954" s="50" t="n">
        <x:v>161</x:v>
      </x:c>
      <x:c r="N1954" s="50" t="n">
        <x:v>16</x:v>
      </x:c>
      <x:c r="O1954" s="50" t="n">
        <x:v>155</x:v>
      </x:c>
      <x:c r="P1954" s="50" t="n">
        <x:v>21</x:v>
      </x:c>
    </x:row>
    <x:row r="1955" ht="36" customHeight="1">
      <x:c r="A1955" s="53" t="n">
        <x:v>1936</x:v>
      </x:c>
      <x:c r="B1955" s="53" t="n">
        <x:v>1</x:v>
      </x:c>
      <x:c r="C1955" s="40" t="str">
        <x:v>High-Value Frequent Shoppers</x:v>
      </x:c>
      <x:c r="D1955" s="60" t="n">
        <x:v>5029.86</x:v>
      </x:c>
      <x:c r="E1955" s="50" t="n">
        <x:v>462</x:v>
      </x:c>
      <x:c r="F1955" s="46" t="n">
        <x:v>20.08695652173913</x:v>
      </x:c>
      <x:c r="G1955" s="46" t="n">
        <x:v>3</x:v>
      </x:c>
      <x:c r="H1955" s="61" t="n">
        <x:v>10.887142857142855</x:v>
      </x:c>
      <x:c r="I1955" s="52" t="n">
        <x:v>0.632034632034632</x:v>
      </x:c>
      <x:c r="J1955" s="52" t="n">
        <x:v>0.5683020998596382</x:v>
      </x:c>
      <x:c r="K1955" s="60" t="n">
        <x:v>4385.86</x:v>
      </x:c>
      <x:c r="L1955" s="60" t="n">
        <x:v>644</x:v>
      </x:c>
      <x:c r="M1955" s="50" t="n">
        <x:v>292</x:v>
      </x:c>
      <x:c r="N1955" s="50" t="n">
        <x:v>170</x:v>
      </x:c>
      <x:c r="O1955" s="50" t="n">
        <x:v>157</x:v>
      </x:c>
      <x:c r="P1955" s="50" t="n">
        <x:v>23</x:v>
      </x:c>
    </x:row>
    <x:row r="1956" ht="36" customHeight="1">
      <x:c r="A1956" s="53" t="n">
        <x:v>1937</x:v>
      </x:c>
      <x:c r="B1956" s="53" t="n">
        <x:v>1</x:v>
      </x:c>
      <x:c r="C1956" s="40" t="str">
        <x:v>High-Value Frequent Shoppers</x:v>
      </x:c>
      <x:c r="D1956" s="60" t="n">
        <x:v>6742.44</x:v>
      </x:c>
      <x:c r="E1956" s="50" t="n">
        <x:v>158</x:v>
      </x:c>
      <x:c r="F1956" s="46" t="n">
        <x:v>6.869565217391304</x:v>
      </x:c>
      <x:c r="G1956" s="46" t="n">
        <x:v>7</x:v>
      </x:c>
      <x:c r="H1956" s="61" t="n">
        <x:v>42.673670886075946</x:v>
      </x:c>
      <x:c r="I1956" s="52" t="n">
        <x:v>0.8670886075949367</x:v>
      </x:c>
      <x:c r="J1956" s="52" t="n">
        <x:v>0.4610037315867846</x:v>
      </x:c>
      <x:c r="K1956" s="60" t="n">
        <x:v>6561.86</x:v>
      </x:c>
      <x:c r="L1956" s="60" t="n">
        <x:v>180.58</x:v>
      </x:c>
      <x:c r="M1956" s="50" t="n">
        <x:v>137</x:v>
      </x:c>
      <x:c r="N1956" s="50" t="n">
        <x:v>21</x:v>
      </x:c>
      <x:c r="O1956" s="50" t="n">
        <x:v>179</x:v>
      </x:c>
      <x:c r="P1956" s="50" t="n">
        <x:v>23</x:v>
      </x:c>
    </x:row>
    <x:row r="1957" ht="36" customHeight="1">
      <x:c r="A1957" s="53" t="n">
        <x:v>1938</x:v>
      </x:c>
      <x:c r="B1957" s="53" t="n">
        <x:v>3</x:v>
      </x:c>
      <x:c r="C1957" s="40" t="str">
        <x:v>Low-Value Low-Engagement Shoppers</x:v>
      </x:c>
      <x:c r="D1957" s="60" t="n">
        <x:v>1032.95</x:v>
      </x:c>
      <x:c r="E1957" s="50" t="n">
        <x:v>28</x:v>
      </x:c>
      <x:c r="F1957" s="46" t="n">
        <x:v>1.8666666666666667</x:v>
      </x:c>
      <x:c r="G1957" s="46" t="n">
        <x:v>6</x:v>
      </x:c>
      <x:c r="H1957" s="61" t="n">
        <x:v>36.89107142857143</x:v>
      </x:c>
      <x:c r="I1957" s="52" t="n">
        <x:v>0.7142857142857142</x:v>
      </x:c>
      <x:c r="J1957" s="52" t="n">
        <x:v>0.4091291930877583</x:v>
      </x:c>
      <x:c r="K1957" s="60" t="n">
        <x:v>921.96</x:v>
      </x:c>
      <x:c r="L1957" s="60" t="n">
        <x:v>110.99</x:v>
      </x:c>
      <x:c r="M1957" s="50" t="n">
        <x:v>20</x:v>
      </x:c>
      <x:c r="N1957" s="50" t="n">
        <x:v>8</x:v>
      </x:c>
      <x:c r="O1957" s="50" t="n">
        <x:v>83</x:v>
      </x:c>
      <x:c r="P1957" s="50" t="n">
        <x:v>15</x:v>
      </x:c>
    </x:row>
    <x:row r="1958" ht="36" customHeight="1">
      <x:c r="A1958" s="53" t="n">
        <x:v>1939</x:v>
      </x:c>
      <x:c r="B1958" s="53" t="n">
        <x:v>2</x:v>
      </x:c>
      <x:c r="C1958" s="40" t="str">
        <x:v>Large-Basket Occasional Shoppers</x:v>
      </x:c>
      <x:c r="D1958" s="60" t="n">
        <x:v>3784.62</x:v>
      </x:c>
      <x:c r="E1958" s="50" t="n">
        <x:v>75</x:v>
      </x:c>
      <x:c r="F1958" s="46" t="n">
        <x:v>3.4090909090909087</x:v>
      </x:c>
      <x:c r="G1958" s="46" t="n">
        <x:v>5</x:v>
      </x:c>
      <x:c r="H1958" s="61" t="n">
        <x:v>50.4616</x:v>
      </x:c>
      <x:c r="I1958" s="52" t="n">
        <x:v>0.8933333333333333</x:v>
      </x:c>
      <x:c r="J1958" s="52" t="n">
        <x:v>0.6189392858463993</x:v>
      </x:c>
      <x:c r="K1958" s="60" t="n">
        <x:v>3712.47</x:v>
      </x:c>
      <x:c r="L1958" s="60" t="n">
        <x:v>72.15</x:v>
      </x:c>
      <x:c r="M1958" s="50" t="n">
        <x:v>67</x:v>
      </x:c>
      <x:c r="N1958" s="50" t="n">
        <x:v>8</x:v>
      </x:c>
      <x:c r="O1958" s="50" t="n">
        <x:v>147</x:v>
      </x:c>
      <x:c r="P1958" s="50" t="n">
        <x:v>22</x:v>
      </x:c>
    </x:row>
    <x:row r="1959" ht="36" customHeight="1">
      <x:c r="A1959" s="53" t="n">
        <x:v>1940</x:v>
      </x:c>
      <x:c r="B1959" s="53" t="n">
        <x:v>2</x:v>
      </x:c>
      <x:c r="C1959" s="40" t="str">
        <x:v>Large-Basket Occasional Shoppers</x:v>
      </x:c>
      <x:c r="D1959" s="60" t="n">
        <x:v>2392.72</x:v>
      </x:c>
      <x:c r="E1959" s="50" t="n">
        <x:v>75</x:v>
      </x:c>
      <x:c r="F1959" s="46" t="n">
        <x:v>3.260869565217392</x:v>
      </x:c>
      <x:c r="G1959" s="46" t="n">
        <x:v>7</x:v>
      </x:c>
      <x:c r="H1959" s="61" t="n">
        <x:v>31.902933333333333</x:v>
      </x:c>
      <x:c r="I1959" s="52" t="n">
        <x:v>0.9733333333333332</x:v>
      </x:c>
      <x:c r="J1959" s="52" t="n">
        <x:v>0.4139055133906182</x:v>
      </x:c>
      <x:c r="K1959" s="60" t="n">
        <x:v>2366.24</x:v>
      </x:c>
      <x:c r="L1959" s="60" t="n">
        <x:v>26.48</x:v>
      </x:c>
      <x:c r="M1959" s="50" t="n">
        <x:v>73</x:v>
      </x:c>
      <x:c r="N1959" s="50" t="n">
        <x:v>2</x:v>
      </x:c>
      <x:c r="O1959" s="50" t="n">
        <x:v>134</x:v>
      </x:c>
      <x:c r="P1959" s="50" t="n">
        <x:v>23</x:v>
      </x:c>
    </x:row>
    <x:row r="1960" ht="36" customHeight="1">
      <x:c r="A1960" s="53" t="n">
        <x:v>1941</x:v>
      </x:c>
      <x:c r="B1960" s="53" t="n">
        <x:v>3</x:v>
      </x:c>
      <x:c r="C1960" s="40" t="str">
        <x:v>Low-Value Low-Engagement Shoppers</x:v>
      </x:c>
      <x:c r="D1960" s="60" t="n">
        <x:v>742.85</x:v>
      </x:c>
      <x:c r="E1960" s="50" t="n">
        <x:v>135</x:v>
      </x:c>
      <x:c r="F1960" s="46" t="n">
        <x:v>6.136363636363637</x:v>
      </x:c>
      <x:c r="G1960" s="46" t="n">
        <x:v>1</x:v>
      </x:c>
      <x:c r="H1960" s="61" t="n">
        <x:v>5.502592592592593</x:v>
      </x:c>
      <x:c r="I1960" s="52" t="n">
        <x:v>0.8</x:v>
      </x:c>
      <x:c r="J1960" s="52" t="n">
        <x:v>0.5209127010836642</x:v>
      </x:c>
      <x:c r="K1960" s="60" t="n">
        <x:v>645.54</x:v>
      </x:c>
      <x:c r="L1960" s="60" t="n">
        <x:v>97.31</x:v>
      </x:c>
      <x:c r="M1960" s="50" t="n">
        <x:v>108</x:v>
      </x:c>
      <x:c r="N1960" s="50" t="n">
        <x:v>27</x:v>
      </x:c>
      <x:c r="O1960" s="50" t="n">
        <x:v>67</x:v>
      </x:c>
      <x:c r="P1960" s="50" t="n">
        <x:v>22</x:v>
      </x:c>
    </x:row>
    <x:row r="1961" ht="36" customHeight="1">
      <x:c r="A1961" s="53" t="n">
        <x:v>1942</x:v>
      </x:c>
      <x:c r="B1961" s="53" t="n">
        <x:v>1</x:v>
      </x:c>
      <x:c r="C1961" s="40" t="str">
        <x:v>High-Value Frequent Shoppers</x:v>
      </x:c>
      <x:c r="D1961" s="60" t="n">
        <x:v>3135.06</x:v>
      </x:c>
      <x:c r="E1961" s="50" t="n">
        <x:v>150</x:v>
      </x:c>
      <x:c r="F1961" s="46" t="n">
        <x:v>7.5</x:v>
      </x:c>
      <x:c r="G1961" s="46" t="n">
        <x:v>4</x:v>
      </x:c>
      <x:c r="H1961" s="61" t="n">
        <x:v>20.9004</x:v>
      </x:c>
      <x:c r="I1961" s="52" t="n">
        <x:v>0.66</x:v>
      </x:c>
      <x:c r="J1961" s="52" t="n">
        <x:v>0.3394990845470262</x:v>
      </x:c>
      <x:c r="K1961" s="60" t="n">
        <x:v>2496.58</x:v>
      </x:c>
      <x:c r="L1961" s="60" t="n">
        <x:v>638.48</x:v>
      </x:c>
      <x:c r="M1961" s="50" t="n">
        <x:v>99</x:v>
      </x:c>
      <x:c r="N1961" s="50" t="n">
        <x:v>51</x:v>
      </x:c>
      <x:c r="O1961" s="50" t="n">
        <x:v>163</x:v>
      </x:c>
      <x:c r="P1961" s="50" t="n">
        <x:v>20</x:v>
      </x:c>
    </x:row>
    <x:row r="1962" ht="36" customHeight="1">
      <x:c r="A1962" s="53" t="n">
        <x:v>1943</x:v>
      </x:c>
      <x:c r="B1962" s="53" t="n">
        <x:v>1</x:v>
      </x:c>
      <x:c r="C1962" s="40" t="str">
        <x:v>High-Value Frequent Shoppers</x:v>
      </x:c>
      <x:c r="D1962" s="60" t="n">
        <x:v>5116.58</x:v>
      </x:c>
      <x:c r="E1962" s="50" t="n">
        <x:v>212</x:v>
      </x:c>
      <x:c r="F1962" s="46" t="n">
        <x:v>8.833333333333332</x:v>
      </x:c>
      <x:c r="G1962" s="46" t="n">
        <x:v>6</x:v>
      </x:c>
      <x:c r="H1962" s="61" t="n">
        <x:v>24.13481132075472</x:v>
      </x:c>
      <x:c r="I1962" s="52" t="n">
        <x:v>0.6981132075471698</x:v>
      </x:c>
      <x:c r="J1962" s="52" t="n">
        <x:v>0.477811350550563</x:v>
      </x:c>
      <x:c r="K1962" s="60" t="n">
        <x:v>4477.66</x:v>
      </x:c>
      <x:c r="L1962" s="60" t="n">
        <x:v>638.92</x:v>
      </x:c>
      <x:c r="M1962" s="50" t="n">
        <x:v>148</x:v>
      </x:c>
      <x:c r="N1962" s="50" t="n">
        <x:v>64</x:v>
      </x:c>
      <x:c r="O1962" s="50" t="n">
        <x:v>143</x:v>
      </x:c>
      <x:c r="P1962" s="50" t="n">
        <x:v>24</x:v>
      </x:c>
    </x:row>
    <x:row r="1963" ht="36" customHeight="1">
      <x:c r="A1963" s="53" t="n">
        <x:v>1944</x:v>
      </x:c>
      <x:c r="B1963" s="53" t="n">
        <x:v>1</x:v>
      </x:c>
      <x:c r="C1963" s="40" t="str">
        <x:v>High-Value Frequent Shoppers</x:v>
      </x:c>
      <x:c r="D1963" s="60" t="n">
        <x:v>10942.88</x:v>
      </x:c>
      <x:c r="E1963" s="50" t="n">
        <x:v>179</x:v>
      </x:c>
      <x:c r="F1963" s="46" t="n">
        <x:v>8.136363636363635</x:v>
      </x:c>
      <x:c r="G1963" s="46" t="n">
        <x:v>6</x:v>
      </x:c>
      <x:c r="H1963" s="61" t="n">
        <x:v>61.13340782122905</x:v>
      </x:c>
      <x:c r="I1963" s="52" t="n">
        <x:v>0.9217877094972068</x:v>
      </x:c>
      <x:c r="J1963" s="52" t="n">
        <x:v>0.5016330253096077</x:v>
      </x:c>
      <x:c r="K1963" s="60" t="n">
        <x:v>10691.69</x:v>
      </x:c>
      <x:c r="L1963" s="60" t="n">
        <x:v>251.19</x:v>
      </x:c>
      <x:c r="M1963" s="50" t="n">
        <x:v>165</x:v>
      </x:c>
      <x:c r="N1963" s="50" t="n">
        <x:v>14</x:v>
      </x:c>
      <x:c r="O1963" s="50" t="n">
        <x:v>176</x:v>
      </x:c>
      <x:c r="P1963" s="50" t="n">
        <x:v>22</x:v>
      </x:c>
    </x:row>
    <x:row r="1964" ht="36" customHeight="1">
      <x:c r="A1964" s="53" t="n">
        <x:v>1945</x:v>
      </x:c>
      <x:c r="B1964" s="53" t="n">
        <x:v>2</x:v>
      </x:c>
      <x:c r="C1964" s="40" t="str">
        <x:v>Large-Basket Occasional Shoppers</x:v>
      </x:c>
      <x:c r="D1964" s="60" t="n">
        <x:v>1020.57</x:v>
      </x:c>
      <x:c r="E1964" s="50" t="n">
        <x:v>19</x:v>
      </x:c>
      <x:c r="F1964" s="46" t="n">
        <x:v>1.5833333333333333</x:v>
      </x:c>
      <x:c r="G1964" s="46" t="n">
        <x:v>23</x:v>
      </x:c>
      <x:c r="H1964" s="61" t="n">
        <x:v>53.71421052631578</x:v>
      </x:c>
      <x:c r="I1964" s="52" t="n">
        <x:v>0.9473684210526316</x:v>
      </x:c>
      <x:c r="J1964" s="52" t="n">
        <x:v>0.446015461947735</x:v>
      </x:c>
      <x:c r="K1964" s="60" t="n">
        <x:v>1017.58</x:v>
      </x:c>
      <x:c r="L1964" s="60" t="n">
        <x:v>2.99</x:v>
      </x:c>
      <x:c r="M1964" s="50" t="n">
        <x:v>18</x:v>
      </x:c>
      <x:c r="N1964" s="50" t="n">
        <x:v>1</x:v>
      </x:c>
      <x:c r="O1964" s="50" t="n">
        <x:v>77</x:v>
      </x:c>
      <x:c r="P1964" s="50" t="n">
        <x:v>12</x:v>
      </x:c>
    </x:row>
    <x:row r="1965" ht="36" customHeight="1">
      <x:c r="A1965" s="53" t="n">
        <x:v>1946</x:v>
      </x:c>
      <x:c r="B1965" s="53" t="n">
        <x:v>2</x:v>
      </x:c>
      <x:c r="C1965" s="40" t="str">
        <x:v>Large-Basket Occasional Shoppers</x:v>
      </x:c>
      <x:c r="D1965" s="60" t="n">
        <x:v>3312.46</x:v>
      </x:c>
      <x:c r="E1965" s="50" t="n">
        <x:v>49</x:v>
      </x:c>
      <x:c r="F1965" s="46" t="n">
        <x:v>2.333333333333333</x:v>
      </x:c>
      <x:c r="G1965" s="46" t="n">
        <x:v>12</x:v>
      </x:c>
      <x:c r="H1965" s="61" t="n">
        <x:v>67.60122448979592</x:v>
      </x:c>
      <x:c r="I1965" s="52" t="n">
        <x:v>0.979591836734694</x:v>
      </x:c>
      <x:c r="J1965" s="52" t="n">
        <x:v>0.4840813172083587</x:v>
      </x:c>
      <x:c r="K1965" s="60" t="n">
        <x:v>3308.18</x:v>
      </x:c>
      <x:c r="L1965" s="60" t="n">
        <x:v>4.28</x:v>
      </x:c>
      <x:c r="M1965" s="50" t="n">
        <x:v>48</x:v>
      </x:c>
      <x:c r="N1965" s="50" t="n">
        <x:v>1</x:v>
      </x:c>
      <x:c r="O1965" s="50" t="n">
        <x:v>113</x:v>
      </x:c>
      <x:c r="P1965" s="50" t="n">
        <x:v>21</x:v>
      </x:c>
    </x:row>
    <x:row r="1966" ht="36" customHeight="1">
      <x:c r="A1966" s="53" t="n">
        <x:v>1947</x:v>
      </x:c>
      <x:c r="B1966" s="53" t="n">
        <x:v>1</x:v>
      </x:c>
      <x:c r="C1966" s="40" t="str">
        <x:v>High-Value Frequent Shoppers</x:v>
      </x:c>
      <x:c r="D1966" s="60" t="n">
        <x:v>7209.25</x:v>
      </x:c>
      <x:c r="E1966" s="50" t="n">
        <x:v>90</x:v>
      </x:c>
      <x:c r="F1966" s="46" t="n">
        <x:v>4.7368421052631575</x:v>
      </x:c>
      <x:c r="G1966" s="46" t="n">
        <x:v>1</x:v>
      </x:c>
      <x:c r="H1966" s="61" t="n">
        <x:v>80.10277777777777</x:v>
      </x:c>
      <x:c r="I1966" s="52" t="n">
        <x:v>0.8888888888888888</x:v>
      </x:c>
      <x:c r="J1966" s="52" t="n">
        <x:v>0.4380982765197489</x:v>
      </x:c>
      <x:c r="K1966" s="60" t="n">
        <x:v>7100.67</x:v>
      </x:c>
      <x:c r="L1966" s="60" t="n">
        <x:v>108.58</x:v>
      </x:c>
      <x:c r="M1966" s="50" t="n">
        <x:v>80</x:v>
      </x:c>
      <x:c r="N1966" s="50" t="n">
        <x:v>10</x:v>
      </x:c>
      <x:c r="O1966" s="50" t="n">
        <x:v>153</x:v>
      </x:c>
      <x:c r="P1966" s="50" t="n">
        <x:v>19</x:v>
      </x:c>
    </x:row>
    <x:row r="1967" ht="36" customHeight="1">
      <x:c r="A1967" s="53" t="n">
        <x:v>1948</x:v>
      </x:c>
      <x:c r="B1967" s="53" t="n">
        <x:v>1</x:v>
      </x:c>
      <x:c r="C1967" s="40" t="str">
        <x:v>High-Value Frequent Shoppers</x:v>
      </x:c>
      <x:c r="D1967" s="60" t="n">
        <x:v>1602.32</x:v>
      </x:c>
      <x:c r="E1967" s="50" t="n">
        <x:v>83</x:v>
      </x:c>
      <x:c r="F1967" s="46" t="n">
        <x:v>4.611111111111112</x:v>
      </x:c>
      <x:c r="G1967" s="46" t="n">
        <x:v>0</x:v>
      </x:c>
      <x:c r="H1967" s="61" t="n">
        <x:v>19.30506024096385</x:v>
      </x:c>
      <x:c r="I1967" s="52" t="n">
        <x:v>0.8674698795180722</x:v>
      </x:c>
      <x:c r="J1967" s="52" t="n">
        <x:v>0.5067277447700833</x:v>
      </x:c>
      <x:c r="K1967" s="60" t="n">
        <x:v>1542.4</x:v>
      </x:c>
      <x:c r="L1967" s="60" t="n">
        <x:v>59.92</x:v>
      </x:c>
      <x:c r="M1967" s="50" t="n">
        <x:v>72</x:v>
      </x:c>
      <x:c r="N1967" s="50" t="n">
        <x:v>11</x:v>
      </x:c>
      <x:c r="O1967" s="50" t="n">
        <x:v>124</x:v>
      </x:c>
      <x:c r="P1967" s="50" t="n">
        <x:v>18</x:v>
      </x:c>
    </x:row>
    <x:row r="1968" ht="36" customHeight="1">
      <x:c r="A1968" s="53" t="n">
        <x:v>1949</x:v>
      </x:c>
      <x:c r="B1968" s="53" t="n">
        <x:v>2</x:v>
      </x:c>
      <x:c r="C1968" s="40" t="str">
        <x:v>Large-Basket Occasional Shoppers</x:v>
      </x:c>
      <x:c r="D1968" s="60" t="n">
        <x:v>1658.96</x:v>
      </x:c>
      <x:c r="E1968" s="50" t="n">
        <x:v>54</x:v>
      </x:c>
      <x:c r="F1968" s="46" t="n">
        <x:v>3.6</x:v>
      </x:c>
      <x:c r="G1968" s="46" t="n">
        <x:v>5</x:v>
      </x:c>
      <x:c r="H1968" s="61" t="n">
        <x:v>30.72148148148148</x:v>
      </x:c>
      <x:c r="I1968" s="52" t="n">
        <x:v>0.9074074074074074</x:v>
      </x:c>
      <x:c r="J1968" s="52" t="n">
        <x:v>0.4914042532671071</x:v>
      </x:c>
      <x:c r="K1968" s="60" t="n">
        <x:v>1646.25</x:v>
      </x:c>
      <x:c r="L1968" s="60" t="n">
        <x:v>12.71</x:v>
      </x:c>
      <x:c r="M1968" s="50" t="n">
        <x:v>49</x:v>
      </x:c>
      <x:c r="N1968" s="50" t="n">
        <x:v>5</x:v>
      </x:c>
      <x:c r="O1968" s="50" t="n">
        <x:v>118</x:v>
      </x:c>
      <x:c r="P1968" s="50" t="n">
        <x:v>15</x:v>
      </x:c>
    </x:row>
    <x:row r="1969" ht="36" customHeight="1">
      <x:c r="A1969" s="53" t="n">
        <x:v>1950</x:v>
      </x:c>
      <x:c r="B1969" s="53" t="n">
        <x:v>2</x:v>
      </x:c>
      <x:c r="C1969" s="40" t="str">
        <x:v>Large-Basket Occasional Shoppers</x:v>
      </x:c>
      <x:c r="D1969" s="60" t="n">
        <x:v>746.74</x:v>
      </x:c>
      <x:c r="E1969" s="50" t="n">
        <x:v>31</x:v>
      </x:c>
      <x:c r="F1969" s="46" t="n">
        <x:v>2.583333333333333</x:v>
      </x:c>
      <x:c r="G1969" s="46" t="n">
        <x:v>35</x:v>
      </x:c>
      <x:c r="H1969" s="61" t="n">
        <x:v>24.088387096774195</x:v>
      </x:c>
      <x:c r="I1969" s="52" t="n">
        <x:v>0.8709677419354838</x:v>
      </x:c>
      <x:c r="J1969" s="52" t="n">
        <x:v>0.5144896483381096</x:v>
      </x:c>
      <x:c r="K1969" s="60" t="n">
        <x:v>721.35</x:v>
      </x:c>
      <x:c r="L1969" s="60" t="n">
        <x:v>25.39</x:v>
      </x:c>
      <x:c r="M1969" s="50" t="n">
        <x:v>27</x:v>
      </x:c>
      <x:c r="N1969" s="50" t="n">
        <x:v>4</x:v>
      </x:c>
      <x:c r="O1969" s="50" t="n">
        <x:v>91</x:v>
      </x:c>
      <x:c r="P1969" s="50" t="n">
        <x:v>12</x:v>
      </x:c>
    </x:row>
    <x:row r="1970" ht="36" customHeight="1">
      <x:c r="A1970" s="53" t="n">
        <x:v>1951</x:v>
      </x:c>
      <x:c r="B1970" s="53" t="n">
        <x:v>3</x:v>
      </x:c>
      <x:c r="C1970" s="40" t="str">
        <x:v>Low-Value Low-Engagement Shoppers</x:v>
      </x:c>
      <x:c r="D1970" s="60" t="n">
        <x:v>561.48</x:v>
      </x:c>
      <x:c r="E1970" s="50" t="n">
        <x:v>18</x:v>
      </x:c>
      <x:c r="F1970" s="46" t="n">
        <x:v>1.6363636363636365</x:v>
      </x:c>
      <x:c r="G1970" s="46" t="n">
        <x:v>34</x:v>
      </x:c>
      <x:c r="H1970" s="61" t="n">
        <x:v>31.19333333333333</x:v>
      </x:c>
      <x:c r="I1970" s="52" t="n">
        <x:v>0.7777777777777777</x:v>
      </x:c>
      <x:c r="J1970" s="52" t="n">
        <x:v>0.5619968654270855</x:v>
      </x:c>
      <x:c r="K1970" s="60" t="n">
        <x:v>502.86</x:v>
      </x:c>
      <x:c r="L1970" s="60" t="n">
        <x:v>58.62</x:v>
      </x:c>
      <x:c r="M1970" s="50" t="n">
        <x:v>14</x:v>
      </x:c>
      <x:c r="N1970" s="50" t="n">
        <x:v>4</x:v>
      </x:c>
      <x:c r="O1970" s="50" t="n">
        <x:v>70</x:v>
      </x:c>
      <x:c r="P1970" s="50" t="n">
        <x:v>11</x:v>
      </x:c>
    </x:row>
    <x:row r="1971" ht="36" customHeight="1">
      <x:c r="A1971" s="53" t="n">
        <x:v>1952</x:v>
      </x:c>
      <x:c r="B1971" s="53" t="n">
        <x:v>2</x:v>
      </x:c>
      <x:c r="C1971" s="40" t="str">
        <x:v>Large-Basket Occasional Shoppers</x:v>
      </x:c>
      <x:c r="D1971" s="60" t="n">
        <x:v>1003.87</x:v>
      </x:c>
      <x:c r="E1971" s="50" t="n">
        <x:v>36</x:v>
      </x:c>
      <x:c r="F1971" s="46" t="n">
        <x:v>3.272727272727273</x:v>
      </x:c>
      <x:c r="G1971" s="46" t="n">
        <x:v>6</x:v>
      </x:c>
      <x:c r="H1971" s="61" t="n">
        <x:v>27.885277777777777</x:v>
      </x:c>
      <x:c r="I1971" s="52" t="n">
        <x:v>0.8888888888888888</x:v>
      </x:c>
      <x:c r="J1971" s="52" t="n">
        <x:v>0.6360385308854732</x:v>
      </x:c>
      <x:c r="K1971" s="60" t="n">
        <x:v>955.5</x:v>
      </x:c>
      <x:c r="L1971" s="60" t="n">
        <x:v>48.37</x:v>
      </x:c>
      <x:c r="M1971" s="50" t="n">
        <x:v>32</x:v>
      </x:c>
      <x:c r="N1971" s="50" t="n">
        <x:v>4</x:v>
      </x:c>
      <x:c r="O1971" s="50" t="n">
        <x:v>78</x:v>
      </x:c>
      <x:c r="P1971" s="50" t="n">
        <x:v>11</x:v>
      </x:c>
    </x:row>
    <x:row r="1972" ht="36" customHeight="1">
      <x:c r="A1972" s="53" t="n">
        <x:v>1953</x:v>
      </x:c>
      <x:c r="B1972" s="53" t="n">
        <x:v>1</x:v>
      </x:c>
      <x:c r="C1972" s="40" t="str">
        <x:v>High-Value Frequent Shoppers</x:v>
      </x:c>
      <x:c r="D1972" s="60" t="n">
        <x:v>2722.81</x:v>
      </x:c>
      <x:c r="E1972" s="50" t="n">
        <x:v>113</x:v>
      </x:c>
      <x:c r="F1972" s="46" t="n">
        <x:v>5.136363636363637</x:v>
      </x:c>
      <x:c r="G1972" s="46" t="n">
        <x:v>5</x:v>
      </x:c>
      <x:c r="H1972" s="61" t="n">
        <x:v>24.09566371681416</x:v>
      </x:c>
      <x:c r="I1972" s="52" t="n">
        <x:v>0.8584070796460176</x:v>
      </x:c>
      <x:c r="J1972" s="52" t="n">
        <x:v>0.3951138713314553</x:v>
      </x:c>
      <x:c r="K1972" s="60" t="n">
        <x:v>2539.7</x:v>
      </x:c>
      <x:c r="L1972" s="60" t="n">
        <x:v>183.11</x:v>
      </x:c>
      <x:c r="M1972" s="50" t="n">
        <x:v>97</x:v>
      </x:c>
      <x:c r="N1972" s="50" t="n">
        <x:v>16</x:v>
      </x:c>
      <x:c r="O1972" s="50" t="n">
        <x:v>114</x:v>
      </x:c>
      <x:c r="P1972" s="50" t="n">
        <x:v>22</x:v>
      </x:c>
    </x:row>
    <x:row r="1973" ht="36" customHeight="1">
      <x:c r="A1973" s="53" t="n">
        <x:v>1954</x:v>
      </x:c>
      <x:c r="B1973" s="53" t="n">
        <x:v>3</x:v>
      </x:c>
      <x:c r="C1973" s="40" t="str">
        <x:v>Low-Value Low-Engagement Shoppers</x:v>
      </x:c>
      <x:c r="D1973" s="60" t="n">
        <x:v>1965.65</x:v>
      </x:c>
      <x:c r="E1973" s="50" t="n">
        <x:v>143</x:v>
      </x:c>
      <x:c r="F1973" s="46" t="n">
        <x:v>6.217391304347825</x:v>
      </x:c>
      <x:c r="G1973" s="46" t="n">
        <x:v>28</x:v>
      </x:c>
      <x:c r="H1973" s="61" t="n">
        <x:v>13.745804195804196</x:v>
      </x:c>
      <x:c r="I1973" s="52" t="n">
        <x:v>0.7132867132867132</x:v>
      </x:c>
      <x:c r="J1973" s="52" t="n">
        <x:v>0.3706204054638414</x:v>
      </x:c>
      <x:c r="K1973" s="60" t="n">
        <x:v>1613.26</x:v>
      </x:c>
      <x:c r="L1973" s="60" t="n">
        <x:v>352.39</x:v>
      </x:c>
      <x:c r="M1973" s="50" t="n">
        <x:v>102</x:v>
      </x:c>
      <x:c r="N1973" s="50" t="n">
        <x:v>41</x:v>
      </x:c>
      <x:c r="O1973" s="50" t="n">
        <x:v>108</x:v>
      </x:c>
      <x:c r="P1973" s="50" t="n">
        <x:v>23</x:v>
      </x:c>
    </x:row>
    <x:row r="1974" ht="36" customHeight="1">
      <x:c r="A1974" s="53" t="n">
        <x:v>1955</x:v>
      </x:c>
      <x:c r="B1974" s="53" t="n">
        <x:v>1</x:v>
      </x:c>
      <x:c r="C1974" s="40" t="str">
        <x:v>High-Value Frequent Shoppers</x:v>
      </x:c>
      <x:c r="D1974" s="60" t="n">
        <x:v>7634.5</x:v>
      </x:c>
      <x:c r="E1974" s="50" t="n">
        <x:v>156</x:v>
      </x:c>
      <x:c r="F1974" s="46" t="n">
        <x:v>6.782608695652174</x:v>
      </x:c>
      <x:c r="G1974" s="46" t="n">
        <x:v>7</x:v>
      </x:c>
      <x:c r="H1974" s="61" t="n">
        <x:v>48.93910256410256</x:v>
      </x:c>
      <x:c r="I1974" s="52" t="n">
        <x:v>0.8782051282051282</x:v>
      </x:c>
      <x:c r="J1974" s="52" t="n">
        <x:v>0.5333224179710524</x:v>
      </x:c>
      <x:c r="K1974" s="60" t="n">
        <x:v>7325.04</x:v>
      </x:c>
      <x:c r="L1974" s="60" t="n">
        <x:v>309.46</x:v>
      </x:c>
      <x:c r="M1974" s="50" t="n">
        <x:v>137</x:v>
      </x:c>
      <x:c r="N1974" s="50" t="n">
        <x:v>19</x:v>
      </x:c>
      <x:c r="O1974" s="50" t="n">
        <x:v>151</x:v>
      </x:c>
      <x:c r="P1974" s="50" t="n">
        <x:v>23</x:v>
      </x:c>
    </x:row>
    <x:row r="1975" ht="36" customHeight="1">
      <x:c r="A1975" s="53" t="n">
        <x:v>1956</x:v>
      </x:c>
      <x:c r="B1975" s="53" t="n">
        <x:v>2</x:v>
      </x:c>
      <x:c r="C1975" s="40" t="str">
        <x:v>Large-Basket Occasional Shoppers</x:v>
      </x:c>
      <x:c r="D1975" s="60" t="n">
        <x:v>2174.55</x:v>
      </x:c>
      <x:c r="E1975" s="50" t="n">
        <x:v>60</x:v>
      </x:c>
      <x:c r="F1975" s="46" t="n">
        <x:v>3.333333333333333</x:v>
      </x:c>
      <x:c r="G1975" s="46" t="n">
        <x:v>6</x:v>
      </x:c>
      <x:c r="H1975" s="61" t="n">
        <x:v>36.2425</x:v>
      </x:c>
      <x:c r="I1975" s="52" t="n">
        <x:v>0.9166666666666666</x:v>
      </x:c>
      <x:c r="J1975" s="52" t="n">
        <x:v>0.4987560644731093</x:v>
      </x:c>
      <x:c r="K1975" s="60" t="n">
        <x:v>2106.16</x:v>
      </x:c>
      <x:c r="L1975" s="60" t="n">
        <x:v>68.39</x:v>
      </x:c>
      <x:c r="M1975" s="50" t="n">
        <x:v>55</x:v>
      </x:c>
      <x:c r="N1975" s="50" t="n">
        <x:v>5</x:v>
      </x:c>
      <x:c r="O1975" s="50" t="n">
        <x:v>118</x:v>
      </x:c>
      <x:c r="P1975" s="50" t="n">
        <x:v>18</x:v>
      </x:c>
    </x:row>
    <x:row r="1976" ht="36" customHeight="1">
      <x:c r="A1976" s="53" t="n">
        <x:v>1957</x:v>
      </x:c>
      <x:c r="B1976" s="53" t="n">
        <x:v>2</x:v>
      </x:c>
      <x:c r="C1976" s="40" t="str">
        <x:v>Large-Basket Occasional Shoppers</x:v>
      </x:c>
      <x:c r="D1976" s="60" t="n">
        <x:v>1994.23</x:v>
      </x:c>
      <x:c r="E1976" s="50" t="n">
        <x:v>44</x:v>
      </x:c>
      <x:c r="F1976" s="46" t="n">
        <x:v>2.3157894736842106</x:v>
      </x:c>
      <x:c r="G1976" s="46" t="n">
        <x:v>27</x:v>
      </x:c>
      <x:c r="H1976" s="61" t="n">
        <x:v>45.32340909090909</x:v>
      </x:c>
      <x:c r="I1976" s="52" t="n">
        <x:v>0.8181818181818181</x:v>
      </x:c>
      <x:c r="J1976" s="52" t="n">
        <x:v>0.4247052747175601</x:v>
      </x:c>
      <x:c r="K1976" s="60" t="n">
        <x:v>1897.23</x:v>
      </x:c>
      <x:c r="L1976" s="60" t="n">
        <x:v>97</x:v>
      </x:c>
      <x:c r="M1976" s="50" t="n">
        <x:v>36</x:v>
      </x:c>
      <x:c r="N1976" s="50" t="n">
        <x:v>8</x:v>
      </x:c>
      <x:c r="O1976" s="50" t="n">
        <x:v>113</x:v>
      </x:c>
      <x:c r="P1976" s="50" t="n">
        <x:v>19</x:v>
      </x:c>
    </x:row>
    <x:row r="1977" ht="36" customHeight="1">
      <x:c r="A1977" s="53" t="n">
        <x:v>1958</x:v>
      </x:c>
      <x:c r="B1977" s="53" t="n">
        <x:v>2</x:v>
      </x:c>
      <x:c r="C1977" s="40" t="str">
        <x:v>Large-Basket Occasional Shoppers</x:v>
      </x:c>
      <x:c r="D1977" s="60" t="n">
        <x:v>1017.86</x:v>
      </x:c>
      <x:c r="E1977" s="50" t="n">
        <x:v>35</x:v>
      </x:c>
      <x:c r="F1977" s="46" t="n">
        <x:v>1.8421052631578947</x:v>
      </x:c>
      <x:c r="G1977" s="46" t="n">
        <x:v>2</x:v>
      </x:c>
      <x:c r="H1977" s="61" t="n">
        <x:v>29.081714285714284</x:v>
      </x:c>
      <x:c r="I1977" s="52" t="n">
        <x:v>0.7142857142857142</x:v>
      </x:c>
      <x:c r="J1977" s="52" t="n">
        <x:v>0.4650344841137288</x:v>
      </x:c>
      <x:c r="K1977" s="60" t="n">
        <x:v>933.93</x:v>
      </x:c>
      <x:c r="L1977" s="60" t="n">
        <x:v>83.93</x:v>
      </x:c>
      <x:c r="M1977" s="50" t="n">
        <x:v>25</x:v>
      </x:c>
      <x:c r="N1977" s="50" t="n">
        <x:v>10</x:v>
      </x:c>
      <x:c r="O1977" s="50" t="n">
        <x:v>111</x:v>
      </x:c>
      <x:c r="P1977" s="50" t="n">
        <x:v>19</x:v>
      </x:c>
    </x:row>
    <x:row r="1978" ht="36" customHeight="1">
      <x:c r="A1978" s="53" t="n">
        <x:v>1959</x:v>
      </x:c>
      <x:c r="B1978" s="53" t="n">
        <x:v>1</x:v>
      </x:c>
      <x:c r="C1978" s="40" t="str">
        <x:v>High-Value Frequent Shoppers</x:v>
      </x:c>
      <x:c r="D1978" s="60" t="n">
        <x:v>5592.54</x:v>
      </x:c>
      <x:c r="E1978" s="50" t="n">
        <x:v>104</x:v>
      </x:c>
      <x:c r="F1978" s="46" t="n">
        <x:v>6.11764705882353</x:v>
      </x:c>
      <x:c r="G1978" s="46" t="n">
        <x:v>40</x:v>
      </x:c>
      <x:c r="H1978" s="61" t="n">
        <x:v>53.77442307692308</x:v>
      </x:c>
      <x:c r="I1978" s="52" t="n">
        <x:v>0.8461538461538461</x:v>
      </x:c>
      <x:c r="J1978" s="52" t="n">
        <x:v>0.5775461597056079</x:v>
      </x:c>
      <x:c r="K1978" s="60" t="n">
        <x:v>5329.01</x:v>
      </x:c>
      <x:c r="L1978" s="60" t="n">
        <x:v>263.53</x:v>
      </x:c>
      <x:c r="M1978" s="50" t="n">
        <x:v>88</x:v>
      </x:c>
      <x:c r="N1978" s="50" t="n">
        <x:v>16</x:v>
      </x:c>
      <x:c r="O1978" s="50" t="n">
        <x:v>142</x:v>
      </x:c>
      <x:c r="P1978" s="50" t="n">
        <x:v>17</x:v>
      </x:c>
    </x:row>
    <x:row r="1979" ht="36" customHeight="1">
      <x:c r="A1979" s="53" t="n">
        <x:v>1960</x:v>
      </x:c>
      <x:c r="B1979" s="53" t="n">
        <x:v>2</x:v>
      </x:c>
      <x:c r="C1979" s="40" t="str">
        <x:v>Large-Basket Occasional Shoppers</x:v>
      </x:c>
      <x:c r="D1979" s="60" t="n">
        <x:v>2637.78</x:v>
      </x:c>
      <x:c r="E1979" s="50" t="n">
        <x:v>93</x:v>
      </x:c>
      <x:c r="F1979" s="46" t="n">
        <x:v>4.227272727272728</x:v>
      </x:c>
      <x:c r="G1979" s="46" t="n">
        <x:v>2</x:v>
      </x:c>
      <x:c r="H1979" s="61" t="n">
        <x:v>28.36322580645161</x:v>
      </x:c>
      <x:c r="I1979" s="52" t="n">
        <x:v>0.9462365591397848</x:v>
      </x:c>
      <x:c r="J1979" s="52" t="n">
        <x:v>0.7232255912168565</x:v>
      </x:c>
      <x:c r="K1979" s="60" t="n">
        <x:v>2594.39</x:v>
      </x:c>
      <x:c r="L1979" s="60" t="n">
        <x:v>43.39</x:v>
      </x:c>
      <x:c r="M1979" s="50" t="n">
        <x:v>88</x:v>
      </x:c>
      <x:c r="N1979" s="50" t="n">
        <x:v>5</x:v>
      </x:c>
      <x:c r="O1979" s="50" t="n">
        <x:v>91</x:v>
      </x:c>
      <x:c r="P1979" s="50" t="n">
        <x:v>22</x:v>
      </x:c>
    </x:row>
    <x:row r="1980" ht="36" customHeight="1">
      <x:c r="A1980" s="53" t="n">
        <x:v>1961</x:v>
      </x:c>
      <x:c r="B1980" s="53" t="n">
        <x:v>2</x:v>
      </x:c>
      <x:c r="C1980" s="40" t="str">
        <x:v>Large-Basket Occasional Shoppers</x:v>
      </x:c>
      <x:c r="D1980" s="60" t="n">
        <x:v>1634.22</x:v>
      </x:c>
      <x:c r="E1980" s="50" t="n">
        <x:v>91</x:v>
      </x:c>
      <x:c r="F1980" s="46" t="n">
        <x:v>4.789473684210527</x:v>
      </x:c>
      <x:c r="G1980" s="46" t="n">
        <x:v>18</x:v>
      </x:c>
      <x:c r="H1980" s="61" t="n">
        <x:v>17.95846153846154</x:v>
      </x:c>
      <x:c r="I1980" s="52" t="n">
        <x:v>0.8021978021978021</x:v>
      </x:c>
      <x:c r="J1980" s="52" t="n">
        <x:v>0.4064874986231963</x:v>
      </x:c>
      <x:c r="K1980" s="60" t="n">
        <x:v>1251.59</x:v>
      </x:c>
      <x:c r="L1980" s="60" t="n">
        <x:v>382.63</x:v>
      </x:c>
      <x:c r="M1980" s="50" t="n">
        <x:v>73</x:v>
      </x:c>
      <x:c r="N1980" s="50" t="n">
        <x:v>18</x:v>
      </x:c>
      <x:c r="O1980" s="50" t="n">
        <x:v>114</x:v>
      </x:c>
      <x:c r="P1980" s="50" t="n">
        <x:v>19</x:v>
      </x:c>
    </x:row>
    <x:row r="1981" ht="36" customHeight="1">
      <x:c r="A1981" s="53" t="n">
        <x:v>1962</x:v>
      </x:c>
      <x:c r="B1981" s="53" t="n">
        <x:v>1</x:v>
      </x:c>
      <x:c r="C1981" s="40" t="str">
        <x:v>High-Value Frequent Shoppers</x:v>
      </x:c>
      <x:c r="D1981" s="60" t="n">
        <x:v>3512.23</x:v>
      </x:c>
      <x:c r="E1981" s="50" t="n">
        <x:v>131</x:v>
      </x:c>
      <x:c r="F1981" s="46" t="n">
        <x:v>6.55</x:v>
      </x:c>
      <x:c r="G1981" s="46" t="n">
        <x:v>1</x:v>
      </x:c>
      <x:c r="H1981" s="61" t="n">
        <x:v>26.81091603053435</x:v>
      </x:c>
      <x:c r="I1981" s="52" t="n">
        <x:v>0.9236641221374045</x:v>
      </x:c>
      <x:c r="J1981" s="52" t="n">
        <x:v>0.4326766755024585</x:v>
      </x:c>
      <x:c r="K1981" s="60" t="n">
        <x:v>3365.05</x:v>
      </x:c>
      <x:c r="L1981" s="60" t="n">
        <x:v>147.18</x:v>
      </x:c>
      <x:c r="M1981" s="50" t="n">
        <x:v>121</x:v>
      </x:c>
      <x:c r="N1981" s="50" t="n">
        <x:v>10</x:v>
      </x:c>
      <x:c r="O1981" s="50" t="n">
        <x:v>148</x:v>
      </x:c>
      <x:c r="P1981" s="50" t="n">
        <x:v>20</x:v>
      </x:c>
    </x:row>
    <x:row r="1982" ht="36" customHeight="1">
      <x:c r="A1982" s="53" t="n">
        <x:v>1963</x:v>
      </x:c>
      <x:c r="B1982" s="53" t="n">
        <x:v>2</x:v>
      </x:c>
      <x:c r="C1982" s="40" t="str">
        <x:v>Large-Basket Occasional Shoppers</x:v>
      </x:c>
      <x:c r="D1982" s="60" t="n">
        <x:v>2542.45</x:v>
      </x:c>
      <x:c r="E1982" s="50" t="n">
        <x:v>50</x:v>
      </x:c>
      <x:c r="F1982" s="46" t="n">
        <x:v>2.5</x:v>
      </x:c>
      <x:c r="G1982" s="46" t="n">
        <x:v>7</x:v>
      </x:c>
      <x:c r="H1982" s="61" t="n">
        <x:v>50.849</x:v>
      </x:c>
      <x:c r="I1982" s="52" t="n">
        <x:v>0.96</x:v>
      </x:c>
      <x:c r="J1982" s="52" t="n">
        <x:v>0.5018151782729257</x:v>
      </x:c>
      <x:c r="K1982" s="60" t="n">
        <x:v>2528.49</x:v>
      </x:c>
      <x:c r="L1982" s="60" t="n">
        <x:v>13.96</x:v>
      </x:c>
      <x:c r="M1982" s="50" t="n">
        <x:v>48</x:v>
      </x:c>
      <x:c r="N1982" s="50" t="n">
        <x:v>2</x:v>
      </x:c>
      <x:c r="O1982" s="50" t="n">
        <x:v>128</x:v>
      </x:c>
      <x:c r="P1982" s="50" t="n">
        <x:v>20</x:v>
      </x:c>
    </x:row>
    <x:row r="1983" ht="36" customHeight="1">
      <x:c r="A1983" s="53" t="n">
        <x:v>1964</x:v>
      </x:c>
      <x:c r="B1983" s="53" t="n">
        <x:v>2</x:v>
      </x:c>
      <x:c r="C1983" s="40" t="str">
        <x:v>Large-Basket Occasional Shoppers</x:v>
      </x:c>
      <x:c r="D1983" s="60" t="n">
        <x:v>1990.12</x:v>
      </x:c>
      <x:c r="E1983" s="50" t="n">
        <x:v>68</x:v>
      </x:c>
      <x:c r="F1983" s="46" t="n">
        <x:v>3.4</x:v>
      </x:c>
      <x:c r="G1983" s="46" t="n">
        <x:v>3</x:v>
      </x:c>
      <x:c r="H1983" s="61" t="n">
        <x:v>29.266470588235293</x:v>
      </x:c>
      <x:c r="I1983" s="52" t="n">
        <x:v>0.9852941176470588</x:v>
      </x:c>
      <x:c r="J1983" s="52" t="n">
        <x:v>0.4905885072256949</x:v>
      </x:c>
      <x:c r="K1983" s="60" t="n">
        <x:v>1982.66</x:v>
      </x:c>
      <x:c r="L1983" s="60" t="n">
        <x:v>7.46</x:v>
      </x:c>
      <x:c r="M1983" s="50" t="n">
        <x:v>67</x:v>
      </x:c>
      <x:c r="N1983" s="50" t="n">
        <x:v>1</x:v>
      </x:c>
      <x:c r="O1983" s="50" t="n">
        <x:v>130</x:v>
      </x:c>
      <x:c r="P1983" s="50" t="n">
        <x:v>20</x:v>
      </x:c>
    </x:row>
    <x:row r="1984" ht="36" customHeight="1">
      <x:c r="A1984" s="53" t="n">
        <x:v>1965</x:v>
      </x:c>
      <x:c r="B1984" s="53" t="n">
        <x:v>1</x:v>
      </x:c>
      <x:c r="C1984" s="40" t="str">
        <x:v>High-Value Frequent Shoppers</x:v>
      </x:c>
      <x:c r="D1984" s="60" t="n">
        <x:v>4142.69</x:v>
      </x:c>
      <x:c r="E1984" s="50" t="n">
        <x:v>163</x:v>
      </x:c>
      <x:c r="F1984" s="46" t="n">
        <x:v>7.761904761904764</x:v>
      </x:c>
      <x:c r="G1984" s="46" t="n">
        <x:v>3</x:v>
      </x:c>
      <x:c r="H1984" s="61" t="n">
        <x:v>25.415276073619637</x:v>
      </x:c>
      <x:c r="I1984" s="52" t="n">
        <x:v>0.8957055214723926</x:v>
      </x:c>
      <x:c r="J1984" s="52" t="n">
        <x:v>0.6779773528794092</x:v>
      </x:c>
      <x:c r="K1984" s="60" t="n">
        <x:v>3994.77</x:v>
      </x:c>
      <x:c r="L1984" s="60" t="n">
        <x:v>147.92</x:v>
      </x:c>
      <x:c r="M1984" s="50" t="n">
        <x:v>146</x:v>
      </x:c>
      <x:c r="N1984" s="50" t="n">
        <x:v>17</x:v>
      </x:c>
      <x:c r="O1984" s="50" t="n">
        <x:v>129</x:v>
      </x:c>
      <x:c r="P1984" s="50" t="n">
        <x:v>21</x:v>
      </x:c>
    </x:row>
    <x:row r="1985" ht="36" customHeight="1">
      <x:c r="A1985" s="53" t="n">
        <x:v>1966</x:v>
      </x:c>
      <x:c r="B1985" s="53" t="n">
        <x:v>1</x:v>
      </x:c>
      <x:c r="C1985" s="40" t="str">
        <x:v>High-Value Frequent Shoppers</x:v>
      </x:c>
      <x:c r="D1985" s="60" t="n">
        <x:v>5307.89</x:v>
      </x:c>
      <x:c r="E1985" s="50" t="n">
        <x:v>126</x:v>
      </x:c>
      <x:c r="F1985" s="46" t="n">
        <x:v>6</x:v>
      </x:c>
      <x:c r="G1985" s="46" t="n">
        <x:v>0</x:v>
      </x:c>
      <x:c r="H1985" s="61" t="n">
        <x:v>42.12611111111112</x:v>
      </x:c>
      <x:c r="I1985" s="52" t="n">
        <x:v>0.9444444444444444</x:v>
      </x:c>
      <x:c r="J1985" s="52" t="n">
        <x:v>0.5358117820828991</x:v>
      </x:c>
      <x:c r="K1985" s="60" t="n">
        <x:v>5262.9</x:v>
      </x:c>
      <x:c r="L1985" s="60" t="n">
        <x:v>44.99</x:v>
      </x:c>
      <x:c r="M1985" s="50" t="n">
        <x:v>119</x:v>
      </x:c>
      <x:c r="N1985" s="50" t="n">
        <x:v>7</x:v>
      </x:c>
      <x:c r="O1985" s="50" t="n">
        <x:v>179</x:v>
      </x:c>
      <x:c r="P1985" s="50" t="n">
        <x:v>21</x:v>
      </x:c>
    </x:row>
    <x:row r="1986" ht="36" customHeight="1">
      <x:c r="A1986" s="53" t="n">
        <x:v>1967</x:v>
      </x:c>
      <x:c r="B1986" s="53" t="n">
        <x:v>2</x:v>
      </x:c>
      <x:c r="C1986" s="40" t="str">
        <x:v>Large-Basket Occasional Shoppers</x:v>
      </x:c>
      <x:c r="D1986" s="60" t="n">
        <x:v>1802.93</x:v>
      </x:c>
      <x:c r="E1986" s="50" t="n">
        <x:v>73</x:v>
      </x:c>
      <x:c r="F1986" s="46" t="n">
        <x:v>3.3181818181818183</x:v>
      </x:c>
      <x:c r="G1986" s="46" t="n">
        <x:v>6</x:v>
      </x:c>
      <x:c r="H1986" s="61" t="n">
        <x:v>24.69767123287671</x:v>
      </x:c>
      <x:c r="I1986" s="52" t="n">
        <x:v>0.8356164383561643</x:v>
      </x:c>
      <x:c r="J1986" s="52" t="n">
        <x:v>0.4316307344156456</x:v>
      </x:c>
      <x:c r="K1986" s="60" t="n">
        <x:v>1649.19</x:v>
      </x:c>
      <x:c r="L1986" s="60" t="n">
        <x:v>153.74</x:v>
      </x:c>
      <x:c r="M1986" s="50" t="n">
        <x:v>61</x:v>
      </x:c>
      <x:c r="N1986" s="50" t="n">
        <x:v>12</x:v>
      </x:c>
      <x:c r="O1986" s="50" t="n">
        <x:v>128</x:v>
      </x:c>
      <x:c r="P1986" s="50" t="n">
        <x:v>22</x:v>
      </x:c>
    </x:row>
    <x:row r="1987" ht="36" customHeight="1">
      <x:c r="A1987" s="53" t="n">
        <x:v>1968</x:v>
      </x:c>
      <x:c r="B1987" s="53" t="n">
        <x:v>1</x:v>
      </x:c>
      <x:c r="C1987" s="40" t="str">
        <x:v>High-Value Frequent Shoppers</x:v>
      </x:c>
      <x:c r="D1987" s="60" t="n">
        <x:v>2479.97</x:v>
      </x:c>
      <x:c r="E1987" s="50" t="n">
        <x:v>89</x:v>
      </x:c>
      <x:c r="F1987" s="46" t="n">
        <x:v>4.045454545454546</x:v>
      </x:c>
      <x:c r="G1987" s="46" t="n">
        <x:v>1</x:v>
      </x:c>
      <x:c r="H1987" s="61" t="n">
        <x:v>27.86483146067416</x:v>
      </x:c>
      <x:c r="I1987" s="52" t="n">
        <x:v>0.8651685393258426</x:v>
      </x:c>
      <x:c r="J1987" s="52" t="n">
        <x:v>0.4368117356258341</x:v>
      </x:c>
      <x:c r="K1987" s="60" t="n">
        <x:v>2414.81</x:v>
      </x:c>
      <x:c r="L1987" s="60" t="n">
        <x:v>65.16</x:v>
      </x:c>
      <x:c r="M1987" s="50" t="n">
        <x:v>77</x:v>
      </x:c>
      <x:c r="N1987" s="50" t="n">
        <x:v>12</x:v>
      </x:c>
      <x:c r="O1987" s="50" t="n">
        <x:v>131</x:v>
      </x:c>
      <x:c r="P1987" s="50" t="n">
        <x:v>22</x:v>
      </x:c>
    </x:row>
    <x:row r="1988" ht="36" customHeight="1">
      <x:c r="A1988" s="53" t="n">
        <x:v>1969</x:v>
      </x:c>
      <x:c r="B1988" s="53" t="n">
        <x:v>1</x:v>
      </x:c>
      <x:c r="C1988" s="40" t="str">
        <x:v>High-Value Frequent Shoppers</x:v>
      </x:c>
      <x:c r="D1988" s="60" t="n">
        <x:v>2246.2</x:v>
      </x:c>
      <x:c r="E1988" s="50" t="n">
        <x:v>230</x:v>
      </x:c>
      <x:c r="F1988" s="46" t="n">
        <x:v>10.454545454545451</x:v>
      </x:c>
      <x:c r="G1988" s="46" t="n">
        <x:v>0</x:v>
      </x:c>
      <x:c r="H1988" s="61" t="n">
        <x:v>9.76608695652174</x:v>
      </x:c>
      <x:c r="I1988" s="52" t="n">
        <x:v>0.8826086956521739</x:v>
      </x:c>
      <x:c r="J1988" s="52" t="n">
        <x:v>0.589702608850503</x:v>
      </x:c>
      <x:c r="K1988" s="60" t="n">
        <x:v>2140.07</x:v>
      </x:c>
      <x:c r="L1988" s="60" t="n">
        <x:v>106.13</x:v>
      </x:c>
      <x:c r="M1988" s="50" t="n">
        <x:v>203</x:v>
      </x:c>
      <x:c r="N1988" s="50" t="n">
        <x:v>27</x:v>
      </x:c>
      <x:c r="O1988" s="50" t="n">
        <x:v>111</x:v>
      </x:c>
      <x:c r="P1988" s="50" t="n">
        <x:v>22</x:v>
      </x:c>
    </x:row>
    <x:row r="1989" ht="36" customHeight="1">
      <x:c r="A1989" s="53" t="n">
        <x:v>1970</x:v>
      </x:c>
      <x:c r="B1989" s="53" t="n">
        <x:v>3</x:v>
      </x:c>
      <x:c r="C1989" s="40" t="str">
        <x:v>Low-Value Low-Engagement Shoppers</x:v>
      </x:c>
      <x:c r="D1989" s="60" t="n">
        <x:v>1091.08</x:v>
      </x:c>
      <x:c r="E1989" s="50" t="n">
        <x:v>69</x:v>
      </x:c>
      <x:c r="F1989" s="46" t="n">
        <x:v>3.631578947368421</x:v>
      </x:c>
      <x:c r="G1989" s="46" t="n">
        <x:v>3</x:v>
      </x:c>
      <x:c r="H1989" s="61" t="n">
        <x:v>15.812753623188405</x:v>
      </x:c>
      <x:c r="I1989" s="52" t="n">
        <x:v>0.5942028985507246</x:v>
      </x:c>
      <x:c r="J1989" s="52" t="n">
        <x:v>0.4522583128643179</x:v>
      </x:c>
      <x:c r="K1989" s="60" t="n">
        <x:v>900.79</x:v>
      </x:c>
      <x:c r="L1989" s="60" t="n">
        <x:v>190.29</x:v>
      </x:c>
      <x:c r="M1989" s="50" t="n">
        <x:v>41</x:v>
      </x:c>
      <x:c r="N1989" s="50" t="n">
        <x:v>28</x:v>
      </x:c>
      <x:c r="O1989" s="50" t="n">
        <x:v>80</x:v>
      </x:c>
      <x:c r="P1989" s="50" t="n">
        <x:v>19</x:v>
      </x:c>
    </x:row>
    <x:row r="1990" ht="36" customHeight="1">
      <x:c r="A1990" s="53" t="n">
        <x:v>1971</x:v>
      </x:c>
      <x:c r="B1990" s="53" t="n">
        <x:v>1</x:v>
      </x:c>
      <x:c r="C1990" s="40" t="str">
        <x:v>High-Value Frequent Shoppers</x:v>
      </x:c>
      <x:c r="D1990" s="60" t="n">
        <x:v>5297.13</x:v>
      </x:c>
      <x:c r="E1990" s="50" t="n">
        <x:v>154</x:v>
      </x:c>
      <x:c r="F1990" s="46" t="n">
        <x:v>6.695652173913044</x:v>
      </x:c>
      <x:c r="G1990" s="46" t="n">
        <x:v>15</x:v>
      </x:c>
      <x:c r="H1990" s="61" t="n">
        <x:v>34.39694805194805</x:v>
      </x:c>
      <x:c r="I1990" s="52" t="n">
        <x:v>0.909090909090909</x:v>
      </x:c>
      <x:c r="J1990" s="52" t="n">
        <x:v>0.5124227647801733</x:v>
      </x:c>
      <x:c r="K1990" s="60" t="n">
        <x:v>5191.2</x:v>
      </x:c>
      <x:c r="L1990" s="60" t="n">
        <x:v>105.93</x:v>
      </x:c>
      <x:c r="M1990" s="50" t="n">
        <x:v>140</x:v>
      </x:c>
      <x:c r="N1990" s="50" t="n">
        <x:v>14</x:v>
      </x:c>
      <x:c r="O1990" s="50" t="n">
        <x:v>150</x:v>
      </x:c>
      <x:c r="P1990" s="50" t="n">
        <x:v>23</x:v>
      </x:c>
    </x:row>
    <x:row r="1991" ht="36" customHeight="1">
      <x:c r="A1991" s="53" t="n">
        <x:v>1972</x:v>
      </x:c>
      <x:c r="B1991" s="53" t="n">
        <x:v>1</x:v>
      </x:c>
      <x:c r="C1991" s="40" t="str">
        <x:v>High-Value Frequent Shoppers</x:v>
      </x:c>
      <x:c r="D1991" s="60" t="n">
        <x:v>2435.73</x:v>
      </x:c>
      <x:c r="E1991" s="50" t="n">
        <x:v>120</x:v>
      </x:c>
      <x:c r="F1991" s="46" t="n">
        <x:v>5.7142857142857135</x:v>
      </x:c>
      <x:c r="G1991" s="46" t="n">
        <x:v>6</x:v>
      </x:c>
      <x:c r="H1991" s="61" t="n">
        <x:v>20.29775</x:v>
      </x:c>
      <x:c r="I1991" s="52" t="n">
        <x:v>0.7666666666666666</x:v>
      </x:c>
      <x:c r="J1991" s="52" t="n">
        <x:v>0.4796960254215368</x:v>
      </x:c>
      <x:c r="K1991" s="60" t="n">
        <x:v>2236.76</x:v>
      </x:c>
      <x:c r="L1991" s="60" t="n">
        <x:v>198.97</x:v>
      </x:c>
      <x:c r="M1991" s="50" t="n">
        <x:v>92</x:v>
      </x:c>
      <x:c r="N1991" s="50" t="n">
        <x:v>28</x:v>
      </x:c>
      <x:c r="O1991" s="50" t="n">
        <x:v>147</x:v>
      </x:c>
      <x:c r="P1991" s="50" t="n">
        <x:v>21</x:v>
      </x:c>
    </x:row>
    <x:row r="1992" ht="36" customHeight="1">
      <x:c r="A1992" s="53" t="n">
        <x:v>1973</x:v>
      </x:c>
      <x:c r="B1992" s="53" t="n">
        <x:v>3</x:v>
      </x:c>
      <x:c r="C1992" s="40" t="str">
        <x:v>Low-Value Low-Engagement Shoppers</x:v>
      </x:c>
      <x:c r="D1992" s="60" t="n">
        <x:v>1683.55</x:v>
      </x:c>
      <x:c r="E1992" s="50" t="n">
        <x:v>130</x:v>
      </x:c>
      <x:c r="F1992" s="46" t="n">
        <x:v>10.833333333333332</x:v>
      </x:c>
      <x:c r="G1992" s="46" t="n">
        <x:v>125</x:v>
      </x:c>
      <x:c r="H1992" s="61" t="n">
        <x:v>12.950384615384616</x:v>
      </x:c>
      <x:c r="I1992" s="52" t="n">
        <x:v>0.4461538461538461</x:v>
      </x:c>
      <x:c r="J1992" s="52" t="n">
        <x:v>0.1794006712007365</x:v>
      </x:c>
      <x:c r="K1992" s="60" t="n">
        <x:v>876.6</x:v>
      </x:c>
      <x:c r="L1992" s="60" t="n">
        <x:v>806.95</x:v>
      </x:c>
      <x:c r="M1992" s="50" t="n">
        <x:v>58</x:v>
      </x:c>
      <x:c r="N1992" s="50" t="n">
        <x:v>72</x:v>
      </x:c>
      <x:c r="O1992" s="50" t="n">
        <x:v>73</x:v>
      </x:c>
      <x:c r="P1992" s="50" t="n">
        <x:v>12</x:v>
      </x:c>
    </x:row>
    <x:row r="1993" ht="36" customHeight="1">
      <x:c r="A1993" s="53" t="n">
        <x:v>1974</x:v>
      </x:c>
      <x:c r="B1993" s="53" t="n">
        <x:v>1</x:v>
      </x:c>
      <x:c r="C1993" s="40" t="str">
        <x:v>High-Value Frequent Shoppers</x:v>
      </x:c>
      <x:c r="D1993" s="60" t="n">
        <x:v>5266</x:v>
      </x:c>
      <x:c r="E1993" s="50" t="n">
        <x:v>198</x:v>
      </x:c>
      <x:c r="F1993" s="46" t="n">
        <x:v>11.647058823529411</x:v>
      </x:c>
      <x:c r="G1993" s="46" t="n">
        <x:v>201</x:v>
      </x:c>
      <x:c r="H1993" s="61" t="n">
        <x:v>26.5959595959596</x:v>
      </x:c>
      <x:c r="I1993" s="52" t="n">
        <x:v>0.914141414141414</x:v>
      </x:c>
      <x:c r="J1993" s="52" t="n">
        <x:v>0.4876129889859475</x:v>
      </x:c>
      <x:c r="K1993" s="60" t="n">
        <x:v>5066.43</x:v>
      </x:c>
      <x:c r="L1993" s="60" t="n">
        <x:v>199.57</x:v>
      </x:c>
      <x:c r="M1993" s="50" t="n">
        <x:v>181</x:v>
      </x:c>
      <x:c r="N1993" s="50" t="n">
        <x:v>17</x:v>
      </x:c>
      <x:c r="O1993" s="50" t="n">
        <x:v>147</x:v>
      </x:c>
      <x:c r="P1993" s="50" t="n">
        <x:v>17</x:v>
      </x:c>
    </x:row>
    <x:row r="1994" ht="36" customHeight="1">
      <x:c r="A1994" s="53" t="n">
        <x:v>1975</x:v>
      </x:c>
      <x:c r="B1994" s="53" t="n">
        <x:v>1</x:v>
      </x:c>
      <x:c r="C1994" s="40" t="str">
        <x:v>High-Value Frequent Shoppers</x:v>
      </x:c>
      <x:c r="D1994" s="60" t="n">
        <x:v>17548.27</x:v>
      </x:c>
      <x:c r="E1994" s="50" t="n">
        <x:v>363</x:v>
      </x:c>
      <x:c r="F1994" s="46" t="n">
        <x:v>15.782608695652172</x:v>
      </x:c>
      <x:c r="G1994" s="46" t="n">
        <x:v>1</x:v>
      </x:c>
      <x:c r="H1994" s="61" t="n">
        <x:v>48.34234159779614</x:v>
      </x:c>
      <x:c r="I1994" s="52" t="n">
        <x:v>0.8292011019283746</x:v>
      </x:c>
      <x:c r="J1994" s="52" t="n">
        <x:v>0.367149582266514</x:v>
      </x:c>
      <x:c r="K1994" s="60" t="n">
        <x:v>16173.58</x:v>
      </x:c>
      <x:c r="L1994" s="60" t="n">
        <x:v>1374.69</x:v>
      </x:c>
      <x:c r="M1994" s="50" t="n">
        <x:v>301</x:v>
      </x:c>
      <x:c r="N1994" s="50" t="n">
        <x:v>62</x:v>
      </x:c>
      <x:c r="O1994" s="50" t="n">
        <x:v>214</x:v>
      </x:c>
      <x:c r="P1994" s="50" t="n">
        <x:v>23</x:v>
      </x:c>
    </x:row>
    <x:row r="1995" ht="36" customHeight="1">
      <x:c r="A1995" s="53" t="n">
        <x:v>1976</x:v>
      </x:c>
      <x:c r="B1995" s="53" t="n">
        <x:v>1</x:v>
      </x:c>
      <x:c r="C1995" s="40" t="str">
        <x:v>High-Value Frequent Shoppers</x:v>
      </x:c>
      <x:c r="D1995" s="60" t="n">
        <x:v>3546.81</x:v>
      </x:c>
      <x:c r="E1995" s="50" t="n">
        <x:v>165</x:v>
      </x:c>
      <x:c r="F1995" s="46" t="n">
        <x:v>7.5</x:v>
      </x:c>
      <x:c r="G1995" s="46" t="n">
        <x:v>1</x:v>
      </x:c>
      <x:c r="H1995" s="61" t="n">
        <x:v>21.49581818181818</x:v>
      </x:c>
      <x:c r="I1995" s="52" t="n">
        <x:v>0.7818181818181817</x:v>
      </x:c>
      <x:c r="J1995" s="52" t="n">
        <x:v>0.379340872502333</x:v>
      </x:c>
      <x:c r="K1995" s="60" t="n">
        <x:v>3205.8</x:v>
      </x:c>
      <x:c r="L1995" s="60" t="n">
        <x:v>341.01</x:v>
      </x:c>
      <x:c r="M1995" s="50" t="n">
        <x:v>129</x:v>
      </x:c>
      <x:c r="N1995" s="50" t="n">
        <x:v>36</x:v>
      </x:c>
      <x:c r="O1995" s="50" t="n">
        <x:v>161</x:v>
      </x:c>
      <x:c r="P1995" s="50" t="n">
        <x:v>22</x:v>
      </x:c>
    </x:row>
    <x:row r="1996" ht="36" customHeight="1">
      <x:c r="A1996" s="53" t="n">
        <x:v>1977</x:v>
      </x:c>
      <x:c r="B1996" s="53" t="n">
        <x:v>3</x:v>
      </x:c>
      <x:c r="C1996" s="40" t="str">
        <x:v>Low-Value Low-Engagement Shoppers</x:v>
      </x:c>
      <x:c r="D1996" s="60" t="n">
        <x:v>357.99</x:v>
      </x:c>
      <x:c r="E1996" s="50" t="n">
        <x:v>30</x:v>
      </x:c>
      <x:c r="F1996" s="46" t="n">
        <x:v>2.142857142857143</x:v>
      </x:c>
      <x:c r="G1996" s="46" t="n">
        <x:v>71</x:v>
      </x:c>
      <x:c r="H1996" s="61" t="n">
        <x:v>11.933</x:v>
      </x:c>
      <x:c r="I1996" s="52" t="n">
        <x:v>0.7333333333333333</x:v>
      </x:c>
      <x:c r="J1996" s="52" t="n">
        <x:v>0.5666359395513841</x:v>
      </x:c>
      <x:c r="K1996" s="60" t="n">
        <x:v>271.59</x:v>
      </x:c>
      <x:c r="L1996" s="60" t="n">
        <x:v>86.4</x:v>
      </x:c>
      <x:c r="M1996" s="50" t="n">
        <x:v>22</x:v>
      </x:c>
      <x:c r="N1996" s="50" t="n">
        <x:v>8</x:v>
      </x:c>
      <x:c r="O1996" s="50" t="n">
        <x:v>41</x:v>
      </x:c>
      <x:c r="P1996" s="50" t="n">
        <x:v>14</x:v>
      </x:c>
    </x:row>
    <x:row r="1997" ht="36" customHeight="1">
      <x:c r="A1997" s="53" t="n">
        <x:v>1978</x:v>
      </x:c>
      <x:c r="B1997" s="53" t="n">
        <x:v>1</x:v>
      </x:c>
      <x:c r="C1997" s="40" t="str">
        <x:v>High-Value Frequent Shoppers</x:v>
      </x:c>
      <x:c r="D1997" s="60" t="n">
        <x:v>1459.68</x:v>
      </x:c>
      <x:c r="E1997" s="50" t="n">
        <x:v>89</x:v>
      </x:c>
      <x:c r="F1997" s="46" t="n">
        <x:v>4.045454545454546</x:v>
      </x:c>
      <x:c r="G1997" s="46" t="n">
        <x:v>1</x:v>
      </x:c>
      <x:c r="H1997" s="61" t="n">
        <x:v>16.400898876404494</x:v>
      </x:c>
      <x:c r="I1997" s="52" t="n">
        <x:v>0.7865168539325842</x:v>
      </x:c>
      <x:c r="J1997" s="52" t="n">
        <x:v>0.4947591252877342</x:v>
      </x:c>
      <x:c r="K1997" s="60" t="n">
        <x:v>1290.07</x:v>
      </x:c>
      <x:c r="L1997" s="60" t="n">
        <x:v>169.61</x:v>
      </x:c>
      <x:c r="M1997" s="50" t="n">
        <x:v>70</x:v>
      </x:c>
      <x:c r="N1997" s="50" t="n">
        <x:v>19</x:v>
      </x:c>
      <x:c r="O1997" s="50" t="n">
        <x:v>111</x:v>
      </x:c>
      <x:c r="P1997" s="50" t="n">
        <x:v>22</x:v>
      </x:c>
    </x:row>
    <x:row r="1998" ht="36" customHeight="1">
      <x:c r="A1998" s="53" t="n">
        <x:v>1979</x:v>
      </x:c>
      <x:c r="B1998" s="53" t="n">
        <x:v>3</x:v>
      </x:c>
      <x:c r="C1998" s="40" t="str">
        <x:v>Low-Value Low-Engagement Shoppers</x:v>
      </x:c>
      <x:c r="D1998" s="60" t="n">
        <x:v>1146.67</x:v>
      </x:c>
      <x:c r="E1998" s="50" t="n">
        <x:v>101</x:v>
      </x:c>
      <x:c r="F1998" s="46" t="n">
        <x:v>4.391304347826087</x:v>
      </x:c>
      <x:c r="G1998" s="46" t="n">
        <x:v>3</x:v>
      </x:c>
      <x:c r="H1998" s="61" t="n">
        <x:v>11.353168316831685</x:v>
      </x:c>
      <x:c r="I1998" s="52" t="n">
        <x:v>0.7524752475247524</x:v>
      </x:c>
      <x:c r="J1998" s="52" t="n">
        <x:v>0.5456582975049491</x:v>
      </x:c>
      <x:c r="K1998" s="60" t="n">
        <x:v>956.37</x:v>
      </x:c>
      <x:c r="L1998" s="60" t="n">
        <x:v>190.3</x:v>
      </x:c>
      <x:c r="M1998" s="50" t="n">
        <x:v>76</x:v>
      </x:c>
      <x:c r="N1998" s="50" t="n">
        <x:v>25</x:v>
      </x:c>
      <x:c r="O1998" s="50" t="n">
        <x:v>78</x:v>
      </x:c>
      <x:c r="P1998" s="50" t="n">
        <x:v>23</x:v>
      </x:c>
    </x:row>
    <x:row r="1999" ht="36" customHeight="1">
      <x:c r="A1999" s="53" t="n">
        <x:v>1980</x:v>
      </x:c>
      <x:c r="B1999" s="53" t="n">
        <x:v>2</x:v>
      </x:c>
      <x:c r="C1999" s="40" t="str">
        <x:v>Large-Basket Occasional Shoppers</x:v>
      </x:c>
      <x:c r="D1999" s="60" t="n">
        <x:v>4443.15</x:v>
      </x:c>
      <x:c r="E1999" s="50" t="n">
        <x:v>54</x:v>
      </x:c>
      <x:c r="F1999" s="46" t="n">
        <x:v>2.571428571428572</x:v>
      </x:c>
      <x:c r="G1999" s="46" t="n">
        <x:v>49</x:v>
      </x:c>
      <x:c r="H1999" s="61" t="n">
        <x:v>82.28055555555555</x:v>
      </x:c>
      <x:c r="I1999" s="52" t="n">
        <x:v>1</x:v>
      </x:c>
      <x:c r="J1999" s="52" t="n">
        <x:v>0.5188818743459032</x:v>
      </x:c>
      <x:c r="K1999" s="60" t="n">
        <x:v>4443.15</x:v>
      </x:c>
      <x:c r="L1999" s="60" t="n">
        <x:v>0</x:v>
      </x:c>
      <x:c r="M1999" s="50" t="n">
        <x:v>54</x:v>
      </x:c>
      <x:c r="N1999" s="50" t="n">
        <x:v>0</x:v>
      </x:c>
      <x:c r="O1999" s="50" t="n">
        <x:v>155</x:v>
      </x:c>
      <x:c r="P1999" s="50" t="n">
        <x:v>21</x:v>
      </x:c>
    </x:row>
    <x:row r="2000" ht="36" customHeight="1">
      <x:c r="A2000" s="53" t="n">
        <x:v>1981</x:v>
      </x:c>
      <x:c r="B2000" s="53" t="n">
        <x:v>1</x:v>
      </x:c>
      <x:c r="C2000" s="40" t="str">
        <x:v>High-Value Frequent Shoppers</x:v>
      </x:c>
      <x:c r="D2000" s="60" t="n">
        <x:v>1450.68</x:v>
      </x:c>
      <x:c r="E2000" s="50" t="n">
        <x:v>100</x:v>
      </x:c>
      <x:c r="F2000" s="46" t="n">
        <x:v>4.545454545454546</x:v>
      </x:c>
      <x:c r="G2000" s="46" t="n">
        <x:v>0</x:v>
      </x:c>
      <x:c r="H2000" s="61" t="n">
        <x:v>14.5068</x:v>
      </x:c>
      <x:c r="I2000" s="52" t="n">
        <x:v>0.84</x:v>
      </x:c>
      <x:c r="J2000" s="52" t="n">
        <x:v>0.58488433010726</x:v>
      </x:c>
      <x:c r="K2000" s="60" t="n">
        <x:v>1341.23</x:v>
      </x:c>
      <x:c r="L2000" s="60" t="n">
        <x:v>109.45</x:v>
      </x:c>
      <x:c r="M2000" s="50" t="n">
        <x:v>84</x:v>
      </x:c>
      <x:c r="N2000" s="50" t="n">
        <x:v>16</x:v>
      </x:c>
      <x:c r="O2000" s="50" t="n">
        <x:v>100</x:v>
      </x:c>
      <x:c r="P2000" s="50" t="n">
        <x:v>22</x:v>
      </x:c>
    </x:row>
    <x:row r="2001" ht="36" customHeight="1">
      <x:c r="A2001" s="53" t="n">
        <x:v>1982</x:v>
      </x:c>
      <x:c r="B2001" s="53" t="n">
        <x:v>1</x:v>
      </x:c>
      <x:c r="C2001" s="40" t="str">
        <x:v>High-Value Frequent Shoppers</x:v>
      </x:c>
      <x:c r="D2001" s="60" t="n">
        <x:v>4213.85</x:v>
      </x:c>
      <x:c r="E2001" s="50" t="n">
        <x:v>160</x:v>
      </x:c>
      <x:c r="F2001" s="46" t="n">
        <x:v>9.411764705882351</x:v>
      </x:c>
      <x:c r="G2001" s="46" t="n">
        <x:v>0</x:v>
      </x:c>
      <x:c r="H2001" s="61" t="n">
        <x:v>26.3365625</x:v>
      </x:c>
      <x:c r="I2001" s="52" t="n">
        <x:v>0.9125</x:v>
      </x:c>
      <x:c r="J2001" s="52" t="n">
        <x:v>0.542276065830535</x:v>
      </x:c>
      <x:c r="K2001" s="60" t="n">
        <x:v>4114.44</x:v>
      </x:c>
      <x:c r="L2001" s="60" t="n">
        <x:v>99.41</x:v>
      </x:c>
      <x:c r="M2001" s="50" t="n">
        <x:v>146</x:v>
      </x:c>
      <x:c r="N2001" s="50" t="n">
        <x:v>14</x:v>
      </x:c>
      <x:c r="O2001" s="50" t="n">
        <x:v>112</x:v>
      </x:c>
      <x:c r="P2001" s="50" t="n">
        <x:v>17</x:v>
      </x:c>
    </x:row>
    <x:row r="2002" ht="36" customHeight="1">
      <x:c r="A2002" s="53" t="n">
        <x:v>1983</x:v>
      </x:c>
      <x:c r="B2002" s="53" t="n">
        <x:v>2</x:v>
      </x:c>
      <x:c r="C2002" s="40" t="str">
        <x:v>Large-Basket Occasional Shoppers</x:v>
      </x:c>
      <x:c r="D2002" s="60" t="n">
        <x:v>2497.9</x:v>
      </x:c>
      <x:c r="E2002" s="50" t="n">
        <x:v>38</x:v>
      </x:c>
      <x:c r="F2002" s="46" t="n">
        <x:v>2.235294117647059</x:v>
      </x:c>
      <x:c r="G2002" s="46" t="n">
        <x:v>7</x:v>
      </x:c>
      <x:c r="H2002" s="61" t="n">
        <x:v>65.73421052631578</x:v>
      </x:c>
      <x:c r="I2002" s="52" t="n">
        <x:v>0.8684210526315789</x:v>
      </x:c>
      <x:c r="J2002" s="52" t="n">
        <x:v>0.3887425437367388</x:v>
      </x:c>
      <x:c r="K2002" s="60" t="n">
        <x:v>2411.08</x:v>
      </x:c>
      <x:c r="L2002" s="60" t="n">
        <x:v>86.82</x:v>
      </x:c>
      <x:c r="M2002" s="50" t="n">
        <x:v>33</x:v>
      </x:c>
      <x:c r="N2002" s="50" t="n">
        <x:v>5</x:v>
      </x:c>
      <x:c r="O2002" s="50" t="n">
        <x:v>139</x:v>
      </x:c>
      <x:c r="P2002" s="50" t="n">
        <x:v>17</x:v>
      </x:c>
    </x:row>
    <x:row r="2003" ht="36" customHeight="1">
      <x:c r="A2003" s="53" t="n">
        <x:v>1984</x:v>
      </x:c>
      <x:c r="B2003" s="53" t="n">
        <x:v>3</x:v>
      </x:c>
      <x:c r="C2003" s="40" t="str">
        <x:v>Low-Value Low-Engagement Shoppers</x:v>
      </x:c>
      <x:c r="D2003" s="60" t="n">
        <x:v>38.94</x:v>
      </x:c>
      <x:c r="E2003" s="50" t="n">
        <x:v>3</x:v>
      </x:c>
      <x:c r="F2003" s="46" t="n">
        <x:v>1.5</x:v>
      </x:c>
      <x:c r="G2003" s="46" t="n">
        <x:v>66</x:v>
      </x:c>
      <x:c r="H2003" s="61" t="n">
        <x:v>12.98</x:v>
      </x:c>
      <x:c r="I2003" s="52" t="n">
        <x:v>1</x:v>
      </x:c>
      <x:c r="J2003" s="52" t="n">
        <x:v>0.3623523369286081</x:v>
      </x:c>
      <x:c r="K2003" s="60" t="n">
        <x:v>38.94</x:v>
      </x:c>
      <x:c r="L2003" s="60" t="n">
        <x:v>0</x:v>
      </x:c>
      <x:c r="M2003" s="50" t="n">
        <x:v>3</x:v>
      </x:c>
      <x:c r="N2003" s="50" t="n">
        <x:v>0</x:v>
      </x:c>
      <x:c r="O2003" s="50" t="n">
        <x:v>9</x:v>
      </x:c>
      <x:c r="P2003" s="50" t="n">
        <x:v>2</x:v>
      </x:c>
    </x:row>
    <x:row r="2004" ht="36" customHeight="1">
      <x:c r="A2004" s="53" t="n">
        <x:v>1985</x:v>
      </x:c>
      <x:c r="B2004" s="53" t="n">
        <x:v>1</x:v>
      </x:c>
      <x:c r="C2004" s="40" t="str">
        <x:v>High-Value Frequent Shoppers</x:v>
      </x:c>
      <x:c r="D2004" s="60" t="n">
        <x:v>8605.36</x:v>
      </x:c>
      <x:c r="E2004" s="50" t="n">
        <x:v>156</x:v>
      </x:c>
      <x:c r="F2004" s="46" t="n">
        <x:v>6.782608695652174</x:v>
      </x:c>
      <x:c r="G2004" s="46" t="n">
        <x:v>0</x:v>
      </x:c>
      <x:c r="H2004" s="61" t="n">
        <x:v>55.1625641025641</x:v>
      </x:c>
      <x:c r="I2004" s="52" t="n">
        <x:v>0.903846153846154</x:v>
      </x:c>
      <x:c r="J2004" s="52" t="n">
        <x:v>0.486321316016994</x:v>
      </x:c>
      <x:c r="K2004" s="60" t="n">
        <x:v>8460.92</x:v>
      </x:c>
      <x:c r="L2004" s="60" t="n">
        <x:v>144.44</x:v>
      </x:c>
      <x:c r="M2004" s="50" t="n">
        <x:v>141</x:v>
      </x:c>
      <x:c r="N2004" s="50" t="n">
        <x:v>15</x:v>
      </x:c>
      <x:c r="O2004" s="50" t="n">
        <x:v>169</x:v>
      </x:c>
      <x:c r="P2004" s="50" t="n">
        <x:v>23</x:v>
      </x:c>
    </x:row>
    <x:row r="2005" ht="36" customHeight="1">
      <x:c r="A2005" s="53" t="n">
        <x:v>1986</x:v>
      </x:c>
      <x:c r="B2005" s="53" t="n">
        <x:v>3</x:v>
      </x:c>
      <x:c r="C2005" s="40" t="str">
        <x:v>Low-Value Low-Engagement Shoppers</x:v>
      </x:c>
      <x:c r="D2005" s="60" t="n">
        <x:v>230.06</x:v>
      </x:c>
      <x:c r="E2005" s="50" t="n">
        <x:v>12</x:v>
      </x:c>
      <x:c r="F2005" s="46" t="n">
        <x:v>1.2</x:v>
      </x:c>
      <x:c r="G2005" s="46" t="n">
        <x:v>74</x:v>
      </x:c>
      <x:c r="H2005" s="61" t="n">
        <x:v>19.171666666666663</x:v>
      </x:c>
      <x:c r="I2005" s="52" t="n">
        <x:v>0.8333333333333333</x:v>
      </x:c>
      <x:c r="J2005" s="52" t="n">
        <x:v>0.5263844214552725</x:v>
      </x:c>
      <x:c r="K2005" s="60" t="n">
        <x:v>190.9</x:v>
      </x:c>
      <x:c r="L2005" s="60" t="n">
        <x:v>39.16</x:v>
      </x:c>
      <x:c r="M2005" s="50" t="n">
        <x:v>10</x:v>
      </x:c>
      <x:c r="N2005" s="50" t="n">
        <x:v>2</x:v>
      </x:c>
      <x:c r="O2005" s="50" t="n">
        <x:v>58</x:v>
      </x:c>
      <x:c r="P2005" s="50" t="n">
        <x:v>10</x:v>
      </x:c>
    </x:row>
    <x:row r="2006" ht="36" customHeight="1">
      <x:c r="A2006" s="53" t="n">
        <x:v>1987</x:v>
      </x:c>
      <x:c r="B2006" s="53" t="n">
        <x:v>2</x:v>
      </x:c>
      <x:c r="C2006" s="40" t="str">
        <x:v>Large-Basket Occasional Shoppers</x:v>
      </x:c>
      <x:c r="D2006" s="60" t="n">
        <x:v>1973.54</x:v>
      </x:c>
      <x:c r="E2006" s="50" t="n">
        <x:v>76</x:v>
      </x:c>
      <x:c r="F2006" s="46" t="n">
        <x:v>3.619047619047619</x:v>
      </x:c>
      <x:c r="G2006" s="46" t="n">
        <x:v>4</x:v>
      </x:c>
      <x:c r="H2006" s="61" t="n">
        <x:v>25.96763157894737</x:v>
      </x:c>
      <x:c r="I2006" s="52" t="n">
        <x:v>0.9473684210526316</x:v>
      </x:c>
      <x:c r="J2006" s="52" t="n">
        <x:v>0.6453175512024077</x:v>
      </x:c>
      <x:c r="K2006" s="60" t="n">
        <x:v>1949.23</x:v>
      </x:c>
      <x:c r="L2006" s="60" t="n">
        <x:v>24.31</x:v>
      </x:c>
      <x:c r="M2006" s="50" t="n">
        <x:v>72</x:v>
      </x:c>
      <x:c r="N2006" s="50" t="n">
        <x:v>4</x:v>
      </x:c>
      <x:c r="O2006" s="50" t="n">
        <x:v>149</x:v>
      </x:c>
      <x:c r="P2006" s="50" t="n">
        <x:v>21</x:v>
      </x:c>
    </x:row>
    <x:row r="2007" ht="36" customHeight="1">
      <x:c r="A2007" s="53" t="n">
        <x:v>1988</x:v>
      </x:c>
      <x:c r="B2007" s="53" t="n">
        <x:v>1</x:v>
      </x:c>
      <x:c r="C2007" s="40" t="str">
        <x:v>High-Value Frequent Shoppers</x:v>
      </x:c>
      <x:c r="D2007" s="60" t="n">
        <x:v>7907.93</x:v>
      </x:c>
      <x:c r="E2007" s="50" t="n">
        <x:v>184</x:v>
      </x:c>
      <x:c r="F2007" s="46" t="n">
        <x:v>8.363636363636363</x:v>
      </x:c>
      <x:c r="G2007" s="46" t="n">
        <x:v>7</x:v>
      </x:c>
      <x:c r="H2007" s="61" t="n">
        <x:v>42.977880434782605</x:v>
      </x:c>
      <x:c r="I2007" s="52" t="n">
        <x:v>0.8097826086956521</x:v>
      </x:c>
      <x:c r="J2007" s="52" t="n">
        <x:v>0.5838822549010929</x:v>
      </x:c>
      <x:c r="K2007" s="60" t="n">
        <x:v>7567.22</x:v>
      </x:c>
      <x:c r="L2007" s="60" t="n">
        <x:v>340.71</x:v>
      </x:c>
      <x:c r="M2007" s="50" t="n">
        <x:v>149</x:v>
      </x:c>
      <x:c r="N2007" s="50" t="n">
        <x:v>35</x:v>
      </x:c>
      <x:c r="O2007" s="50" t="n">
        <x:v>157</x:v>
      </x:c>
      <x:c r="P2007" s="50" t="n">
        <x:v>22</x:v>
      </x:c>
    </x:row>
    <x:row r="2008" ht="36" customHeight="1">
      <x:c r="A2008" s="53" t="n">
        <x:v>1989</x:v>
      </x:c>
      <x:c r="B2008" s="53" t="n">
        <x:v>1</x:v>
      </x:c>
      <x:c r="C2008" s="40" t="str">
        <x:v>High-Value Frequent Shoppers</x:v>
      </x:c>
      <x:c r="D2008" s="60" t="n">
        <x:v>3052.87</x:v>
      </x:c>
      <x:c r="E2008" s="50" t="n">
        <x:v>152</x:v>
      </x:c>
      <x:c r="F2008" s="46" t="n">
        <x:v>6.909090909090909</x:v>
      </x:c>
      <x:c r="G2008" s="46" t="n">
        <x:v>4</x:v>
      </x:c>
      <x:c r="H2008" s="61" t="n">
        <x:v>20.084671052631577</x:v>
      </x:c>
      <x:c r="I2008" s="52" t="n">
        <x:v>0.9605263157894736</x:v>
      </x:c>
      <x:c r="J2008" s="52" t="n">
        <x:v>0.5776466079459655</x:v>
      </x:c>
      <x:c r="K2008" s="60" t="n">
        <x:v>3011.08</x:v>
      </x:c>
      <x:c r="L2008" s="60" t="n">
        <x:v>41.79</x:v>
      </x:c>
      <x:c r="M2008" s="50" t="n">
        <x:v>146</x:v>
      </x:c>
      <x:c r="N2008" s="50" t="n">
        <x:v>6</x:v>
      </x:c>
      <x:c r="O2008" s="50" t="n">
        <x:v>112</x:v>
      </x:c>
      <x:c r="P2008" s="50" t="n">
        <x:v>22</x:v>
      </x:c>
    </x:row>
    <x:row r="2009" ht="36" customHeight="1">
      <x:c r="A2009" s="53" t="n">
        <x:v>1990</x:v>
      </x:c>
      <x:c r="B2009" s="53" t="n">
        <x:v>1</x:v>
      </x:c>
      <x:c r="C2009" s="40" t="str">
        <x:v>High-Value Frequent Shoppers</x:v>
      </x:c>
      <x:c r="D2009" s="60" t="n">
        <x:v>4593.26</x:v>
      </x:c>
      <x:c r="E2009" s="50" t="n">
        <x:v>131</x:v>
      </x:c>
      <x:c r="F2009" s="46" t="n">
        <x:v>5.954545454545455</x:v>
      </x:c>
      <x:c r="G2009" s="46" t="n">
        <x:v>9</x:v>
      </x:c>
      <x:c r="H2009" s="61" t="n">
        <x:v>35.063053435114504</x:v>
      </x:c>
      <x:c r="I2009" s="52" t="n">
        <x:v>0.8702290076335877</x:v>
      </x:c>
      <x:c r="J2009" s="52" t="n">
        <x:v>0.6334672977362483</x:v>
      </x:c>
      <x:c r="K2009" s="60" t="n">
        <x:v>4419.33</x:v>
      </x:c>
      <x:c r="L2009" s="60" t="n">
        <x:v>173.93</x:v>
      </x:c>
      <x:c r="M2009" s="50" t="n">
        <x:v>114</x:v>
      </x:c>
      <x:c r="N2009" s="50" t="n">
        <x:v>17</x:v>
      </x:c>
      <x:c r="O2009" s="50" t="n">
        <x:v>128</x:v>
      </x:c>
      <x:c r="P2009" s="50" t="n">
        <x:v>22</x:v>
      </x:c>
    </x:row>
    <x:row r="2010" ht="36" customHeight="1">
      <x:c r="A2010" s="53" t="n">
        <x:v>1991</x:v>
      </x:c>
      <x:c r="B2010" s="53" t="n">
        <x:v>3</x:v>
      </x:c>
      <x:c r="C2010" s="40" t="str">
        <x:v>Low-Value Low-Engagement Shoppers</x:v>
      </x:c>
      <x:c r="D2010" s="60" t="n">
        <x:v>320.14</x:v>
      </x:c>
      <x:c r="E2010" s="50" t="n">
        <x:v>45</x:v>
      </x:c>
      <x:c r="F2010" s="46" t="n">
        <x:v>2.5</x:v>
      </x:c>
      <x:c r="G2010" s="46" t="n">
        <x:v>2</x:v>
      </x:c>
      <x:c r="H2010" s="61" t="n">
        <x:v>7.114222222222223</x:v>
      </x:c>
      <x:c r="I2010" s="52" t="n">
        <x:v>0.6444444444444444</x:v>
      </x:c>
      <x:c r="J2010" s="52" t="n">
        <x:v>0.419160367339289</x:v>
      </x:c>
      <x:c r="K2010" s="60" t="n">
        <x:v>221.33</x:v>
      </x:c>
      <x:c r="L2010" s="60" t="n">
        <x:v>98.81</x:v>
      </x:c>
      <x:c r="M2010" s="50" t="n">
        <x:v>29</x:v>
      </x:c>
      <x:c r="N2010" s="50" t="n">
        <x:v>16</x:v>
      </x:c>
      <x:c r="O2010" s="50" t="n">
        <x:v>40</x:v>
      </x:c>
      <x:c r="P2010" s="50" t="n">
        <x:v>18</x:v>
      </x:c>
    </x:row>
    <x:row r="2011" ht="36" customHeight="1">
      <x:c r="A2011" s="53" t="n">
        <x:v>1992</x:v>
      </x:c>
      <x:c r="B2011" s="53" t="n">
        <x:v>3</x:v>
      </x:c>
      <x:c r="C2011" s="40" t="str">
        <x:v>Low-Value Low-Engagement Shoppers</x:v>
      </x:c>
      <x:c r="D2011" s="60" t="n">
        <x:v>528.65</x:v>
      </x:c>
      <x:c r="E2011" s="50" t="n">
        <x:v>30</x:v>
      </x:c>
      <x:c r="F2011" s="46" t="n">
        <x:v>1.6666666666666667</x:v>
      </x:c>
      <x:c r="G2011" s="46" t="n">
        <x:v>27</x:v>
      </x:c>
      <x:c r="H2011" s="61" t="n">
        <x:v>17.621666666666666</x:v>
      </x:c>
      <x:c r="I2011" s="52" t="n">
        <x:v>0.6666666666666666</x:v>
      </x:c>
      <x:c r="J2011" s="52" t="n">
        <x:v>0.5359311453702827</x:v>
      </x:c>
      <x:c r="K2011" s="60" t="n">
        <x:v>432.06</x:v>
      </x:c>
      <x:c r="L2011" s="60" t="n">
        <x:v>96.59</x:v>
      </x:c>
      <x:c r="M2011" s="50" t="n">
        <x:v>20</x:v>
      </x:c>
      <x:c r="N2011" s="50" t="n">
        <x:v>10</x:v>
      </x:c>
      <x:c r="O2011" s="50" t="n">
        <x:v>57</x:v>
      </x:c>
      <x:c r="P2011" s="50" t="n">
        <x:v>18</x:v>
      </x:c>
    </x:row>
    <x:row r="2012" ht="36" customHeight="1">
      <x:c r="A2012" s="53" t="n">
        <x:v>1993</x:v>
      </x:c>
      <x:c r="B2012" s="53" t="n">
        <x:v>2</x:v>
      </x:c>
      <x:c r="C2012" s="40" t="str">
        <x:v>Large-Basket Occasional Shoppers</x:v>
      </x:c>
      <x:c r="D2012" s="60" t="n">
        <x:v>1359.33</x:v>
      </x:c>
      <x:c r="E2012" s="50" t="n">
        <x:v>82</x:v>
      </x:c>
      <x:c r="F2012" s="46" t="n">
        <x:v>4.1</x:v>
      </x:c>
      <x:c r="G2012" s="46" t="n">
        <x:v>19</x:v>
      </x:c>
      <x:c r="H2012" s="61" t="n">
        <x:v>16.57719512195122</x:v>
      </x:c>
      <x:c r="I2012" s="52" t="n">
        <x:v>0.8658536585365852</x:v>
      </x:c>
      <x:c r="J2012" s="52" t="n">
        <x:v>0.6452958442762243</x:v>
      </x:c>
      <x:c r="K2012" s="60" t="n">
        <x:v>1291.06</x:v>
      </x:c>
      <x:c r="L2012" s="60" t="n">
        <x:v>68.27</x:v>
      </x:c>
      <x:c r="M2012" s="50" t="n">
        <x:v>71</x:v>
      </x:c>
      <x:c r="N2012" s="50" t="n">
        <x:v>11</x:v>
      </x:c>
      <x:c r="O2012" s="50" t="n">
        <x:v>113</x:v>
      </x:c>
      <x:c r="P2012" s="50" t="n">
        <x:v>20</x:v>
      </x:c>
    </x:row>
    <x:row r="2013" ht="36" customHeight="1">
      <x:c r="A2013" s="53" t="n">
        <x:v>1994</x:v>
      </x:c>
      <x:c r="B2013" s="53" t="n">
        <x:v>2</x:v>
      </x:c>
      <x:c r="C2013" s="40" t="str">
        <x:v>Large-Basket Occasional Shoppers</x:v>
      </x:c>
      <x:c r="D2013" s="60" t="n">
        <x:v>1069</x:v>
      </x:c>
      <x:c r="E2013" s="50" t="n">
        <x:v>43</x:v>
      </x:c>
      <x:c r="F2013" s="46" t="n">
        <x:v>2.263157894736842</x:v>
      </x:c>
      <x:c r="G2013" s="46" t="n">
        <x:v>0</x:v>
      </x:c>
      <x:c r="H2013" s="61" t="n">
        <x:v>24.86046511627907</x:v>
      </x:c>
      <x:c r="I2013" s="52" t="n">
        <x:v>0.7674418604651162</x:v>
      </x:c>
      <x:c r="J2013" s="52" t="n">
        <x:v>0.4773620205799812</x:v>
      </x:c>
      <x:c r="K2013" s="60" t="n">
        <x:v>994.18</x:v>
      </x:c>
      <x:c r="L2013" s="60" t="n">
        <x:v>74.82</x:v>
      </x:c>
      <x:c r="M2013" s="50" t="n">
        <x:v>33</x:v>
      </x:c>
      <x:c r="N2013" s="50" t="n">
        <x:v>10</x:v>
      </x:c>
      <x:c r="O2013" s="50" t="n">
        <x:v>99</x:v>
      </x:c>
      <x:c r="P2013" s="50" t="n">
        <x:v>19</x:v>
      </x:c>
    </x:row>
    <x:row r="2014" ht="36" customHeight="1">
      <x:c r="A2014" s="53" t="n">
        <x:v>1995</x:v>
      </x:c>
      <x:c r="B2014" s="53" t="n">
        <x:v>1</x:v>
      </x:c>
      <x:c r="C2014" s="40" t="str">
        <x:v>High-Value Frequent Shoppers</x:v>
      </x:c>
      <x:c r="D2014" s="60" t="n">
        <x:v>15332.43</x:v>
      </x:c>
      <x:c r="E2014" s="50" t="n">
        <x:v>153</x:v>
      </x:c>
      <x:c r="F2014" s="46" t="n">
        <x:v>7.285714285714285</x:v>
      </x:c>
      <x:c r="G2014" s="46" t="n">
        <x:v>0</x:v>
      </x:c>
      <x:c r="H2014" s="61" t="n">
        <x:v>100.21196078431372</x:v>
      </x:c>
      <x:c r="I2014" s="52" t="n">
        <x:v>0.9738562091503268</x:v>
      </x:c>
      <x:c r="J2014" s="52" t="n">
        <x:v>0.5208769907966317</x:v>
      </x:c>
      <x:c r="K2014" s="60" t="n">
        <x:v>15298.92</x:v>
      </x:c>
      <x:c r="L2014" s="60" t="n">
        <x:v>33.51</x:v>
      </x:c>
      <x:c r="M2014" s="50" t="n">
        <x:v>149</x:v>
      </x:c>
      <x:c r="N2014" s="50" t="n">
        <x:v>4</x:v>
      </x:c>
      <x:c r="O2014" s="50" t="n">
        <x:v>223</x:v>
      </x:c>
      <x:c r="P2014" s="50" t="n">
        <x:v>21</x:v>
      </x:c>
    </x:row>
    <x:row r="2015" ht="36" customHeight="1">
      <x:c r="A2015" s="53" t="n">
        <x:v>1996</x:v>
      </x:c>
      <x:c r="B2015" s="53" t="n">
        <x:v>1</x:v>
      </x:c>
      <x:c r="C2015" s="40" t="str">
        <x:v>High-Value Frequent Shoppers</x:v>
      </x:c>
      <x:c r="D2015" s="60" t="n">
        <x:v>2654.2</x:v>
      </x:c>
      <x:c r="E2015" s="50" t="n">
        <x:v>119</x:v>
      </x:c>
      <x:c r="F2015" s="46" t="n">
        <x:v>5.173913043478261</x:v>
      </x:c>
      <x:c r="G2015" s="46" t="n">
        <x:v>3</x:v>
      </x:c>
      <x:c r="H2015" s="61" t="n">
        <x:v>22.304201680672268</x:v>
      </x:c>
      <x:c r="I2015" s="52" t="n">
        <x:v>0.6890756302521008</x:v>
      </x:c>
      <x:c r="J2015" s="52" t="n">
        <x:v>0.3417037148670032</x:v>
      </x:c>
      <x:c r="K2015" s="60" t="n">
        <x:v>2179.43</x:v>
      </x:c>
      <x:c r="L2015" s="60" t="n">
        <x:v>474.77</x:v>
      </x:c>
      <x:c r="M2015" s="50" t="n">
        <x:v>82</x:v>
      </x:c>
      <x:c r="N2015" s="50" t="n">
        <x:v>37</x:v>
      </x:c>
      <x:c r="O2015" s="50" t="n">
        <x:v>117</x:v>
      </x:c>
      <x:c r="P2015" s="50" t="n">
        <x:v>23</x:v>
      </x:c>
    </x:row>
    <x:row r="2016" ht="36" customHeight="1">
      <x:c r="A2016" s="53" t="n">
        <x:v>1997</x:v>
      </x:c>
      <x:c r="B2016" s="53" t="n">
        <x:v>1</x:v>
      </x:c>
      <x:c r="C2016" s="40" t="str">
        <x:v>High-Value Frequent Shoppers</x:v>
      </x:c>
      <x:c r="D2016" s="60" t="n">
        <x:v>4295.68</x:v>
      </x:c>
      <x:c r="E2016" s="50" t="n">
        <x:v>66</x:v>
      </x:c>
      <x:c r="F2016" s="46" t="n">
        <x:v>3.142857142857143</x:v>
      </x:c>
      <x:c r="G2016" s="46" t="n">
        <x:v>0</x:v>
      </x:c>
      <x:c r="H2016" s="61" t="n">
        <x:v>65.08606060606061</x:v>
      </x:c>
      <x:c r="I2016" s="52" t="n">
        <x:v>0.8939393939393939</x:v>
      </x:c>
      <x:c r="J2016" s="52" t="n">
        <x:v>0.3955718303039332</x:v>
      </x:c>
      <x:c r="K2016" s="60" t="n">
        <x:v>4164.19</x:v>
      </x:c>
      <x:c r="L2016" s="60" t="n">
        <x:v>131.49</x:v>
      </x:c>
      <x:c r="M2016" s="50" t="n">
        <x:v>59</x:v>
      </x:c>
      <x:c r="N2016" s="50" t="n">
        <x:v>7</x:v>
      </x:c>
      <x:c r="O2016" s="50" t="n">
        <x:v>149</x:v>
      </x:c>
      <x:c r="P2016" s="50" t="n">
        <x:v>21</x:v>
      </x:c>
    </x:row>
    <x:row r="2017" ht="36" customHeight="1">
      <x:c r="A2017" s="53" t="n">
        <x:v>1998</x:v>
      </x:c>
      <x:c r="B2017" s="53" t="n">
        <x:v>1</x:v>
      </x:c>
      <x:c r="C2017" s="40" t="str">
        <x:v>High-Value Frequent Shoppers</x:v>
      </x:c>
      <x:c r="D2017" s="60" t="n">
        <x:v>2383.54</x:v>
      </x:c>
      <x:c r="E2017" s="50" t="n">
        <x:v>331</x:v>
      </x:c>
      <x:c r="F2017" s="46" t="n">
        <x:v>15.045454545454543</x:v>
      </x:c>
      <x:c r="G2017" s="46" t="n">
        <x:v>4</x:v>
      </x:c>
      <x:c r="H2017" s="61" t="n">
        <x:v>7.201027190332327</x:v>
      </x:c>
      <x:c r="I2017" s="52" t="n">
        <x:v>0.8731117824773413</x:v>
      </x:c>
      <x:c r="J2017" s="52" t="n">
        <x:v>0.4846866425568691</x:v>
      </x:c>
      <x:c r="K2017" s="60" t="n">
        <x:v>2204.25</x:v>
      </x:c>
      <x:c r="L2017" s="60" t="n">
        <x:v>179.29</x:v>
      </x:c>
      <x:c r="M2017" s="50" t="n">
        <x:v>289</x:v>
      </x:c>
      <x:c r="N2017" s="50" t="n">
        <x:v>42</x:v>
      </x:c>
      <x:c r="O2017" s="50" t="n">
        <x:v>88</x:v>
      </x:c>
      <x:c r="P2017" s="50" t="n">
        <x:v>22</x:v>
      </x:c>
    </x:row>
    <x:row r="2018" ht="36" customHeight="1">
      <x:c r="A2018" s="53" t="n">
        <x:v>1999</x:v>
      </x:c>
      <x:c r="B2018" s="53" t="n">
        <x:v>3</x:v>
      </x:c>
      <x:c r="C2018" s="40" t="str">
        <x:v>Low-Value Low-Engagement Shoppers</x:v>
      </x:c>
      <x:c r="D2018" s="60" t="n">
        <x:v>783.33</x:v>
      </x:c>
      <x:c r="E2018" s="50" t="n">
        <x:v>52</x:v>
      </x:c>
      <x:c r="F2018" s="46" t="n">
        <x:v>3.058823529411765</x:v>
      </x:c>
      <x:c r="G2018" s="46" t="n">
        <x:v>0</x:v>
      </x:c>
      <x:c r="H2018" s="61" t="n">
        <x:v>15.06403846153846</x:v>
      </x:c>
      <x:c r="I2018" s="52" t="n">
        <x:v>0.8076923076923076</x:v>
      </x:c>
      <x:c r="J2018" s="52" t="n">
        <x:v>0.550802343839761</x:v>
      </x:c>
      <x:c r="K2018" s="60" t="n">
        <x:v>720.54</x:v>
      </x:c>
      <x:c r="L2018" s="60" t="n">
        <x:v>62.79</x:v>
      </x:c>
      <x:c r="M2018" s="50" t="n">
        <x:v>42</x:v>
      </x:c>
      <x:c r="N2018" s="50" t="n">
        <x:v>10</x:v>
      </x:c>
      <x:c r="O2018" s="50" t="n">
        <x:v>82</x:v>
      </x:c>
      <x:c r="P2018" s="50" t="n">
        <x:v>17</x:v>
      </x:c>
    </x:row>
    <x:row r="2019" ht="36" customHeight="1">
      <x:c r="A2019" s="53" t="n">
        <x:v>2000</x:v>
      </x:c>
      <x:c r="B2019" s="53" t="n">
        <x:v>3</x:v>
      </x:c>
      <x:c r="C2019" s="40" t="str">
        <x:v>Low-Value Low-Engagement Shoppers</x:v>
      </x:c>
      <x:c r="D2019" s="60" t="n">
        <x:v>552.29</x:v>
      </x:c>
      <x:c r="E2019" s="50" t="n">
        <x:v>61</x:v>
      </x:c>
      <x:c r="F2019" s="46" t="n">
        <x:v>2.9047619047619047</x:v>
      </x:c>
      <x:c r="G2019" s="46" t="n">
        <x:v>0</x:v>
      </x:c>
      <x:c r="H2019" s="61" t="n">
        <x:v>9.053934426229509</x:v>
      </x:c>
      <x:c r="I2019" s="52" t="n">
        <x:v>0.7540983606557377</x:v>
      </x:c>
      <x:c r="J2019" s="52" t="n">
        <x:v>0.5865939995292327</x:v>
      </x:c>
      <x:c r="K2019" s="60" t="n">
        <x:v>496.1</x:v>
      </x:c>
      <x:c r="L2019" s="60" t="n">
        <x:v>56.19</x:v>
      </x:c>
      <x:c r="M2019" s="50" t="n">
        <x:v>46</x:v>
      </x:c>
      <x:c r="N2019" s="50" t="n">
        <x:v>15</x:v>
      </x:c>
      <x:c r="O2019" s="50" t="n">
        <x:v>65</x:v>
      </x:c>
      <x:c r="P2019" s="50" t="n">
        <x:v>21</x:v>
      </x:c>
    </x:row>
    <x:row r="2020" ht="36" customHeight="1">
      <x:c r="A2020" s="53" t="n">
        <x:v>2001</x:v>
      </x:c>
      <x:c r="B2020" s="53" t="n">
        <x:v>2</x:v>
      </x:c>
      <x:c r="C2020" s="40" t="str">
        <x:v>Large-Basket Occasional Shoppers</x:v>
      </x:c>
      <x:c r="D2020" s="60" t="n">
        <x:v>1214.28</x:v>
      </x:c>
      <x:c r="E2020" s="50" t="n">
        <x:v>35</x:v>
      </x:c>
      <x:c r="F2020" s="46" t="n">
        <x:v>2.5</x:v>
      </x:c>
      <x:c r="G2020" s="46" t="n">
        <x:v>20</x:v>
      </x:c>
      <x:c r="H2020" s="61" t="n">
        <x:v>34.693714285714286</x:v>
      </x:c>
      <x:c r="I2020" s="52" t="n">
        <x:v>0.8857142857142857</x:v>
      </x:c>
      <x:c r="J2020" s="52" t="n">
        <x:v>0.6273758935336166</x:v>
      </x:c>
      <x:c r="K2020" s="60" t="n">
        <x:v>1172.35</x:v>
      </x:c>
      <x:c r="L2020" s="60" t="n">
        <x:v>41.93</x:v>
      </x:c>
      <x:c r="M2020" s="50" t="n">
        <x:v>31</x:v>
      </x:c>
      <x:c r="N2020" s="50" t="n">
        <x:v>4</x:v>
      </x:c>
      <x:c r="O2020" s="50" t="n">
        <x:v>114</x:v>
      </x:c>
      <x:c r="P2020" s="50" t="n">
        <x:v>14</x:v>
      </x:c>
    </x:row>
    <x:row r="2021" ht="36" customHeight="1">
      <x:c r="A2021" s="53" t="n">
        <x:v>2002</x:v>
      </x:c>
      <x:c r="B2021" s="53" t="n">
        <x:v>2</x:v>
      </x:c>
      <x:c r="C2021" s="40" t="str">
        <x:v>Large-Basket Occasional Shoppers</x:v>
      </x:c>
      <x:c r="D2021" s="60" t="n">
        <x:v>2465.12</x:v>
      </x:c>
      <x:c r="E2021" s="50" t="n">
        <x:v>63</x:v>
      </x:c>
      <x:c r="F2021" s="46" t="n">
        <x:v>3.15</x:v>
      </x:c>
      <x:c r="G2021" s="46" t="n">
        <x:v>24</x:v>
      </x:c>
      <x:c r="H2021" s="61" t="n">
        <x:v>39.12888888888889</x:v>
      </x:c>
      <x:c r="I2021" s="52" t="n">
        <x:v>0.8253968253968254</x:v>
      </x:c>
      <x:c r="J2021" s="52" t="n">
        <x:v>0.6559518400726942</x:v>
      </x:c>
      <x:c r="K2021" s="60" t="n">
        <x:v>2421.02</x:v>
      </x:c>
      <x:c r="L2021" s="60" t="n">
        <x:v>44.1</x:v>
      </x:c>
      <x:c r="M2021" s="50" t="n">
        <x:v>52</x:v>
      </x:c>
      <x:c r="N2021" s="50" t="n">
        <x:v>11</x:v>
      </x:c>
      <x:c r="O2021" s="50" t="n">
        <x:v>137</x:v>
      </x:c>
      <x:c r="P2021" s="50" t="n">
        <x:v>20</x:v>
      </x:c>
    </x:row>
    <x:row r="2022" ht="36" customHeight="1">
      <x:c r="A2022" s="53" t="n">
        <x:v>2003</x:v>
      </x:c>
      <x:c r="B2022" s="53" t="n">
        <x:v>2</x:v>
      </x:c>
      <x:c r="C2022" s="40" t="str">
        <x:v>Large-Basket Occasional Shoppers</x:v>
      </x:c>
      <x:c r="D2022" s="60" t="n">
        <x:v>1976.48</x:v>
      </x:c>
      <x:c r="E2022" s="50" t="n">
        <x:v>42</x:v>
      </x:c>
      <x:c r="F2022" s="46" t="n">
        <x:v>2.625</x:v>
      </x:c>
      <x:c r="G2022" s="46" t="n">
        <x:v>4</x:v>
      </x:c>
      <x:c r="H2022" s="61" t="n">
        <x:v>47.05904761904762</x:v>
      </x:c>
      <x:c r="I2022" s="52" t="n">
        <x:v>0.8571428571428571</x:v>
      </x:c>
      <x:c r="J2022" s="52" t="n">
        <x:v>0.4008186270541568</x:v>
      </x:c>
      <x:c r="K2022" s="60" t="n">
        <x:v>1930.86</x:v>
      </x:c>
      <x:c r="L2022" s="60" t="n">
        <x:v>45.62</x:v>
      </x:c>
      <x:c r="M2022" s="50" t="n">
        <x:v>36</x:v>
      </x:c>
      <x:c r="N2022" s="50" t="n">
        <x:v>6</x:v>
      </x:c>
      <x:c r="O2022" s="50" t="n">
        <x:v>140</x:v>
      </x:c>
      <x:c r="P2022" s="50" t="n">
        <x:v>16</x:v>
      </x:c>
    </x:row>
    <x:row r="2023" ht="36" customHeight="1">
      <x:c r="A2023" s="53" t="n">
        <x:v>2004</x:v>
      </x:c>
      <x:c r="B2023" s="53" t="n">
        <x:v>1</x:v>
      </x:c>
      <x:c r="C2023" s="40" t="str">
        <x:v>High-Value Frequent Shoppers</x:v>
      </x:c>
      <x:c r="D2023" s="60" t="n">
        <x:v>10053.87</x:v>
      </x:c>
      <x:c r="E2023" s="50" t="n">
        <x:v>248</x:v>
      </x:c>
      <x:c r="F2023" s="46" t="n">
        <x:v>11.272727272727272</x:v>
      </x:c>
      <x:c r="G2023" s="46" t="n">
        <x:v>0</x:v>
      </x:c>
      <x:c r="H2023" s="61" t="n">
        <x:v>40.539798387096766</x:v>
      </x:c>
      <x:c r="I2023" s="52" t="n">
        <x:v>0.907258064516129</x:v>
      </x:c>
      <x:c r="J2023" s="52" t="n">
        <x:v>0.439443716698147</x:v>
      </x:c>
      <x:c r="K2023" s="60" t="n">
        <x:v>9888.97</x:v>
      </x:c>
      <x:c r="L2023" s="60" t="n">
        <x:v>164.9</x:v>
      </x:c>
      <x:c r="M2023" s="50" t="n">
        <x:v>225</x:v>
      </x:c>
      <x:c r="N2023" s="50" t="n">
        <x:v>23</x:v>
      </x:c>
      <x:c r="O2023" s="50" t="n">
        <x:v>167</x:v>
      </x:c>
      <x:c r="P2023" s="50" t="n">
        <x:v>22</x:v>
      </x:c>
    </x:row>
    <x:row r="2024" ht="36" customHeight="1">
      <x:c r="A2024" s="53" t="n">
        <x:v>2005</x:v>
      </x:c>
      <x:c r="B2024" s="53" t="n">
        <x:v>2</x:v>
      </x:c>
      <x:c r="C2024" s="40" t="str">
        <x:v>Large-Basket Occasional Shoppers</x:v>
      </x:c>
      <x:c r="D2024" s="60" t="n">
        <x:v>1439.19</x:v>
      </x:c>
      <x:c r="E2024" s="50" t="n">
        <x:v>52</x:v>
      </x:c>
      <x:c r="F2024" s="46" t="n">
        <x:v>2.736842105263157</x:v>
      </x:c>
      <x:c r="G2024" s="46" t="n">
        <x:v>6</x:v>
      </x:c>
      <x:c r="H2024" s="61" t="n">
        <x:v>27.67673076923077</x:v>
      </x:c>
      <x:c r="I2024" s="52" t="n">
        <x:v>0.9807692307692308</x:v>
      </x:c>
      <x:c r="J2024" s="52" t="n">
        <x:v>0.5840090606521724</x:v>
      </x:c>
      <x:c r="K2024" s="60" t="n">
        <x:v>1430.65</x:v>
      </x:c>
      <x:c r="L2024" s="60" t="n">
        <x:v>8.54</x:v>
      </x:c>
      <x:c r="M2024" s="50" t="n">
        <x:v>51</x:v>
      </x:c>
      <x:c r="N2024" s="50" t="n">
        <x:v>1</x:v>
      </x:c>
      <x:c r="O2024" s="50" t="n">
        <x:v>109</x:v>
      </x:c>
      <x:c r="P2024" s="50" t="n">
        <x:v>19</x:v>
      </x:c>
    </x:row>
    <x:row r="2025" ht="36" customHeight="1">
      <x:c r="A2025" s="53" t="n">
        <x:v>2006</x:v>
      </x:c>
      <x:c r="B2025" s="53" t="n">
        <x:v>1</x:v>
      </x:c>
      <x:c r="C2025" s="40" t="str">
        <x:v>High-Value Frequent Shoppers</x:v>
      </x:c>
      <x:c r="D2025" s="60" t="n">
        <x:v>4873.24</x:v>
      </x:c>
      <x:c r="E2025" s="50" t="n">
        <x:v>110</x:v>
      </x:c>
      <x:c r="F2025" s="46" t="n">
        <x:v>4.583333333333333</x:v>
      </x:c>
      <x:c r="G2025" s="46" t="n">
        <x:v>0</x:v>
      </x:c>
      <x:c r="H2025" s="61" t="n">
        <x:v>44.302181818181815</x:v>
      </x:c>
      <x:c r="I2025" s="52" t="n">
        <x:v>0.9545454545454544</x:v>
      </x:c>
      <x:c r="J2025" s="52" t="n">
        <x:v>0.5791075342072214</x:v>
      </x:c>
      <x:c r="K2025" s="60" t="n">
        <x:v>4792.4</x:v>
      </x:c>
      <x:c r="L2025" s="60" t="n">
        <x:v>80.84</x:v>
      </x:c>
      <x:c r="M2025" s="50" t="n">
        <x:v>105</x:v>
      </x:c>
      <x:c r="N2025" s="50" t="n">
        <x:v>5</x:v>
      </x:c>
      <x:c r="O2025" s="50" t="n">
        <x:v>150</x:v>
      </x:c>
      <x:c r="P2025" s="50" t="n">
        <x:v>24</x:v>
      </x:c>
    </x:row>
    <x:row r="2026" ht="36" customHeight="1">
      <x:c r="A2026" s="53" t="n">
        <x:v>2007</x:v>
      </x:c>
      <x:c r="B2026" s="53" t="n">
        <x:v>1</x:v>
      </x:c>
      <x:c r="C2026" s="40" t="str">
        <x:v>High-Value Frequent Shoppers</x:v>
      </x:c>
      <x:c r="D2026" s="60" t="n">
        <x:v>8887.75</x:v>
      </x:c>
      <x:c r="E2026" s="50" t="n">
        <x:v>189</x:v>
      </x:c>
      <x:c r="F2026" s="46" t="n">
        <x:v>8.590909090909092</x:v>
      </x:c>
      <x:c r="G2026" s="46" t="n">
        <x:v>1</x:v>
      </x:c>
      <x:c r="H2026" s="61" t="n">
        <x:v>47.02513227513228</x:v>
      </x:c>
      <x:c r="I2026" s="52" t="n">
        <x:v>0.9576719576719576</x:v>
      </x:c>
      <x:c r="J2026" s="52" t="n">
        <x:v>0.5622041574076678</x:v>
      </x:c>
      <x:c r="K2026" s="60" t="n">
        <x:v>8756.28</x:v>
      </x:c>
      <x:c r="L2026" s="60" t="n">
        <x:v>131.47</x:v>
      </x:c>
      <x:c r="M2026" s="50" t="n">
        <x:v>181</x:v>
      </x:c>
      <x:c r="N2026" s="50" t="n">
        <x:v>8</x:v>
      </x:c>
      <x:c r="O2026" s="50" t="n">
        <x:v>172</x:v>
      </x:c>
      <x:c r="P2026" s="50" t="n">
        <x:v>22</x:v>
      </x:c>
    </x:row>
    <x:row r="2027" ht="36" customHeight="1">
      <x:c r="A2027" s="53" t="n">
        <x:v>2008</x:v>
      </x:c>
      <x:c r="B2027" s="53" t="n">
        <x:v>2</x:v>
      </x:c>
      <x:c r="C2027" s="40" t="str">
        <x:v>Large-Basket Occasional Shoppers</x:v>
      </x:c>
      <x:c r="D2027" s="60" t="n">
        <x:v>2332.45</x:v>
      </x:c>
      <x:c r="E2027" s="50" t="n">
        <x:v>68</x:v>
      </x:c>
      <x:c r="F2027" s="46" t="n">
        <x:v>3.4</x:v>
      </x:c>
      <x:c r="G2027" s="46" t="n">
        <x:v>11</x:v>
      </x:c>
      <x:c r="H2027" s="61" t="n">
        <x:v>34.30073529411765</x:v>
      </x:c>
      <x:c r="I2027" s="52" t="n">
        <x:v>0.7941176470588235</x:v>
      </x:c>
      <x:c r="J2027" s="52" t="n">
        <x:v>0.4377628673712191</x:v>
      </x:c>
      <x:c r="K2027" s="60" t="n">
        <x:v>2169</x:v>
      </x:c>
      <x:c r="L2027" s="60" t="n">
        <x:v>163.45</x:v>
      </x:c>
      <x:c r="M2027" s="50" t="n">
        <x:v>54</x:v>
      </x:c>
      <x:c r="N2027" s="50" t="n">
        <x:v>14</x:v>
      </x:c>
      <x:c r="O2027" s="50" t="n">
        <x:v>136</x:v>
      </x:c>
      <x:c r="P2027" s="50" t="n">
        <x:v>20</x:v>
      </x:c>
    </x:row>
    <x:row r="2028" ht="36" customHeight="1">
      <x:c r="A2028" s="53" t="n">
        <x:v>2009</x:v>
      </x:c>
      <x:c r="B2028" s="53" t="n">
        <x:v>2</x:v>
      </x:c>
      <x:c r="C2028" s="40" t="str">
        <x:v>Large-Basket Occasional Shoppers</x:v>
      </x:c>
      <x:c r="D2028" s="60" t="n">
        <x:v>1506.88</x:v>
      </x:c>
      <x:c r="E2028" s="50" t="n">
        <x:v>33</x:v>
      </x:c>
      <x:c r="F2028" s="46" t="n">
        <x:v>5.5</x:v>
      </x:c>
      <x:c r="G2028" s="46" t="n">
        <x:v>395</x:v>
      </x:c>
      <x:c r="H2028" s="61" t="n">
        <x:v>45.663030303030304</x:v>
      </x:c>
      <x:c r="I2028" s="52" t="n">
        <x:v>0.9696969696969696</x:v>
      </x:c>
      <x:c r="J2028" s="52" t="n">
        <x:v>0.6253450838819282</x:v>
      </x:c>
      <x:c r="K2028" s="60" t="n">
        <x:v>1491.89</x:v>
      </x:c>
      <x:c r="L2028" s="60" t="n">
        <x:v>14.99</x:v>
      </x:c>
      <x:c r="M2028" s="50" t="n">
        <x:v>32</x:v>
      </x:c>
      <x:c r="N2028" s="50" t="n">
        <x:v>1</x:v>
      </x:c>
      <x:c r="O2028" s="50" t="n">
        <x:v>111</x:v>
      </x:c>
      <x:c r="P2028" s="50" t="n">
        <x:v>6</x:v>
      </x:c>
    </x:row>
    <x:row r="2029" ht="36" customHeight="1">
      <x:c r="A2029" s="53" t="n">
        <x:v>2010</x:v>
      </x:c>
      <x:c r="B2029" s="53" t="n">
        <x:v>3</x:v>
      </x:c>
      <x:c r="C2029" s="40" t="str">
        <x:v>Low-Value Low-Engagement Shoppers</x:v>
      </x:c>
      <x:c r="D2029" s="60" t="n">
        <x:v>1605.98</x:v>
      </x:c>
      <x:c r="E2029" s="50" t="n">
        <x:v>58</x:v>
      </x:c>
      <x:c r="F2029" s="46" t="n">
        <x:v>6.444444444444445</x:v>
      </x:c>
      <x:c r="G2029" s="46" t="n">
        <x:v>3</x:v>
      </x:c>
      <x:c r="H2029" s="61" t="n">
        <x:v>27.689310344827582</x:v>
      </x:c>
      <x:c r="I2029" s="52" t="n">
        <x:v>0.6379310344827586</x:v>
      </x:c>
      <x:c r="J2029" s="52" t="n">
        <x:v>0.5103176876424363</x:v>
      </x:c>
      <x:c r="K2029" s="60" t="n">
        <x:v>1477.81</x:v>
      </x:c>
      <x:c r="L2029" s="60" t="n">
        <x:v>128.17</x:v>
      </x:c>
      <x:c r="M2029" s="50" t="n">
        <x:v>37</x:v>
      </x:c>
      <x:c r="N2029" s="50" t="n">
        <x:v>21</x:v>
      </x:c>
      <x:c r="O2029" s="50" t="n">
        <x:v>94</x:v>
      </x:c>
      <x:c r="P2029" s="50" t="n">
        <x:v>9</x:v>
      </x:c>
    </x:row>
    <x:row r="2030" ht="36" customHeight="1">
      <x:c r="A2030" s="53" t="n">
        <x:v>2011</x:v>
      </x:c>
      <x:c r="B2030" s="53" t="n">
        <x:v>3</x:v>
      </x:c>
      <x:c r="C2030" s="40" t="str">
        <x:v>Low-Value Low-Engagement Shoppers</x:v>
      </x:c>
      <x:c r="D2030" s="60" t="n">
        <x:v>1367.34</x:v>
      </x:c>
      <x:c r="E2030" s="50" t="n">
        <x:v>104</x:v>
      </x:c>
      <x:c r="F2030" s="46" t="n">
        <x:v>4.521739130434783</x:v>
      </x:c>
      <x:c r="G2030" s="46" t="n">
        <x:v>1</x:v>
      </x:c>
      <x:c r="H2030" s="61" t="n">
        <x:v>13.1475</x:v>
      </x:c>
      <x:c r="I2030" s="52" t="n">
        <x:v>0.7211538461538461</x:v>
      </x:c>
      <x:c r="J2030" s="52" t="n">
        <x:v>0.5240905700118478</x:v>
      </x:c>
      <x:c r="K2030" s="60" t="n">
        <x:v>1136.75</x:v>
      </x:c>
      <x:c r="L2030" s="60" t="n">
        <x:v>230.59</x:v>
      </x:c>
      <x:c r="M2030" s="50" t="n">
        <x:v>75</x:v>
      </x:c>
      <x:c r="N2030" s="50" t="n">
        <x:v>29</x:v>
      </x:c>
      <x:c r="O2030" s="50" t="n">
        <x:v>61</x:v>
      </x:c>
      <x:c r="P2030" s="50" t="n">
        <x:v>23</x:v>
      </x:c>
    </x:row>
    <x:row r="2031" ht="36" customHeight="1">
      <x:c r="A2031" s="53" t="n">
        <x:v>2012</x:v>
      </x:c>
      <x:c r="B2031" s="53" t="n">
        <x:v>1</x:v>
      </x:c>
      <x:c r="C2031" s="40" t="str">
        <x:v>High-Value Frequent Shoppers</x:v>
      </x:c>
      <x:c r="D2031" s="60" t="n">
        <x:v>8535.06</x:v>
      </x:c>
      <x:c r="E2031" s="50" t="n">
        <x:v>302</x:v>
      </x:c>
      <x:c r="F2031" s="46" t="n">
        <x:v>13.727272727272728</x:v>
      </x:c>
      <x:c r="G2031" s="46" t="n">
        <x:v>6</x:v>
      </x:c>
      <x:c r="H2031" s="61" t="n">
        <x:v>28.2617880794702</x:v>
      </x:c>
      <x:c r="I2031" s="52" t="n">
        <x:v>0.8311258278145695</x:v>
      </x:c>
      <x:c r="J2031" s="52" t="n">
        <x:v>0.5977204612504188</x:v>
      </x:c>
      <x:c r="K2031" s="60" t="n">
        <x:v>7947.58</x:v>
      </x:c>
      <x:c r="L2031" s="60" t="n">
        <x:v>587.48</x:v>
      </x:c>
      <x:c r="M2031" s="50" t="n">
        <x:v>251</x:v>
      </x:c>
      <x:c r="N2031" s="50" t="n">
        <x:v>51</x:v>
      </x:c>
      <x:c r="O2031" s="50" t="n">
        <x:v>155</x:v>
      </x:c>
      <x:c r="P2031" s="50" t="n">
        <x:v>22</x:v>
      </x:c>
    </x:row>
    <x:row r="2032" ht="36" customHeight="1">
      <x:c r="A2032" s="53" t="n">
        <x:v>2013</x:v>
      </x:c>
      <x:c r="B2032" s="53" t="n">
        <x:v>3</x:v>
      </x:c>
      <x:c r="C2032" s="40" t="str">
        <x:v>Low-Value Low-Engagement Shoppers</x:v>
      </x:c>
      <x:c r="D2032" s="60" t="n">
        <x:v>1182.47</x:v>
      </x:c>
      <x:c r="E2032" s="50" t="n">
        <x:v>93</x:v>
      </x:c>
      <x:c r="F2032" s="46" t="n">
        <x:v>4.894736842105263</x:v>
      </x:c>
      <x:c r="G2032" s="46" t="n">
        <x:v>95</x:v>
      </x:c>
      <x:c r="H2032" s="61" t="n">
        <x:v>12.714731182795695</x:v>
      </x:c>
      <x:c r="I2032" s="52" t="n">
        <x:v>0.6774193548387096</x:v>
      </x:c>
      <x:c r="J2032" s="52" t="n">
        <x:v>0.4372711358427697</x:v>
      </x:c>
      <x:c r="K2032" s="60" t="n">
        <x:v>1022.12</x:v>
      </x:c>
      <x:c r="L2032" s="60" t="n">
        <x:v>160.35</x:v>
      </x:c>
      <x:c r="M2032" s="50" t="n">
        <x:v>63</x:v>
      </x:c>
      <x:c r="N2032" s="50" t="n">
        <x:v>30</x:v>
      </x:c>
      <x:c r="O2032" s="50" t="n">
        <x:v>126</x:v>
      </x:c>
      <x:c r="P2032" s="50" t="n">
        <x:v>19</x:v>
      </x:c>
    </x:row>
    <x:row r="2033" ht="36" customHeight="1">
      <x:c r="A2033" s="53" t="n">
        <x:v>2014</x:v>
      </x:c>
      <x:c r="B2033" s="53" t="n">
        <x:v>2</x:v>
      </x:c>
      <x:c r="C2033" s="40" t="str">
        <x:v>Large-Basket Occasional Shoppers</x:v>
      </x:c>
      <x:c r="D2033" s="60" t="n">
        <x:v>1489.89</x:v>
      </x:c>
      <x:c r="E2033" s="50" t="n">
        <x:v>44</x:v>
      </x:c>
      <x:c r="F2033" s="46" t="n">
        <x:v>2.588235294117647</x:v>
      </x:c>
      <x:c r="G2033" s="46" t="n">
        <x:v>7</x:v>
      </x:c>
      <x:c r="H2033" s="61" t="n">
        <x:v>33.86113636363636</x:v>
      </x:c>
      <x:c r="I2033" s="52" t="n">
        <x:v>0.75</x:v>
      </x:c>
      <x:c r="J2033" s="52" t="n">
        <x:v>0.4891971890542254</x:v>
      </x:c>
      <x:c r="K2033" s="60" t="n">
        <x:v>1407.47</x:v>
      </x:c>
      <x:c r="L2033" s="60" t="n">
        <x:v>82.42</x:v>
      </x:c>
      <x:c r="M2033" s="50" t="n">
        <x:v>33</x:v>
      </x:c>
      <x:c r="N2033" s="50" t="n">
        <x:v>11</x:v>
      </x:c>
      <x:c r="O2033" s="50" t="n">
        <x:v>105</x:v>
      </x:c>
      <x:c r="P2033" s="50" t="n">
        <x:v>17</x:v>
      </x:c>
    </x:row>
    <x:row r="2034" ht="36" customHeight="1">
      <x:c r="A2034" s="53" t="n">
        <x:v>2015</x:v>
      </x:c>
      <x:c r="B2034" s="53" t="n">
        <x:v>1</x:v>
      </x:c>
      <x:c r="C2034" s="40" t="str">
        <x:v>High-Value Frequent Shoppers</x:v>
      </x:c>
      <x:c r="D2034" s="60" t="n">
        <x:v>6628.7</x:v>
      </x:c>
      <x:c r="E2034" s="50" t="n">
        <x:v>122</x:v>
      </x:c>
      <x:c r="F2034" s="46" t="n">
        <x:v>5.545454545454546</x:v>
      </x:c>
      <x:c r="G2034" s="46" t="n">
        <x:v>6</x:v>
      </x:c>
      <x:c r="H2034" s="61" t="n">
        <x:v>54.333606557377045</x:v>
      </x:c>
      <x:c r="I2034" s="52" t="n">
        <x:v>0.8770491803278688</x:v>
      </x:c>
      <x:c r="J2034" s="52" t="n">
        <x:v>0.3987071371460467</x:v>
      </x:c>
      <x:c r="K2034" s="60" t="n">
        <x:v>6506.75</x:v>
      </x:c>
      <x:c r="L2034" s="60" t="n">
        <x:v>121.95</x:v>
      </x:c>
      <x:c r="M2034" s="50" t="n">
        <x:v>107</x:v>
      </x:c>
      <x:c r="N2034" s="50" t="n">
        <x:v>15</x:v>
      </x:c>
      <x:c r="O2034" s="50" t="n">
        <x:v>160</x:v>
      </x:c>
      <x:c r="P2034" s="50" t="n">
        <x:v>22</x:v>
      </x:c>
    </x:row>
    <x:row r="2035" ht="36" customHeight="1">
      <x:c r="A2035" s="53" t="n">
        <x:v>2016</x:v>
      </x:c>
      <x:c r="B2035" s="53" t="n">
        <x:v>1</x:v>
      </x:c>
      <x:c r="C2035" s="40" t="str">
        <x:v>High-Value Frequent Shoppers</x:v>
      </x:c>
      <x:c r="D2035" s="60" t="n">
        <x:v>1728.53</x:v>
      </x:c>
      <x:c r="E2035" s="50" t="n">
        <x:v>125</x:v>
      </x:c>
      <x:c r="F2035" s="46" t="n">
        <x:v>6.944444444444445</x:v>
      </x:c>
      <x:c r="G2035" s="46" t="n">
        <x:v>11</x:v>
      </x:c>
      <x:c r="H2035" s="61" t="n">
        <x:v>13.82824</x:v>
      </x:c>
      <x:c r="I2035" s="52" t="n">
        <x:v>0.84</x:v>
      </x:c>
      <x:c r="J2035" s="52" t="n">
        <x:v>0.5233464273110677</x:v>
      </x:c>
      <x:c r="K2035" s="60" t="n">
        <x:v>1668.46</x:v>
      </x:c>
      <x:c r="L2035" s="60" t="n">
        <x:v>60.07</x:v>
      </x:c>
      <x:c r="M2035" s="50" t="n">
        <x:v>105</x:v>
      </x:c>
      <x:c r="N2035" s="50" t="n">
        <x:v>20</x:v>
      </x:c>
      <x:c r="O2035" s="50" t="n">
        <x:v>116</x:v>
      </x:c>
      <x:c r="P2035" s="50" t="n">
        <x:v>18</x:v>
      </x:c>
    </x:row>
    <x:row r="2036" ht="36" customHeight="1">
      <x:c r="A2036" s="53" t="n">
        <x:v>2017</x:v>
      </x:c>
      <x:c r="B2036" s="53" t="n">
        <x:v>1</x:v>
      </x:c>
      <x:c r="C2036" s="40" t="str">
        <x:v>High-Value Frequent Shoppers</x:v>
      </x:c>
      <x:c r="D2036" s="60" t="n">
        <x:v>7106.62</x:v>
      </x:c>
      <x:c r="E2036" s="50" t="n">
        <x:v>169</x:v>
      </x:c>
      <x:c r="F2036" s="46" t="n">
        <x:v>7.6818181818181825</x:v>
      </x:c>
      <x:c r="G2036" s="46" t="n">
        <x:v>0</x:v>
      </x:c>
      <x:c r="H2036" s="61" t="n">
        <x:v>42.05100591715976</x:v>
      </x:c>
      <x:c r="I2036" s="52" t="n">
        <x:v>0.9526627218934912</x:v>
      </x:c>
      <x:c r="J2036" s="52" t="n">
        <x:v>0.6201499446994492</x:v>
      </x:c>
      <x:c r="K2036" s="60" t="n">
        <x:v>7047.49</x:v>
      </x:c>
      <x:c r="L2036" s="60" t="n">
        <x:v>59.13</x:v>
      </x:c>
      <x:c r="M2036" s="50" t="n">
        <x:v>161</x:v>
      </x:c>
      <x:c r="N2036" s="50" t="n">
        <x:v>8</x:v>
      </x:c>
      <x:c r="O2036" s="50" t="n">
        <x:v>173</x:v>
      </x:c>
      <x:c r="P2036" s="50" t="n">
        <x:v>22</x:v>
      </x:c>
    </x:row>
    <x:row r="2037" ht="36" customHeight="1">
      <x:c r="A2037" s="53" t="n">
        <x:v>2018</x:v>
      </x:c>
      <x:c r="B2037" s="53" t="n">
        <x:v>1</x:v>
      </x:c>
      <x:c r="C2037" s="40" t="str">
        <x:v>High-Value Frequent Shoppers</x:v>
      </x:c>
      <x:c r="D2037" s="60" t="n">
        <x:v>4038.15</x:v>
      </x:c>
      <x:c r="E2037" s="50" t="n">
        <x:v>147</x:v>
      </x:c>
      <x:c r="F2037" s="46" t="n">
        <x:v>7.35</x:v>
      </x:c>
      <x:c r="G2037" s="46" t="n">
        <x:v>3</x:v>
      </x:c>
      <x:c r="H2037" s="61" t="n">
        <x:v>27.470408163265304</x:v>
      </x:c>
      <x:c r="I2037" s="52" t="n">
        <x:v>0.8231292517006802</x:v>
      </x:c>
      <x:c r="J2037" s="52" t="n">
        <x:v>0.3852754355335983</x:v>
      </x:c>
      <x:c r="K2037" s="60" t="n">
        <x:v>3778.52</x:v>
      </x:c>
      <x:c r="L2037" s="60" t="n">
        <x:v>259.63</x:v>
      </x:c>
      <x:c r="M2037" s="50" t="n">
        <x:v>121</x:v>
      </x:c>
      <x:c r="N2037" s="50" t="n">
        <x:v>26</x:v>
      </x:c>
      <x:c r="O2037" s="50" t="n">
        <x:v>156</x:v>
      </x:c>
      <x:c r="P2037" s="50" t="n">
        <x:v>20</x:v>
      </x:c>
    </x:row>
    <x:row r="2038" ht="36" customHeight="1">
      <x:c r="A2038" s="53" t="n">
        <x:v>2019</x:v>
      </x:c>
      <x:c r="B2038" s="53" t="n">
        <x:v>1</x:v>
      </x:c>
      <x:c r="C2038" s="40" t="str">
        <x:v>High-Value Frequent Shoppers</x:v>
      </x:c>
      <x:c r="D2038" s="60" t="n">
        <x:v>13160.5</x:v>
      </x:c>
      <x:c r="E2038" s="50" t="n">
        <x:v>337</x:v>
      </x:c>
      <x:c r="F2038" s="46" t="n">
        <x:v>16.85</x:v>
      </x:c>
      <x:c r="G2038" s="46" t="n">
        <x:v>0</x:v>
      </x:c>
      <x:c r="H2038" s="61" t="n">
        <x:v>39.05192878338279</x:v>
      </x:c>
      <x:c r="I2038" s="52" t="n">
        <x:v>0.8991097922848664</x:v>
      </x:c>
      <x:c r="J2038" s="52" t="n">
        <x:v>0.6581588845408609</x:v>
      </x:c>
      <x:c r="K2038" s="60" t="n">
        <x:v>12873.3</x:v>
      </x:c>
      <x:c r="L2038" s="60" t="n">
        <x:v>287.2</x:v>
      </x:c>
      <x:c r="M2038" s="50" t="n">
        <x:v>303</x:v>
      </x:c>
      <x:c r="N2038" s="50" t="n">
        <x:v>34</x:v>
      </x:c>
      <x:c r="O2038" s="50" t="n">
        <x:v>186</x:v>
      </x:c>
      <x:c r="P2038" s="50" t="n">
        <x:v>20</x:v>
      </x:c>
    </x:row>
    <x:row r="2039" ht="36" customHeight="1">
      <x:c r="A2039" s="53" t="n">
        <x:v>2020</x:v>
      </x:c>
      <x:c r="B2039" s="53" t="n">
        <x:v>1</x:v>
      </x:c>
      <x:c r="C2039" s="40" t="str">
        <x:v>High-Value Frequent Shoppers</x:v>
      </x:c>
      <x:c r="D2039" s="60" t="n">
        <x:v>8458.21</x:v>
      </x:c>
      <x:c r="E2039" s="50" t="n">
        <x:v>252</x:v>
      </x:c>
      <x:c r="F2039" s="46" t="n">
        <x:v>11.454545454545451</x:v>
      </x:c>
      <x:c r="G2039" s="46" t="n">
        <x:v>6</x:v>
      </x:c>
      <x:c r="H2039" s="61" t="n">
        <x:v>33.5643253968254</x:v>
      </x:c>
      <x:c r="I2039" s="52" t="n">
        <x:v>0.8333333333333333</x:v>
      </x:c>
      <x:c r="J2039" s="52" t="n">
        <x:v>0.4193381341915133</x:v>
      </x:c>
      <x:c r="K2039" s="60" t="n">
        <x:v>8132.53</x:v>
      </x:c>
      <x:c r="L2039" s="60" t="n">
        <x:v>325.68</x:v>
      </x:c>
      <x:c r="M2039" s="50" t="n">
        <x:v>210</x:v>
      </x:c>
      <x:c r="N2039" s="50" t="n">
        <x:v>42</x:v>
      </x:c>
      <x:c r="O2039" s="50" t="n">
        <x:v>183</x:v>
      </x:c>
      <x:c r="P2039" s="50" t="n">
        <x:v>22</x:v>
      </x:c>
    </x:row>
    <x:row r="2040" ht="36" customHeight="1">
      <x:c r="A2040" s="53" t="n">
        <x:v>2021</x:v>
      </x:c>
      <x:c r="B2040" s="53" t="n">
        <x:v>2</x:v>
      </x:c>
      <x:c r="C2040" s="40" t="str">
        <x:v>Large-Basket Occasional Shoppers</x:v>
      </x:c>
      <x:c r="D2040" s="60" t="n">
        <x:v>1393.24</x:v>
      </x:c>
      <x:c r="E2040" s="50" t="n">
        <x:v>77</x:v>
      </x:c>
      <x:c r="F2040" s="46" t="n">
        <x:v>3.347826086956521</x:v>
      </x:c>
      <x:c r="G2040" s="46" t="n">
        <x:v>8</x:v>
      </x:c>
      <x:c r="H2040" s="61" t="n">
        <x:v>18.09402597402597</x:v>
      </x:c>
      <x:c r="I2040" s="52" t="n">
        <x:v>0.8571428571428571</x:v>
      </x:c>
      <x:c r="J2040" s="52" t="n">
        <x:v>0.4512575005024259</x:v>
      </x:c>
      <x:c r="K2040" s="60" t="n">
        <x:v>1266.43</x:v>
      </x:c>
      <x:c r="L2040" s="60" t="n">
        <x:v>126.81</x:v>
      </x:c>
      <x:c r="M2040" s="50" t="n">
        <x:v>66</x:v>
      </x:c>
      <x:c r="N2040" s="50" t="n">
        <x:v>11</x:v>
      </x:c>
      <x:c r="O2040" s="50" t="n">
        <x:v>85</x:v>
      </x:c>
      <x:c r="P2040" s="50" t="n">
        <x:v>23</x:v>
      </x:c>
    </x:row>
    <x:row r="2041" ht="36" customHeight="1">
      <x:c r="A2041" s="53" t="n">
        <x:v>2022</x:v>
      </x:c>
      <x:c r="B2041" s="53" t="n">
        <x:v>1</x:v>
      </x:c>
      <x:c r="C2041" s="40" t="str">
        <x:v>High-Value Frequent Shoppers</x:v>
      </x:c>
      <x:c r="D2041" s="60" t="n">
        <x:v>7875.78</x:v>
      </x:c>
      <x:c r="E2041" s="50" t="n">
        <x:v>86</x:v>
      </x:c>
      <x:c r="F2041" s="46" t="n">
        <x:v>4.3</x:v>
      </x:c>
      <x:c r="G2041" s="46" t="n">
        <x:v>9</x:v>
      </x:c>
      <x:c r="H2041" s="61" t="n">
        <x:v>91.57883720930232</x:v>
      </x:c>
      <x:c r="I2041" s="52" t="n">
        <x:v>0.8953488372093023</x:v>
      </x:c>
      <x:c r="J2041" s="52" t="n">
        <x:v>0.4523818593206006</x:v>
      </x:c>
      <x:c r="K2041" s="60" t="n">
        <x:v>7635.56</x:v>
      </x:c>
      <x:c r="L2041" s="60" t="n">
        <x:v>240.22</x:v>
      </x:c>
      <x:c r="M2041" s="50" t="n">
        <x:v>77</x:v>
      </x:c>
      <x:c r="N2041" s="50" t="n">
        <x:v>9</x:v>
      </x:c>
      <x:c r="O2041" s="50" t="n">
        <x:v>208</x:v>
      </x:c>
      <x:c r="P2041" s="50" t="n">
        <x:v>20</x:v>
      </x:c>
    </x:row>
    <x:row r="2042" ht="36" customHeight="1">
      <x:c r="A2042" s="53" t="n">
        <x:v>2023</x:v>
      </x:c>
      <x:c r="B2042" s="53" t="n">
        <x:v>3</x:v>
      </x:c>
      <x:c r="C2042" s="40" t="str">
        <x:v>Low-Value Low-Engagement Shoppers</x:v>
      </x:c>
      <x:c r="D2042" s="60" t="n">
        <x:v>1805.63</x:v>
      </x:c>
      <x:c r="E2042" s="50" t="n">
        <x:v>109</x:v>
      </x:c>
      <x:c r="F2042" s="46" t="n">
        <x:v>5.190476190476192</x:v>
      </x:c>
      <x:c r="G2042" s="46" t="n">
        <x:v>1</x:v>
      </x:c>
      <x:c r="H2042" s="61" t="n">
        <x:v>16.565412844036697</x:v>
      </x:c>
      <x:c r="I2042" s="52" t="n">
        <x:v>0.7431192660550457</x:v>
      </x:c>
      <x:c r="J2042" s="52" t="n">
        <x:v>0.4879238825229975</x:v>
      </x:c>
      <x:c r="K2042" s="60" t="n">
        <x:v>1433.72</x:v>
      </x:c>
      <x:c r="L2042" s="60" t="n">
        <x:v>371.91</x:v>
      </x:c>
      <x:c r="M2042" s="50" t="n">
        <x:v>81</x:v>
      </x:c>
      <x:c r="N2042" s="50" t="n">
        <x:v>28</x:v>
      </x:c>
      <x:c r="O2042" s="50" t="n">
        <x:v>76</x:v>
      </x:c>
      <x:c r="P2042" s="50" t="n">
        <x:v>21</x:v>
      </x:c>
    </x:row>
    <x:row r="2043" ht="36" customHeight="1">
      <x:c r="A2043" s="53" t="n">
        <x:v>2024</x:v>
      </x:c>
      <x:c r="B2043" s="53" t="n">
        <x:v>1</x:v>
      </x:c>
      <x:c r="C2043" s="40" t="str">
        <x:v>High-Value Frequent Shoppers</x:v>
      </x:c>
      <x:c r="D2043" s="60" t="n">
        <x:v>4956.99</x:v>
      </x:c>
      <x:c r="E2043" s="50" t="n">
        <x:v>98</x:v>
      </x:c>
      <x:c r="F2043" s="46" t="n">
        <x:v>4.454545454545455</x:v>
      </x:c>
      <x:c r="G2043" s="46" t="n">
        <x:v>2</x:v>
      </x:c>
      <x:c r="H2043" s="61" t="n">
        <x:v>50.5815306122449</x:v>
      </x:c>
      <x:c r="I2043" s="52" t="n">
        <x:v>0.9081632653061223</x:v>
      </x:c>
      <x:c r="J2043" s="52" t="n">
        <x:v>0.5421636920792658</x:v>
      </x:c>
      <x:c r="K2043" s="60" t="n">
        <x:v>4844.59</x:v>
      </x:c>
      <x:c r="L2043" s="60" t="n">
        <x:v>112.4</x:v>
      </x:c>
      <x:c r="M2043" s="50" t="n">
        <x:v>89</x:v>
      </x:c>
      <x:c r="N2043" s="50" t="n">
        <x:v>9</x:v>
      </x:c>
      <x:c r="O2043" s="50" t="n">
        <x:v>168</x:v>
      </x:c>
      <x:c r="P2043" s="50" t="n">
        <x:v>22</x:v>
      </x:c>
    </x:row>
    <x:row r="2044" ht="36" customHeight="1">
      <x:c r="A2044" s="53" t="n">
        <x:v>2025</x:v>
      </x:c>
      <x:c r="B2044" s="53" t="n">
        <x:v>2</x:v>
      </x:c>
      <x:c r="C2044" s="40" t="str">
        <x:v>Large-Basket Occasional Shoppers</x:v>
      </x:c>
      <x:c r="D2044" s="60" t="n">
        <x:v>1119.54</x:v>
      </x:c>
      <x:c r="E2044" s="50" t="n">
        <x:v>33</x:v>
      </x:c>
      <x:c r="F2044" s="46" t="n">
        <x:v>2.0625</x:v>
      </x:c>
      <x:c r="G2044" s="46" t="n">
        <x:v>26</x:v>
      </x:c>
      <x:c r="H2044" s="61" t="n">
        <x:v>33.92545454545454</x:v>
      </x:c>
      <x:c r="I2044" s="52" t="n">
        <x:v>0.9696969696969696</x:v>
      </x:c>
      <x:c r="J2044" s="52" t="n">
        <x:v>0.6566714900762813</x:v>
      </x:c>
      <x:c r="K2044" s="60" t="n">
        <x:v>1112.17</x:v>
      </x:c>
      <x:c r="L2044" s="60" t="n">
        <x:v>7.37</x:v>
      </x:c>
      <x:c r="M2044" s="50" t="n">
        <x:v>32</x:v>
      </x:c>
      <x:c r="N2044" s="50" t="n">
        <x:v>1</x:v>
      </x:c>
      <x:c r="O2044" s="50" t="n">
        <x:v>85</x:v>
      </x:c>
      <x:c r="P2044" s="50" t="n">
        <x:v>16</x:v>
      </x:c>
    </x:row>
    <x:row r="2045" ht="36" customHeight="1">
      <x:c r="A2045" s="53" t="n">
        <x:v>2026</x:v>
      </x:c>
      <x:c r="B2045" s="53" t="n">
        <x:v>2</x:v>
      </x:c>
      <x:c r="C2045" s="40" t="str">
        <x:v>Large-Basket Occasional Shoppers</x:v>
      </x:c>
      <x:c r="D2045" s="60" t="n">
        <x:v>1181.63</x:v>
      </x:c>
      <x:c r="E2045" s="50" t="n">
        <x:v>18</x:v>
      </x:c>
      <x:c r="F2045" s="46" t="n">
        <x:v>1.6363636363636365</x:v>
      </x:c>
      <x:c r="G2045" s="46" t="n">
        <x:v>36</x:v>
      </x:c>
      <x:c r="H2045" s="61" t="n">
        <x:v>65.64611111111111</x:v>
      </x:c>
      <x:c r="I2045" s="52" t="n">
        <x:v>1</x:v>
      </x:c>
      <x:c r="J2045" s="52" t="n">
        <x:v>0.7722637373797212</x:v>
      </x:c>
      <x:c r="K2045" s="60" t="n">
        <x:v>1181.63</x:v>
      </x:c>
      <x:c r="L2045" s="60" t="n">
        <x:v>0</x:v>
      </x:c>
      <x:c r="M2045" s="50" t="n">
        <x:v>18</x:v>
      </x:c>
      <x:c r="N2045" s="50" t="n">
        <x:v>0</x:v>
      </x:c>
      <x:c r="O2045" s="50" t="n">
        <x:v>86</x:v>
      </x:c>
      <x:c r="P2045" s="50" t="n">
        <x:v>11</x:v>
      </x:c>
    </x:row>
    <x:row r="2046" ht="36" customHeight="1">
      <x:c r="A2046" s="53" t="n">
        <x:v>2027</x:v>
      </x:c>
      <x:c r="B2046" s="53" t="n">
        <x:v>2</x:v>
      </x:c>
      <x:c r="C2046" s="40" t="str">
        <x:v>Large-Basket Occasional Shoppers</x:v>
      </x:c>
      <x:c r="D2046" s="60" t="n">
        <x:v>1915.28</x:v>
      </x:c>
      <x:c r="E2046" s="50" t="n">
        <x:v>132</x:v>
      </x:c>
      <x:c r="F2046" s="46" t="n">
        <x:v>6</x:v>
      </x:c>
      <x:c r="G2046" s="46" t="n">
        <x:v>21</x:v>
      </x:c>
      <x:c r="H2046" s="61" t="n">
        <x:v>14.509696969696968</x:v>
      </x:c>
      <x:c r="I2046" s="52" t="n">
        <x:v>0.8333333333333333</x:v>
      </x:c>
      <x:c r="J2046" s="52" t="n">
        <x:v>0.5253383317321749</x:v>
      </x:c>
      <x:c r="K2046" s="60" t="n">
        <x:v>1745</x:v>
      </x:c>
      <x:c r="L2046" s="60" t="n">
        <x:v>170.28</x:v>
      </x:c>
      <x:c r="M2046" s="50" t="n">
        <x:v>110</x:v>
      </x:c>
      <x:c r="N2046" s="50" t="n">
        <x:v>22</x:v>
      </x:c>
      <x:c r="O2046" s="50" t="n">
        <x:v>123</x:v>
      </x:c>
      <x:c r="P2046" s="50" t="n">
        <x:v>22</x:v>
      </x:c>
    </x:row>
    <x:row r="2047" ht="36" customHeight="1">
      <x:c r="A2047" s="53" t="n">
        <x:v>2028</x:v>
      </x:c>
      <x:c r="B2047" s="53" t="n">
        <x:v>2</x:v>
      </x:c>
      <x:c r="C2047" s="40" t="str">
        <x:v>Large-Basket Occasional Shoppers</x:v>
      </x:c>
      <x:c r="D2047" s="60" t="n">
        <x:v>1984.73</x:v>
      </x:c>
      <x:c r="E2047" s="50" t="n">
        <x:v>91</x:v>
      </x:c>
      <x:c r="F2047" s="46" t="n">
        <x:v>3.9565217391304346</x:v>
      </x:c>
      <x:c r="G2047" s="46" t="n">
        <x:v>18</x:v>
      </x:c>
      <x:c r="H2047" s="61" t="n">
        <x:v>21.81021978021978</x:v>
      </x:c>
      <x:c r="I2047" s="52" t="n">
        <x:v>0.8131868131868131</x:v>
      </x:c>
      <x:c r="J2047" s="52" t="n">
        <x:v>0.5137827311523481</x:v>
      </x:c>
      <x:c r="K2047" s="60" t="n">
        <x:v>1883.68</x:v>
      </x:c>
      <x:c r="L2047" s="60" t="n">
        <x:v>101.05</x:v>
      </x:c>
      <x:c r="M2047" s="50" t="n">
        <x:v>74</x:v>
      </x:c>
      <x:c r="N2047" s="50" t="n">
        <x:v>17</x:v>
      </x:c>
      <x:c r="O2047" s="50" t="n">
        <x:v>98</x:v>
      </x:c>
      <x:c r="P2047" s="50" t="n">
        <x:v>23</x:v>
      </x:c>
    </x:row>
    <x:row r="2048" ht="36" customHeight="1">
      <x:c r="A2048" s="53" t="n">
        <x:v>2029</x:v>
      </x:c>
      <x:c r="B2048" s="53" t="n">
        <x:v>2</x:v>
      </x:c>
      <x:c r="C2048" s="40" t="str">
        <x:v>Large-Basket Occasional Shoppers</x:v>
      </x:c>
      <x:c r="D2048" s="60" t="n">
        <x:v>1688.9</x:v>
      </x:c>
      <x:c r="E2048" s="50" t="n">
        <x:v>45</x:v>
      </x:c>
      <x:c r="F2048" s="46" t="n">
        <x:v>2.647058823529412</x:v>
      </x:c>
      <x:c r="G2048" s="46" t="n">
        <x:v>40</x:v>
      </x:c>
      <x:c r="H2048" s="61" t="n">
        <x:v>37.53111111111111</x:v>
      </x:c>
      <x:c r="I2048" s="52" t="n">
        <x:v>0.8444444444444444</x:v>
      </x:c>
      <x:c r="J2048" s="52" t="n">
        <x:v>0.5291609923618923</x:v>
      </x:c>
      <x:c r="K2048" s="60" t="n">
        <x:v>1651.63</x:v>
      </x:c>
      <x:c r="L2048" s="60" t="n">
        <x:v>37.27</x:v>
      </x:c>
      <x:c r="M2048" s="50" t="n">
        <x:v>38</x:v>
      </x:c>
      <x:c r="N2048" s="50" t="n">
        <x:v>7</x:v>
      </x:c>
      <x:c r="O2048" s="50" t="n">
        <x:v>90</x:v>
      </x:c>
      <x:c r="P2048" s="50" t="n">
        <x:v>17</x:v>
      </x:c>
    </x:row>
    <x:row r="2049" ht="36" customHeight="1">
      <x:c r="A2049" s="53" t="n">
        <x:v>2030</x:v>
      </x:c>
      <x:c r="B2049" s="53" t="n">
        <x:v>1</x:v>
      </x:c>
      <x:c r="C2049" s="40" t="str">
        <x:v>High-Value Frequent Shoppers</x:v>
      </x:c>
      <x:c r="D2049" s="60" t="n">
        <x:v>2628.1</x:v>
      </x:c>
      <x:c r="E2049" s="50" t="n">
        <x:v>90</x:v>
      </x:c>
      <x:c r="F2049" s="46" t="n">
        <x:v>4.285714285714286</x:v>
      </x:c>
      <x:c r="G2049" s="46" t="n">
        <x:v>1</x:v>
      </x:c>
      <x:c r="H2049" s="61" t="n">
        <x:v>29.20111111111111</x:v>
      </x:c>
      <x:c r="I2049" s="52" t="n">
        <x:v>0.9111111111111112</x:v>
      </x:c>
      <x:c r="J2049" s="52" t="n">
        <x:v>0.4908374871580229</x:v>
      </x:c>
      <x:c r="K2049" s="60" t="n">
        <x:v>2494.24</x:v>
      </x:c>
      <x:c r="L2049" s="60" t="n">
        <x:v>133.86</x:v>
      </x:c>
      <x:c r="M2049" s="50" t="n">
        <x:v>82</x:v>
      </x:c>
      <x:c r="N2049" s="50" t="n">
        <x:v>8</x:v>
      </x:c>
      <x:c r="O2049" s="50" t="n">
        <x:v>148</x:v>
      </x:c>
      <x:c r="P2049" s="50" t="n">
        <x:v>21</x:v>
      </x:c>
    </x:row>
    <x:row r="2050" ht="36" customHeight="1">
      <x:c r="A2050" s="53" t="n">
        <x:v>2031</x:v>
      </x:c>
      <x:c r="B2050" s="53" t="n">
        <x:v>3</x:v>
      </x:c>
      <x:c r="C2050" s="40" t="str">
        <x:v>Low-Value Low-Engagement Shoppers</x:v>
      </x:c>
      <x:c r="D2050" s="60" t="n">
        <x:v>306.37</x:v>
      </x:c>
      <x:c r="E2050" s="50" t="n">
        <x:v>15</x:v>
      </x:c>
      <x:c r="F2050" s="46" t="n">
        <x:v>1.875</x:v>
      </x:c>
      <x:c r="G2050" s="46" t="n">
        <x:v>28</x:v>
      </x:c>
      <x:c r="H2050" s="61" t="n">
        <x:v>20.424666666666663</x:v>
      </x:c>
      <x:c r="I2050" s="52" t="n">
        <x:v>0.8666666666666666</x:v>
      </x:c>
      <x:c r="J2050" s="52" t="n">
        <x:v>0.3434082971570323</x:v>
      </x:c>
      <x:c r="K2050" s="60" t="n">
        <x:v>304.6</x:v>
      </x:c>
      <x:c r="L2050" s="60" t="n">
        <x:v>1.77</x:v>
      </x:c>
      <x:c r="M2050" s="50" t="n">
        <x:v>13</x:v>
      </x:c>
      <x:c r="N2050" s="50" t="n">
        <x:v>2</x:v>
      </x:c>
      <x:c r="O2050" s="50" t="n">
        <x:v>51</x:v>
      </x:c>
      <x:c r="P2050" s="50" t="n">
        <x:v>8</x:v>
      </x:c>
    </x:row>
    <x:row r="2051" ht="36" customHeight="1">
      <x:c r="A2051" s="53" t="n">
        <x:v>2032</x:v>
      </x:c>
      <x:c r="B2051" s="53" t="n">
        <x:v>3</x:v>
      </x:c>
      <x:c r="C2051" s="40" t="str">
        <x:v>Low-Value Low-Engagement Shoppers</x:v>
      </x:c>
      <x:c r="D2051" s="60" t="n">
        <x:v>1274.78</x:v>
      </x:c>
      <x:c r="E2051" s="50" t="n">
        <x:v>66</x:v>
      </x:c>
      <x:c r="F2051" s="46" t="n">
        <x:v>3.6666666666666665</x:v>
      </x:c>
      <x:c r="G2051" s="46" t="n">
        <x:v>7</x:v>
      </x:c>
      <x:c r="H2051" s="61" t="n">
        <x:v>19.314848484848483</x:v>
      </x:c>
      <x:c r="I2051" s="52" t="n">
        <x:v>0.7424242424242424</x:v>
      </x:c>
      <x:c r="J2051" s="52" t="n">
        <x:v>0.3757354210138219</x:v>
      </x:c>
      <x:c r="K2051" s="60" t="n">
        <x:v>824.08</x:v>
      </x:c>
      <x:c r="L2051" s="60" t="n">
        <x:v>450.7</x:v>
      </x:c>
      <x:c r="M2051" s="50" t="n">
        <x:v>49</x:v>
      </x:c>
      <x:c r="N2051" s="50" t="n">
        <x:v>17</x:v>
      </x:c>
      <x:c r="O2051" s="50" t="n">
        <x:v>78</x:v>
      </x:c>
      <x:c r="P2051" s="50" t="n">
        <x:v>18</x:v>
      </x:c>
    </x:row>
    <x:row r="2052" ht="36" customHeight="1">
      <x:c r="A2052" s="53" t="n">
        <x:v>2033</x:v>
      </x:c>
      <x:c r="B2052" s="53" t="n">
        <x:v>1</x:v>
      </x:c>
      <x:c r="C2052" s="40" t="str">
        <x:v>High-Value Frequent Shoppers</x:v>
      </x:c>
      <x:c r="D2052" s="60" t="n">
        <x:v>2512.78</x:v>
      </x:c>
      <x:c r="E2052" s="50" t="n">
        <x:v>109</x:v>
      </x:c>
      <x:c r="F2052" s="46" t="n">
        <x:v>4.954545454545455</x:v>
      </x:c>
      <x:c r="G2052" s="46" t="n">
        <x:v>0</x:v>
      </x:c>
      <x:c r="H2052" s="61" t="n">
        <x:v>23.05302752293577</x:v>
      </x:c>
      <x:c r="I2052" s="52" t="n">
        <x:v>0.7614678899082568</x:v>
      </x:c>
      <x:c r="J2052" s="52" t="n">
        <x:v>0.4531355709612461</x:v>
      </x:c>
      <x:c r="K2052" s="60" t="n">
        <x:v>2162.82</x:v>
      </x:c>
      <x:c r="L2052" s="60" t="n">
        <x:v>349.96</x:v>
      </x:c>
      <x:c r="M2052" s="50" t="n">
        <x:v>83</x:v>
      </x:c>
      <x:c r="N2052" s="50" t="n">
        <x:v>26</x:v>
      </x:c>
      <x:c r="O2052" s="50" t="n">
        <x:v>132</x:v>
      </x:c>
      <x:c r="P2052" s="50" t="n">
        <x:v>22</x:v>
      </x:c>
    </x:row>
    <x:row r="2053" ht="36" customHeight="1">
      <x:c r="A2053" s="53" t="n">
        <x:v>2034</x:v>
      </x:c>
      <x:c r="B2053" s="53" t="n">
        <x:v>1</x:v>
      </x:c>
      <x:c r="C2053" s="40" t="str">
        <x:v>High-Value Frequent Shoppers</x:v>
      </x:c>
      <x:c r="D2053" s="60" t="n">
        <x:v>3118.35</x:v>
      </x:c>
      <x:c r="E2053" s="50" t="n">
        <x:v>140</x:v>
      </x:c>
      <x:c r="F2053" s="46" t="n">
        <x:v>6.666666666666666</x:v>
      </x:c>
      <x:c r="G2053" s="46" t="n">
        <x:v>0</x:v>
      </x:c>
      <x:c r="H2053" s="61" t="n">
        <x:v>22.273928571428566</x:v>
      </x:c>
      <x:c r="I2053" s="52" t="n">
        <x:v>0.807142857142857</x:v>
      </x:c>
      <x:c r="J2053" s="52" t="n">
        <x:v>0.5657767729728863</x:v>
      </x:c>
      <x:c r="K2053" s="60" t="n">
        <x:v>2982.48</x:v>
      </x:c>
      <x:c r="L2053" s="60" t="n">
        <x:v>135.87</x:v>
      </x:c>
      <x:c r="M2053" s="50" t="n">
        <x:v>113</x:v>
      </x:c>
      <x:c r="N2053" s="50" t="n">
        <x:v>27</x:v>
      </x:c>
      <x:c r="O2053" s="50" t="n">
        <x:v>116</x:v>
      </x:c>
      <x:c r="P2053" s="50" t="n">
        <x:v>21</x:v>
      </x:c>
    </x:row>
    <x:row r="2054" ht="36" customHeight="1">
      <x:c r="A2054" s="53" t="n">
        <x:v>2035</x:v>
      </x:c>
      <x:c r="B2054" s="53" t="n">
        <x:v>2</x:v>
      </x:c>
      <x:c r="C2054" s="40" t="str">
        <x:v>Large-Basket Occasional Shoppers</x:v>
      </x:c>
      <x:c r="D2054" s="60" t="n">
        <x:v>1077.8</x:v>
      </x:c>
      <x:c r="E2054" s="50" t="n">
        <x:v>68</x:v>
      </x:c>
      <x:c r="F2054" s="46" t="n">
        <x:v>3.238095238095238</x:v>
      </x:c>
      <x:c r="G2054" s="46" t="n">
        <x:v>69</x:v>
      </x:c>
      <x:c r="H2054" s="61" t="n">
        <x:v>15.85</x:v>
      </x:c>
      <x:c r="I2054" s="52" t="n">
        <x:v>0.9117647058823528</x:v>
      </x:c>
      <x:c r="J2054" s="52" t="n">
        <x:v>0.5304416403785488</x:v>
      </x:c>
      <x:c r="K2054" s="60" t="n">
        <x:v>1032.6</x:v>
      </x:c>
      <x:c r="L2054" s="60" t="n">
        <x:v>45.2</x:v>
      </x:c>
      <x:c r="M2054" s="50" t="n">
        <x:v>62</x:v>
      </x:c>
      <x:c r="N2054" s="50" t="n">
        <x:v>6</x:v>
      </x:c>
      <x:c r="O2054" s="50" t="n">
        <x:v>107</x:v>
      </x:c>
      <x:c r="P2054" s="50" t="n">
        <x:v>21</x:v>
      </x:c>
    </x:row>
    <x:row r="2055" ht="36" customHeight="1">
      <x:c r="A2055" s="53" t="n">
        <x:v>2036</x:v>
      </x:c>
      <x:c r="B2055" s="53" t="n">
        <x:v>2</x:v>
      </x:c>
      <x:c r="C2055" s="40" t="str">
        <x:v>Large-Basket Occasional Shoppers</x:v>
      </x:c>
      <x:c r="D2055" s="60" t="n">
        <x:v>4064.45</x:v>
      </x:c>
      <x:c r="E2055" s="50" t="n">
        <x:v>49</x:v>
      </x:c>
      <x:c r="F2055" s="46" t="n">
        <x:v>2.7222222222222223</x:v>
      </x:c>
      <x:c r="G2055" s="46" t="n">
        <x:v>2</x:v>
      </x:c>
      <x:c r="H2055" s="61" t="n">
        <x:v>82.94795918367348</x:v>
      </x:c>
      <x:c r="I2055" s="52" t="n">
        <x:v>1</x:v>
      </x:c>
      <x:c r="J2055" s="52" t="n">
        <x:v>0.3890268055948529</x:v>
      </x:c>
      <x:c r="K2055" s="60" t="n">
        <x:v>4064.45</x:v>
      </x:c>
      <x:c r="L2055" s="60" t="n">
        <x:v>0</x:v>
      </x:c>
      <x:c r="M2055" s="50" t="n">
        <x:v>49</x:v>
      </x:c>
      <x:c r="N2055" s="50" t="n">
        <x:v>0</x:v>
      </x:c>
      <x:c r="O2055" s="50" t="n">
        <x:v>150</x:v>
      </x:c>
      <x:c r="P2055" s="50" t="n">
        <x:v>18</x:v>
      </x:c>
    </x:row>
    <x:row r="2056" ht="36" customHeight="1">
      <x:c r="A2056" s="53" t="n">
        <x:v>2037</x:v>
      </x:c>
      <x:c r="B2056" s="53" t="n">
        <x:v>2</x:v>
      </x:c>
      <x:c r="C2056" s="40" t="str">
        <x:v>Large-Basket Occasional Shoppers</x:v>
      </x:c>
      <x:c r="D2056" s="60" t="n">
        <x:v>1743.97</x:v>
      </x:c>
      <x:c r="E2056" s="50" t="n">
        <x:v>97</x:v>
      </x:c>
      <x:c r="F2056" s="46" t="n">
        <x:v>5.105263157894737</x:v>
      </x:c>
      <x:c r="G2056" s="46" t="n">
        <x:v>13</x:v>
      </x:c>
      <x:c r="H2056" s="61" t="n">
        <x:v>17.97907216494845</x:v>
      </x:c>
      <x:c r="I2056" s="52" t="n">
        <x:v>0.8144329896907216</x:v>
      </x:c>
      <x:c r="J2056" s="52" t="n">
        <x:v>0.4740677878633233</x:v>
      </x:c>
      <x:c r="K2056" s="60" t="n">
        <x:v>1551.11</x:v>
      </x:c>
      <x:c r="L2056" s="60" t="n">
        <x:v>192.86</x:v>
      </x:c>
      <x:c r="M2056" s="50" t="n">
        <x:v>79</x:v>
      </x:c>
      <x:c r="N2056" s="50" t="n">
        <x:v>18</x:v>
      </x:c>
      <x:c r="O2056" s="50" t="n">
        <x:v>115</x:v>
      </x:c>
      <x:c r="P2056" s="50" t="n">
        <x:v>19</x:v>
      </x:c>
    </x:row>
    <x:row r="2057" ht="36" customHeight="1">
      <x:c r="A2057" s="53" t="n">
        <x:v>2038</x:v>
      </x:c>
      <x:c r="B2057" s="53" t="n">
        <x:v>2</x:v>
      </x:c>
      <x:c r="C2057" s="40" t="str">
        <x:v>Large-Basket Occasional Shoppers</x:v>
      </x:c>
      <x:c r="D2057" s="60" t="n">
        <x:v>1489.8</x:v>
      </x:c>
      <x:c r="E2057" s="50" t="n">
        <x:v>59</x:v>
      </x:c>
      <x:c r="F2057" s="46" t="n">
        <x:v>3.2777777777777777</x:v>
      </x:c>
      <x:c r="G2057" s="46" t="n">
        <x:v>8</x:v>
      </x:c>
      <x:c r="H2057" s="61" t="n">
        <x:v>25.25084745762712</x:v>
      </x:c>
      <x:c r="I2057" s="52" t="n">
        <x:v>0.9322033898305084</x:v>
      </x:c>
      <x:c r="J2057" s="52" t="n">
        <x:v>0.5704524097194253</x:v>
      </x:c>
      <x:c r="K2057" s="60" t="n">
        <x:v>1438.11</x:v>
      </x:c>
      <x:c r="L2057" s="60" t="n">
        <x:v>51.69</x:v>
      </x:c>
      <x:c r="M2057" s="50" t="n">
        <x:v>55</x:v>
      </x:c>
      <x:c r="N2057" s="50" t="n">
        <x:v>4</x:v>
      </x:c>
      <x:c r="O2057" s="50" t="n">
        <x:v>89</x:v>
      </x:c>
      <x:c r="P2057" s="50" t="n">
        <x:v>18</x:v>
      </x:c>
    </x:row>
    <x:row r="2058" ht="36" customHeight="1">
      <x:c r="A2058" s="53" t="n">
        <x:v>2039</x:v>
      </x:c>
      <x:c r="B2058" s="53" t="n">
        <x:v>1</x:v>
      </x:c>
      <x:c r="C2058" s="40" t="str">
        <x:v>High-Value Frequent Shoppers</x:v>
      </x:c>
      <x:c r="D2058" s="60" t="n">
        <x:v>2260.46</x:v>
      </x:c>
      <x:c r="E2058" s="50" t="n">
        <x:v>74</x:v>
      </x:c>
      <x:c r="F2058" s="46" t="n">
        <x:v>10.571428571428571</x:v>
      </x:c>
      <x:c r="G2058" s="46" t="n">
        <x:v>1</x:v>
      </x:c>
      <x:c r="H2058" s="61" t="n">
        <x:v>30.54675675675676</x:v>
      </x:c>
      <x:c r="I2058" s="52" t="n">
        <x:v>0.8648648648648648</x:v>
      </x:c>
      <x:c r="J2058" s="52" t="n">
        <x:v>0.5151827504136326</x:v>
      </x:c>
      <x:c r="K2058" s="60" t="n">
        <x:v>2105.92</x:v>
      </x:c>
      <x:c r="L2058" s="60" t="n">
        <x:v>154.54</x:v>
      </x:c>
      <x:c r="M2058" s="50" t="n">
        <x:v>64</x:v>
      </x:c>
      <x:c r="N2058" s="50" t="n">
        <x:v>10</x:v>
      </x:c>
      <x:c r="O2058" s="50" t="n">
        <x:v>111</x:v>
      </x:c>
      <x:c r="P2058" s="50" t="n">
        <x:v>7</x:v>
      </x:c>
    </x:row>
    <x:row r="2059" ht="36" customHeight="1">
      <x:c r="A2059" s="53" t="n">
        <x:v>2040</x:v>
      </x:c>
      <x:c r="B2059" s="53" t="n">
        <x:v>1</x:v>
      </x:c>
      <x:c r="C2059" s="40" t="str">
        <x:v>High-Value Frequent Shoppers</x:v>
      </x:c>
      <x:c r="D2059" s="60" t="n">
        <x:v>2968.51</x:v>
      </x:c>
      <x:c r="E2059" s="50" t="n">
        <x:v>422</x:v>
      </x:c>
      <x:c r="F2059" s="46" t="n">
        <x:v>21.1</x:v>
      </x:c>
      <x:c r="G2059" s="46" t="n">
        <x:v>12</x:v>
      </x:c>
      <x:c r="H2059" s="61" t="n">
        <x:v>7.034383886255924</x:v>
      </x:c>
      <x:c r="I2059" s="52" t="n">
        <x:v>0.8009478672985781</x:v>
      </x:c>
      <x:c r="J2059" s="52" t="n">
        <x:v>0.6508450367356013</x:v>
      </x:c>
      <x:c r="K2059" s="60" t="n">
        <x:v>2694.72</x:v>
      </x:c>
      <x:c r="L2059" s="60" t="n">
        <x:v>273.79</x:v>
      </x:c>
      <x:c r="M2059" s="50" t="n">
        <x:v>338</x:v>
      </x:c>
      <x:c r="N2059" s="50" t="n">
        <x:v>84</x:v>
      </x:c>
      <x:c r="O2059" s="50" t="n">
        <x:v>123</x:v>
      </x:c>
      <x:c r="P2059" s="50" t="n">
        <x:v>20</x:v>
      </x:c>
    </x:row>
    <x:row r="2060" ht="36" customHeight="1">
      <x:c r="A2060" s="53" t="n">
        <x:v>2041</x:v>
      </x:c>
      <x:c r="B2060" s="53" t="n">
        <x:v>1</x:v>
      </x:c>
      <x:c r="C2060" s="40" t="str">
        <x:v>High-Value Frequent Shoppers</x:v>
      </x:c>
      <x:c r="D2060" s="60" t="n">
        <x:v>6406.99</x:v>
      </x:c>
      <x:c r="E2060" s="50" t="n">
        <x:v>152</x:v>
      </x:c>
      <x:c r="F2060" s="46" t="n">
        <x:v>7.238095238095238</x:v>
      </x:c>
      <x:c r="G2060" s="46" t="n">
        <x:v>1</x:v>
      </x:c>
      <x:c r="H2060" s="61" t="n">
        <x:v>42.15125</x:v>
      </x:c>
      <x:c r="I2060" s="52" t="n">
        <x:v>0.9013157894736842</x:v>
      </x:c>
      <x:c r="J2060" s="52" t="n">
        <x:v>0.491469473184756</x:v>
      </x:c>
      <x:c r="K2060" s="60" t="n">
        <x:v>6171.96</x:v>
      </x:c>
      <x:c r="L2060" s="60" t="n">
        <x:v>235.03</x:v>
      </x:c>
      <x:c r="M2060" s="50" t="n">
        <x:v>137</x:v>
      </x:c>
      <x:c r="N2060" s="50" t="n">
        <x:v>15</x:v>
      </x:c>
      <x:c r="O2060" s="50" t="n">
        <x:v>141</x:v>
      </x:c>
      <x:c r="P2060" s="50" t="n">
        <x:v>21</x:v>
      </x:c>
    </x:row>
    <x:row r="2061" ht="36" customHeight="1">
      <x:c r="A2061" s="53" t="n">
        <x:v>2042</x:v>
      </x:c>
      <x:c r="B2061" s="53" t="n">
        <x:v>2</x:v>
      </x:c>
      <x:c r="C2061" s="40" t="str">
        <x:v>Large-Basket Occasional Shoppers</x:v>
      </x:c>
      <x:c r="D2061" s="60" t="n">
        <x:v>4809.05</x:v>
      </x:c>
      <x:c r="E2061" s="50" t="n">
        <x:v>29</x:v>
      </x:c>
      <x:c r="F2061" s="46" t="n">
        <x:v>1.5263157894736843</x:v>
      </x:c>
      <x:c r="G2061" s="46" t="n">
        <x:v>28</x:v>
      </x:c>
      <x:c r="H2061" s="61" t="n">
        <x:v>165.82931034482758</x:v>
      </x:c>
      <x:c r="I2061" s="52" t="n">
        <x:v>0.9310344827586206</x:v>
      </x:c>
      <x:c r="J2061" s="52" t="n">
        <x:v>0.5128601282997681</x:v>
      </x:c>
      <x:c r="K2061" s="60" t="n">
        <x:v>4698.61</x:v>
      </x:c>
      <x:c r="L2061" s="60" t="n">
        <x:v>110.44</x:v>
      </x:c>
      <x:c r="M2061" s="50" t="n">
        <x:v>27</x:v>
      </x:c>
      <x:c r="N2061" s="50" t="n">
        <x:v>2</x:v>
      </x:c>
      <x:c r="O2061" s="50" t="n">
        <x:v>128</x:v>
      </x:c>
      <x:c r="P2061" s="50" t="n">
        <x:v>19</x:v>
      </x:c>
    </x:row>
    <x:row r="2062" ht="36" customHeight="1">
      <x:c r="A2062" s="53" t="n">
        <x:v>2043</x:v>
      </x:c>
      <x:c r="B2062" s="53" t="n">
        <x:v>2</x:v>
      </x:c>
      <x:c r="C2062" s="40" t="str">
        <x:v>Large-Basket Occasional Shoppers</x:v>
      </x:c>
      <x:c r="D2062" s="60" t="n">
        <x:v>1640.79</x:v>
      </x:c>
      <x:c r="E2062" s="50" t="n">
        <x:v>65</x:v>
      </x:c>
      <x:c r="F2062" s="46" t="n">
        <x:v>3.095238095238096</x:v>
      </x:c>
      <x:c r="G2062" s="46" t="n">
        <x:v>7</x:v>
      </x:c>
      <x:c r="H2062" s="61" t="n">
        <x:v>25.24292307692308</x:v>
      </x:c>
      <x:c r="I2062" s="52" t="n">
        <x:v>0.923076923076923</x:v>
      </x:c>
      <x:c r="J2062" s="52" t="n">
        <x:v>0.4569871830033093</x:v>
      </x:c>
      <x:c r="K2062" s="60" t="n">
        <x:v>1619.48</x:v>
      </x:c>
      <x:c r="L2062" s="60" t="n">
        <x:v>21.31</x:v>
      </x:c>
      <x:c r="M2062" s="50" t="n">
        <x:v>60</x:v>
      </x:c>
      <x:c r="N2062" s="50" t="n">
        <x:v>5</x:v>
      </x:c>
      <x:c r="O2062" s="50" t="n">
        <x:v>118</x:v>
      </x:c>
      <x:c r="P2062" s="50" t="n">
        <x:v>21</x:v>
      </x:c>
    </x:row>
    <x:row r="2063" ht="36" customHeight="1">
      <x:c r="A2063" s="53" t="n">
        <x:v>2044</x:v>
      </x:c>
      <x:c r="B2063" s="53" t="n">
        <x:v>3</x:v>
      </x:c>
      <x:c r="C2063" s="40" t="str">
        <x:v>Low-Value Low-Engagement Shoppers</x:v>
      </x:c>
      <x:c r="D2063" s="60" t="n">
        <x:v>1000.84</x:v>
      </x:c>
      <x:c r="E2063" s="50" t="n">
        <x:v>48</x:v>
      </x:c>
      <x:c r="F2063" s="46" t="n">
        <x:v>2.526315789473684</x:v>
      </x:c>
      <x:c r="G2063" s="46" t="n">
        <x:v>62</x:v>
      </x:c>
      <x:c r="H2063" s="61" t="n">
        <x:v>20.85083333333333</x:v>
      </x:c>
      <x:c r="I2063" s="52" t="n">
        <x:v>0.8333333333333333</x:v>
      </x:c>
      <x:c r="J2063" s="52" t="n">
        <x:v>0.3067023700091922</x:v>
      </x:c>
      <x:c r="K2063" s="60" t="n">
        <x:v>943.62</x:v>
      </x:c>
      <x:c r="L2063" s="60" t="n">
        <x:v>57.22</x:v>
      </x:c>
      <x:c r="M2063" s="50" t="n">
        <x:v>40</x:v>
      </x:c>
      <x:c r="N2063" s="50" t="n">
        <x:v>8</x:v>
      </x:c>
      <x:c r="O2063" s="50" t="n">
        <x:v>92</x:v>
      </x:c>
      <x:c r="P2063" s="50" t="n">
        <x:v>19</x:v>
      </x:c>
    </x:row>
    <x:row r="2064" ht="36" customHeight="1">
      <x:c r="A2064" s="53" t="n">
        <x:v>2045</x:v>
      </x:c>
      <x:c r="B2064" s="53" t="n">
        <x:v>3</x:v>
      </x:c>
      <x:c r="C2064" s="40" t="str">
        <x:v>Low-Value Low-Engagement Shoppers</x:v>
      </x:c>
      <x:c r="D2064" s="60" t="n">
        <x:v>310.64</x:v>
      </x:c>
      <x:c r="E2064" s="50" t="n">
        <x:v>19</x:v>
      </x:c>
      <x:c r="F2064" s="46" t="n">
        <x:v>1.5833333333333333</x:v>
      </x:c>
      <x:c r="G2064" s="46" t="n">
        <x:v>114</x:v>
      </x:c>
      <x:c r="H2064" s="61" t="n">
        <x:v>16.349473684210526</x:v>
      </x:c>
      <x:c r="I2064" s="52" t="n">
        <x:v>0.894736842105263</x:v>
      </x:c>
      <x:c r="J2064" s="52" t="n">
        <x:v>0.4423126448622199</x:v>
      </x:c>
      <x:c r="K2064" s="60" t="n">
        <x:v>292.46</x:v>
      </x:c>
      <x:c r="L2064" s="60" t="n">
        <x:v>18.18</x:v>
      </x:c>
      <x:c r="M2064" s="50" t="n">
        <x:v>17</x:v>
      </x:c>
      <x:c r="N2064" s="50" t="n">
        <x:v>2</x:v>
      </x:c>
      <x:c r="O2064" s="50" t="n">
        <x:v>44</x:v>
      </x:c>
      <x:c r="P2064" s="50" t="n">
        <x:v>12</x:v>
      </x:c>
    </x:row>
    <x:row r="2065" ht="36" customHeight="1">
      <x:c r="A2065" s="53" t="n">
        <x:v>2046</x:v>
      </x:c>
      <x:c r="B2065" s="53" t="n">
        <x:v>3</x:v>
      </x:c>
      <x:c r="C2065" s="40" t="str">
        <x:v>Low-Value Low-Engagement Shoppers</x:v>
      </x:c>
      <x:c r="D2065" s="60" t="n">
        <x:v>638.8</x:v>
      </x:c>
      <x:c r="E2065" s="50" t="n">
        <x:v>48</x:v>
      </x:c>
      <x:c r="F2065" s="46" t="n">
        <x:v>2.526315789473684</x:v>
      </x:c>
      <x:c r="G2065" s="46" t="n">
        <x:v>21</x:v>
      </x:c>
      <x:c r="H2065" s="61" t="n">
        <x:v>13.308333333333332</x:v>
      </x:c>
      <x:c r="I2065" s="52" t="n">
        <x:v>0.8125</x:v>
      </x:c>
      <x:c r="J2065" s="52" t="n">
        <x:v>0.4371477770820288</x:v>
      </x:c>
      <x:c r="K2065" s="60" t="n">
        <x:v>488.84</x:v>
      </x:c>
      <x:c r="L2065" s="60" t="n">
        <x:v>149.96</x:v>
      </x:c>
      <x:c r="M2065" s="50" t="n">
        <x:v>39</x:v>
      </x:c>
      <x:c r="N2065" s="50" t="n">
        <x:v>9</x:v>
      </x:c>
      <x:c r="O2065" s="50" t="n">
        <x:v>78</x:v>
      </x:c>
      <x:c r="P2065" s="50" t="n">
        <x:v>19</x:v>
      </x:c>
    </x:row>
    <x:row r="2066" ht="36" customHeight="1">
      <x:c r="A2066" s="53" t="n">
        <x:v>2047</x:v>
      </x:c>
      <x:c r="B2066" s="53" t="n">
        <x:v>1</x:v>
      </x:c>
      <x:c r="C2066" s="40" t="str">
        <x:v>High-Value Frequent Shoppers</x:v>
      </x:c>
      <x:c r="D2066" s="60" t="n">
        <x:v>4816.35</x:v>
      </x:c>
      <x:c r="E2066" s="50" t="n">
        <x:v>119</x:v>
      </x:c>
      <x:c r="F2066" s="46" t="n">
        <x:v>6.263157894736842</x:v>
      </x:c>
      <x:c r="G2066" s="46" t="n">
        <x:v>14</x:v>
      </x:c>
      <x:c r="H2066" s="61" t="n">
        <x:v>40.47352941176471</x:v>
      </x:c>
      <x:c r="I2066" s="52" t="n">
        <x:v>0.8403361344537815</x:v>
      </x:c>
      <x:c r="J2066" s="52" t="n">
        <x:v>0.5949131603807862</x:v>
      </x:c>
      <x:c r="K2066" s="60" t="n">
        <x:v>4677.1</x:v>
      </x:c>
      <x:c r="L2066" s="60" t="n">
        <x:v>139.25</x:v>
      </x:c>
      <x:c r="M2066" s="50" t="n">
        <x:v>100</x:v>
      </x:c>
      <x:c r="N2066" s="50" t="n">
        <x:v>19</x:v>
      </x:c>
      <x:c r="O2066" s="50" t="n">
        <x:v>169</x:v>
      </x:c>
      <x:c r="P2066" s="50" t="n">
        <x:v>19</x:v>
      </x:c>
    </x:row>
    <x:row r="2067" ht="36" customHeight="1">
      <x:c r="A2067" s="53" t="n">
        <x:v>2048</x:v>
      </x:c>
      <x:c r="B2067" s="53" t="n">
        <x:v>2</x:v>
      </x:c>
      <x:c r="C2067" s="40" t="str">
        <x:v>Large-Basket Occasional Shoppers</x:v>
      </x:c>
      <x:c r="D2067" s="60" t="n">
        <x:v>1538.46</x:v>
      </x:c>
      <x:c r="E2067" s="50" t="n">
        <x:v>47</x:v>
      </x:c>
      <x:c r="F2067" s="46" t="n">
        <x:v>2.9375</x:v>
      </x:c>
      <x:c r="G2067" s="46" t="n">
        <x:v>26</x:v>
      </x:c>
      <x:c r="H2067" s="61" t="n">
        <x:v>32.7331914893617</x:v>
      </x:c>
      <x:c r="I2067" s="52" t="n">
        <x:v>0.8085106382978723</x:v>
      </x:c>
      <x:c r="J2067" s="52" t="n">
        <x:v>0.6815971815971815</x:v>
      </x:c>
      <x:c r="K2067" s="60" t="n">
        <x:v>1497.68</x:v>
      </x:c>
      <x:c r="L2067" s="60" t="n">
        <x:v>40.78</x:v>
      </x:c>
      <x:c r="M2067" s="50" t="n">
        <x:v>38</x:v>
      </x:c>
      <x:c r="N2067" s="50" t="n">
        <x:v>9</x:v>
      </x:c>
      <x:c r="O2067" s="50" t="n">
        <x:v>99</x:v>
      </x:c>
      <x:c r="P2067" s="50" t="n">
        <x:v>16</x:v>
      </x:c>
    </x:row>
    <x:row r="2068" ht="36" customHeight="1">
      <x:c r="A2068" s="53" t="n">
        <x:v>2049</x:v>
      </x:c>
      <x:c r="B2068" s="53" t="n">
        <x:v>3</x:v>
      </x:c>
      <x:c r="C2068" s="40" t="str">
        <x:v>Low-Value Low-Engagement Shoppers</x:v>
      </x:c>
      <x:c r="D2068" s="60" t="n">
        <x:v>998.12</x:v>
      </x:c>
      <x:c r="E2068" s="50" t="n">
        <x:v>36</x:v>
      </x:c>
      <x:c r="F2068" s="46" t="n">
        <x:v>1.8</x:v>
      </x:c>
      <x:c r="G2068" s="46" t="n">
        <x:v>2</x:v>
      </x:c>
      <x:c r="H2068" s="61" t="n">
        <x:v>27.725555555555555</x:v>
      </x:c>
      <x:c r="I2068" s="52" t="n">
        <x:v>0.6666666666666666</x:v>
      </x:c>
      <x:c r="J2068" s="52" t="n">
        <x:v>0.5251572957159459</x:v>
      </x:c>
      <x:c r="K2068" s="60" t="n">
        <x:v>948.02</x:v>
      </x:c>
      <x:c r="L2068" s="60" t="n">
        <x:v>50.1</x:v>
      </x:c>
      <x:c r="M2068" s="50" t="n">
        <x:v>24</x:v>
      </x:c>
      <x:c r="N2068" s="50" t="n">
        <x:v>12</x:v>
      </x:c>
      <x:c r="O2068" s="50" t="n">
        <x:v>90</x:v>
      </x:c>
      <x:c r="P2068" s="50" t="n">
        <x:v>20</x:v>
      </x:c>
    </x:row>
    <x:row r="2069" ht="36" customHeight="1">
      <x:c r="A2069" s="53" t="n">
        <x:v>2050</x:v>
      </x:c>
      <x:c r="B2069" s="53" t="n">
        <x:v>1</x:v>
      </x:c>
      <x:c r="C2069" s="40" t="str">
        <x:v>High-Value Frequent Shoppers</x:v>
      </x:c>
      <x:c r="D2069" s="60" t="n">
        <x:v>5193.22</x:v>
      </x:c>
      <x:c r="E2069" s="50" t="n">
        <x:v>160</x:v>
      </x:c>
      <x:c r="F2069" s="46" t="n">
        <x:v>6.666666666666666</x:v>
      </x:c>
      <x:c r="G2069" s="46" t="n">
        <x:v>3</x:v>
      </x:c>
      <x:c r="H2069" s="61" t="n">
        <x:v>32.457625</x:v>
      </x:c>
      <x:c r="I2069" s="52" t="n">
        <x:v>0.875</x:v>
      </x:c>
      <x:c r="J2069" s="52" t="n">
        <x:v>0.5610334243494401</x:v>
      </x:c>
      <x:c r="K2069" s="60" t="n">
        <x:v>4814.03</x:v>
      </x:c>
      <x:c r="L2069" s="60" t="n">
        <x:v>379.19</x:v>
      </x:c>
      <x:c r="M2069" s="50" t="n">
        <x:v>140</x:v>
      </x:c>
      <x:c r="N2069" s="50" t="n">
        <x:v>20</x:v>
      </x:c>
      <x:c r="O2069" s="50" t="n">
        <x:v>163</x:v>
      </x:c>
      <x:c r="P2069" s="50" t="n">
        <x:v>24</x:v>
      </x:c>
    </x:row>
    <x:row r="2070" ht="36" customHeight="1">
      <x:c r="A2070" s="53" t="n">
        <x:v>2051</x:v>
      </x:c>
      <x:c r="B2070" s="53" t="n">
        <x:v>1</x:v>
      </x:c>
      <x:c r="C2070" s="40" t="str">
        <x:v>High-Value Frequent Shoppers</x:v>
      </x:c>
      <x:c r="D2070" s="60" t="n">
        <x:v>4923.16</x:v>
      </x:c>
      <x:c r="E2070" s="50" t="n">
        <x:v>288</x:v>
      </x:c>
      <x:c r="F2070" s="46" t="n">
        <x:v>20.57142857142857</x:v>
      </x:c>
      <x:c r="G2070" s="46" t="n">
        <x:v>249</x:v>
      </x:c>
      <x:c r="H2070" s="61" t="n">
        <x:v>17.094305555555557</x:v>
      </x:c>
      <x:c r="I2070" s="52" t="n">
        <x:v>0.8576388888888888</x:v>
      </x:c>
      <x:c r="J2070" s="52" t="n">
        <x:v>0.5395457389156557</x:v>
      </x:c>
      <x:c r="K2070" s="60" t="n">
        <x:v>4442.9</x:v>
      </x:c>
      <x:c r="L2070" s="60" t="n">
        <x:v>480.26</x:v>
      </x:c>
      <x:c r="M2070" s="50" t="n">
        <x:v>247</x:v>
      </x:c>
      <x:c r="N2070" s="50" t="n">
        <x:v>41</x:v>
      </x:c>
      <x:c r="O2070" s="50" t="n">
        <x:v>136</x:v>
      </x:c>
      <x:c r="P2070" s="50" t="n">
        <x:v>14</x:v>
      </x:c>
    </x:row>
    <x:row r="2071" ht="36" customHeight="1">
      <x:c r="A2071" s="53" t="n">
        <x:v>2052</x:v>
      </x:c>
      <x:c r="B2071" s="53" t="n">
        <x:v>3</x:v>
      </x:c>
      <x:c r="C2071" s="40" t="str">
        <x:v>Low-Value Low-Engagement Shoppers</x:v>
      </x:c>
      <x:c r="D2071" s="60" t="n">
        <x:v>131.83</x:v>
      </x:c>
      <x:c r="E2071" s="50" t="n">
        <x:v>6</x:v>
      </x:c>
      <x:c r="F2071" s="46" t="n">
        <x:v>1.2</x:v>
      </x:c>
      <x:c r="G2071" s="46" t="n">
        <x:v>120</x:v>
      </x:c>
      <x:c r="H2071" s="61" t="n">
        <x:v>21.971666666666664</x:v>
      </x:c>
      <x:c r="I2071" s="52" t="n">
        <x:v>0.8333333333333333</x:v>
      </x:c>
      <x:c r="J2071" s="52" t="n">
        <x:v>0.6120003034210725</x:v>
      </x:c>
      <x:c r="K2071" s="60" t="n">
        <x:v>128.14</x:v>
      </x:c>
      <x:c r="L2071" s="60" t="n">
        <x:v>3.69</x:v>
      </x:c>
      <x:c r="M2071" s="50" t="n">
        <x:v>5</x:v>
      </x:c>
      <x:c r="N2071" s="50" t="n">
        <x:v>1</x:v>
      </x:c>
      <x:c r="O2071" s="50" t="n">
        <x:v>30</x:v>
      </x:c>
      <x:c r="P2071" s="50" t="n">
        <x:v>5</x:v>
      </x:c>
    </x:row>
    <x:row r="2072" ht="36" customHeight="1">
      <x:c r="A2072" s="53" t="n">
        <x:v>2053</x:v>
      </x:c>
      <x:c r="B2072" s="53" t="n">
        <x:v>1</x:v>
      </x:c>
      <x:c r="C2072" s="40" t="str">
        <x:v>High-Value Frequent Shoppers</x:v>
      </x:c>
      <x:c r="D2072" s="60" t="n">
        <x:v>3351.34</x:v>
      </x:c>
      <x:c r="E2072" s="50" t="n">
        <x:v>165</x:v>
      </x:c>
      <x:c r="F2072" s="46" t="n">
        <x:v>8.25</x:v>
      </x:c>
      <x:c r="G2072" s="46" t="n">
        <x:v>11</x:v>
      </x:c>
      <x:c r="H2072" s="61" t="n">
        <x:v>20.311151515151515</x:v>
      </x:c>
      <x:c r="I2072" s="52" t="n">
        <x:v>0.8666666666666666</x:v>
      </x:c>
      <x:c r="J2072" s="52" t="n">
        <x:v>0.5155758592085553</x:v>
      </x:c>
      <x:c r="K2072" s="60" t="n">
        <x:v>3196.76</x:v>
      </x:c>
      <x:c r="L2072" s="60" t="n">
        <x:v>154.58</x:v>
      </x:c>
      <x:c r="M2072" s="50" t="n">
        <x:v>143</x:v>
      </x:c>
      <x:c r="N2072" s="50" t="n">
        <x:v>22</x:v>
      </x:c>
      <x:c r="O2072" s="50" t="n">
        <x:v>132</x:v>
      </x:c>
      <x:c r="P2072" s="50" t="n">
        <x:v>20</x:v>
      </x:c>
    </x:row>
    <x:row r="2073" ht="36" customHeight="1">
      <x:c r="A2073" s="53" t="n">
        <x:v>2054</x:v>
      </x:c>
      <x:c r="B2073" s="53" t="n">
        <x:v>3</x:v>
      </x:c>
      <x:c r="C2073" s="40" t="str">
        <x:v>Low-Value Low-Engagement Shoppers</x:v>
      </x:c>
      <x:c r="D2073" s="60" t="n">
        <x:v>217.6</x:v>
      </x:c>
      <x:c r="E2073" s="50" t="n">
        <x:v>26</x:v>
      </x:c>
      <x:c r="F2073" s="46" t="n">
        <x:v>1.5294117647058825</x:v>
      </x:c>
      <x:c r="G2073" s="46" t="n">
        <x:v>4</x:v>
      </x:c>
      <x:c r="H2073" s="61" t="n">
        <x:v>8.36923076923077</x:v>
      </x:c>
      <x:c r="I2073" s="52" t="n">
        <x:v>0.9615384615384616</x:v>
      </x:c>
      <x:c r="J2073" s="52" t="n">
        <x:v>0.8928308823529411</x:v>
      </x:c>
      <x:c r="K2073" s="60" t="n">
        <x:v>216.6</x:v>
      </x:c>
      <x:c r="L2073" s="60" t="n">
        <x:v>1</x:v>
      </x:c>
      <x:c r="M2073" s="50" t="n">
        <x:v>25</x:v>
      </x:c>
      <x:c r="N2073" s="50" t="n">
        <x:v>1</x:v>
      </x:c>
      <x:c r="O2073" s="50" t="n">
        <x:v>31</x:v>
      </x:c>
      <x:c r="P2073" s="50" t="n">
        <x:v>17</x:v>
      </x:c>
    </x:row>
    <x:row r="2074" ht="36" customHeight="1">
      <x:c r="A2074" s="53" t="n">
        <x:v>2055</x:v>
      </x:c>
      <x:c r="B2074" s="53" t="n">
        <x:v>1</x:v>
      </x:c>
      <x:c r="C2074" s="40" t="str">
        <x:v>High-Value Frequent Shoppers</x:v>
      </x:c>
      <x:c r="D2074" s="60" t="n">
        <x:v>2408.74</x:v>
      </x:c>
      <x:c r="E2074" s="50" t="n">
        <x:v>133</x:v>
      </x:c>
      <x:c r="F2074" s="46" t="n">
        <x:v>7.823529411764707</x:v>
      </x:c>
      <x:c r="G2074" s="46" t="n">
        <x:v>0</x:v>
      </x:c>
      <x:c r="H2074" s="61" t="n">
        <x:v>18.110827067669167</x:v>
      </x:c>
      <x:c r="I2074" s="52" t="n">
        <x:v>0.9022556390977444</x:v>
      </x:c>
      <x:c r="J2074" s="52" t="n">
        <x:v>0.4187749611830251</x:v>
      </x:c>
      <x:c r="K2074" s="60" t="n">
        <x:v>2274.52</x:v>
      </x:c>
      <x:c r="L2074" s="60" t="n">
        <x:v>134.22</x:v>
      </x:c>
      <x:c r="M2074" s="50" t="n">
        <x:v>120</x:v>
      </x:c>
      <x:c r="N2074" s="50" t="n">
        <x:v>13</x:v>
      </x:c>
      <x:c r="O2074" s="50" t="n">
        <x:v>125</x:v>
      </x:c>
      <x:c r="P2074" s="50" t="n">
        <x:v>17</x:v>
      </x:c>
    </x:row>
    <x:row r="2075" ht="36" customHeight="1">
      <x:c r="A2075" s="53" t="n">
        <x:v>2056</x:v>
      </x:c>
      <x:c r="B2075" s="53" t="n">
        <x:v>1</x:v>
      </x:c>
      <x:c r="C2075" s="40" t="str">
        <x:v>High-Value Frequent Shoppers</x:v>
      </x:c>
      <x:c r="D2075" s="60" t="n">
        <x:v>2450.8</x:v>
      </x:c>
      <x:c r="E2075" s="50" t="n">
        <x:v>108</x:v>
      </x:c>
      <x:c r="F2075" s="46" t="n">
        <x:v>5.142857142857143</x:v>
      </x:c>
      <x:c r="G2075" s="46" t="n">
        <x:v>0</x:v>
      </x:c>
      <x:c r="H2075" s="61" t="n">
        <x:v>22.692592592592597</x:v>
      </x:c>
      <x:c r="I2075" s="52" t="n">
        <x:v>0.6944444444444444</x:v>
      </x:c>
      <x:c r="J2075" s="52" t="n">
        <x:v>0.4400603884445895</x:v>
      </x:c>
      <x:c r="K2075" s="60" t="n">
        <x:v>2260.26</x:v>
      </x:c>
      <x:c r="L2075" s="60" t="n">
        <x:v>190.54</x:v>
      </x:c>
      <x:c r="M2075" s="50" t="n">
        <x:v>75</x:v>
      </x:c>
      <x:c r="N2075" s="50" t="n">
        <x:v>33</x:v>
      </x:c>
      <x:c r="O2075" s="50" t="n">
        <x:v>139</x:v>
      </x:c>
      <x:c r="P2075" s="50" t="n">
        <x:v>21</x:v>
      </x:c>
    </x:row>
    <x:row r="2076" ht="36" customHeight="1">
      <x:c r="A2076" s="53" t="n">
        <x:v>2057</x:v>
      </x:c>
      <x:c r="B2076" s="53" t="n">
        <x:v>1</x:v>
      </x:c>
      <x:c r="C2076" s="40" t="str">
        <x:v>High-Value Frequent Shoppers</x:v>
      </x:c>
      <x:c r="D2076" s="60" t="n">
        <x:v>3150.45</x:v>
      </x:c>
      <x:c r="E2076" s="50" t="n">
        <x:v>125</x:v>
      </x:c>
      <x:c r="F2076" s="46" t="n">
        <x:v>5.952380952380952</x:v>
      </x:c>
      <x:c r="G2076" s="46" t="n">
        <x:v>0</x:v>
      </x:c>
      <x:c r="H2076" s="61" t="n">
        <x:v>25.2036</x:v>
      </x:c>
      <x:c r="I2076" s="52" t="n">
        <x:v>0.808</x:v>
      </x:c>
      <x:c r="J2076" s="52" t="n">
        <x:v>0.6768715580313923</x:v>
      </x:c>
      <x:c r="K2076" s="60" t="n">
        <x:v>2901.81</x:v>
      </x:c>
      <x:c r="L2076" s="60" t="n">
        <x:v>248.64</x:v>
      </x:c>
      <x:c r="M2076" s="50" t="n">
        <x:v>101</x:v>
      </x:c>
      <x:c r="N2076" s="50" t="n">
        <x:v>24</x:v>
      </x:c>
      <x:c r="O2076" s="50" t="n">
        <x:v>137</x:v>
      </x:c>
      <x:c r="P2076" s="50" t="n">
        <x:v>21</x:v>
      </x:c>
    </x:row>
    <x:row r="2077" ht="36" customHeight="1">
      <x:c r="A2077" s="53" t="n">
        <x:v>2058</x:v>
      </x:c>
      <x:c r="B2077" s="53" t="n">
        <x:v>1</x:v>
      </x:c>
      <x:c r="C2077" s="40" t="str">
        <x:v>High-Value Frequent Shoppers</x:v>
      </x:c>
      <x:c r="D2077" s="60" t="n">
        <x:v>5970.57</x:v>
      </x:c>
      <x:c r="E2077" s="50" t="n">
        <x:v>167</x:v>
      </x:c>
      <x:c r="F2077" s="46" t="n">
        <x:v>6.958333333333333</x:v>
      </x:c>
      <x:c r="G2077" s="46" t="n">
        <x:v>0</x:v>
      </x:c>
      <x:c r="H2077" s="61" t="n">
        <x:v>35.751916167664675</x:v>
      </x:c>
      <x:c r="I2077" s="52" t="n">
        <x:v>0.778443113772455</x:v>
      </x:c>
      <x:c r="J2077" s="52" t="n">
        <x:v>0.3334154025495053</x:v>
      </x:c>
      <x:c r="K2077" s="60" t="n">
        <x:v>5479.66</x:v>
      </x:c>
      <x:c r="L2077" s="60" t="n">
        <x:v>490.91</x:v>
      </x:c>
      <x:c r="M2077" s="50" t="n">
        <x:v>130</x:v>
      </x:c>
      <x:c r="N2077" s="50" t="n">
        <x:v>37</x:v>
      </x:c>
      <x:c r="O2077" s="50" t="n">
        <x:v>172</x:v>
      </x:c>
      <x:c r="P2077" s="50" t="n">
        <x:v>24</x:v>
      </x:c>
    </x:row>
    <x:row r="2078" ht="36" customHeight="1">
      <x:c r="A2078" s="53" t="n">
        <x:v>2059</x:v>
      </x:c>
      <x:c r="B2078" s="53" t="n">
        <x:v>2</x:v>
      </x:c>
      <x:c r="C2078" s="40" t="str">
        <x:v>Large-Basket Occasional Shoppers</x:v>
      </x:c>
      <x:c r="D2078" s="60" t="n">
        <x:v>2359.12</x:v>
      </x:c>
      <x:c r="E2078" s="50" t="n">
        <x:v>54</x:v>
      </x:c>
      <x:c r="F2078" s="46" t="n">
        <x:v>3.176470588235294</x:v>
      </x:c>
      <x:c r="G2078" s="46" t="n">
        <x:v>1</x:v>
      </x:c>
      <x:c r="H2078" s="61" t="n">
        <x:v>43.687407407407406</x:v>
      </x:c>
      <x:c r="I2078" s="52" t="n">
        <x:v>0.8888888888888888</x:v>
      </x:c>
      <x:c r="J2078" s="52" t="n">
        <x:v>0.5672962799688019</x:v>
      </x:c>
      <x:c r="K2078" s="60" t="n">
        <x:v>2282.5</x:v>
      </x:c>
      <x:c r="L2078" s="60" t="n">
        <x:v>76.62</x:v>
      </x:c>
      <x:c r="M2078" s="50" t="n">
        <x:v>48</x:v>
      </x:c>
      <x:c r="N2078" s="50" t="n">
        <x:v>6</x:v>
      </x:c>
      <x:c r="O2078" s="50" t="n">
        <x:v>149</x:v>
      </x:c>
      <x:c r="P2078" s="50" t="n">
        <x:v>17</x:v>
      </x:c>
    </x:row>
    <x:row r="2079" ht="36" customHeight="1">
      <x:c r="A2079" s="53" t="n">
        <x:v>2060</x:v>
      </x:c>
      <x:c r="B2079" s="53" t="n">
        <x:v>3</x:v>
      </x:c>
      <x:c r="C2079" s="40" t="str">
        <x:v>Low-Value Low-Engagement Shoppers</x:v>
      </x:c>
      <x:c r="D2079" s="60" t="n">
        <x:v>629.9</x:v>
      </x:c>
      <x:c r="E2079" s="50" t="n">
        <x:v>32</x:v>
      </x:c>
      <x:c r="F2079" s="46" t="n">
        <x:v>2.2857142857142856</x:v>
      </x:c>
      <x:c r="G2079" s="46" t="n">
        <x:v>15</x:v>
      </x:c>
      <x:c r="H2079" s="61" t="n">
        <x:v>19.684375</x:v>
      </x:c>
      <x:c r="I2079" s="52" t="n">
        <x:v>0.71875</x:v>
      </x:c>
      <x:c r="J2079" s="52" t="n">
        <x:v>0.3660739799968248</x:v>
      </x:c>
      <x:c r="K2079" s="60" t="n">
        <x:v>500.63</x:v>
      </x:c>
      <x:c r="L2079" s="60" t="n">
        <x:v>129.27</x:v>
      </x:c>
      <x:c r="M2079" s="50" t="n">
        <x:v>23</x:v>
      </x:c>
      <x:c r="N2079" s="50" t="n">
        <x:v>9</x:v>
      </x:c>
      <x:c r="O2079" s="50" t="n">
        <x:v>48</x:v>
      </x:c>
      <x:c r="P2079" s="50" t="n">
        <x:v>14</x:v>
      </x:c>
    </x:row>
    <x:row r="2080" ht="36" customHeight="1">
      <x:c r="A2080" s="53" t="n">
        <x:v>2061</x:v>
      </x:c>
      <x:c r="B2080" s="53" t="n">
        <x:v>3</x:v>
      </x:c>
      <x:c r="C2080" s="40" t="str">
        <x:v>Low-Value Low-Engagement Shoppers</x:v>
      </x:c>
      <x:c r="D2080" s="60" t="n">
        <x:v>226.71</x:v>
      </x:c>
      <x:c r="E2080" s="50" t="n">
        <x:v>18</x:v>
      </x:c>
      <x:c r="F2080" s="46" t="n">
        <x:v>1.6363636363636365</x:v>
      </x:c>
      <x:c r="G2080" s="46" t="n">
        <x:v>66</x:v>
      </x:c>
      <x:c r="H2080" s="61" t="n">
        <x:v>12.595</x:v>
      </x:c>
      <x:c r="I2080" s="52" t="n">
        <x:v>0.611111111111111</x:v>
      </x:c>
      <x:c r="J2080" s="52" t="n">
        <x:v>0.2785055798156234</x:v>
      </x:c>
      <x:c r="K2080" s="60" t="n">
        <x:v>157.4</x:v>
      </x:c>
      <x:c r="L2080" s="60" t="n">
        <x:v>69.31</x:v>
      </x:c>
      <x:c r="M2080" s="50" t="n">
        <x:v>11</x:v>
      </x:c>
      <x:c r="N2080" s="50" t="n">
        <x:v>7</x:v>
      </x:c>
      <x:c r="O2080" s="50" t="n">
        <x:v>44</x:v>
      </x:c>
      <x:c r="P2080" s="50" t="n">
        <x:v>11</x:v>
      </x:c>
    </x:row>
    <x:row r="2081" ht="36" customHeight="1">
      <x:c r="A2081" s="53" t="n">
        <x:v>2062</x:v>
      </x:c>
      <x:c r="B2081" s="53" t="n">
        <x:v>1</x:v>
      </x:c>
      <x:c r="C2081" s="40" t="str">
        <x:v>High-Value Frequent Shoppers</x:v>
      </x:c>
      <x:c r="D2081" s="60" t="n">
        <x:v>5357.62</x:v>
      </x:c>
      <x:c r="E2081" s="50" t="n">
        <x:v>219</x:v>
      </x:c>
      <x:c r="F2081" s="46" t="n">
        <x:v>10.428571428571429</x:v>
      </x:c>
      <x:c r="G2081" s="46" t="n">
        <x:v>5</x:v>
      </x:c>
      <x:c r="H2081" s="61" t="n">
        <x:v>24.464018264840185</x:v>
      </x:c>
      <x:c r="I2081" s="52" t="n">
        <x:v>0.9223744292237442</x:v>
      </x:c>
      <x:c r="J2081" s="52" t="n">
        <x:v>0.5465691855712052</x:v>
      </x:c>
      <x:c r="K2081" s="60" t="n">
        <x:v>5254.69</x:v>
      </x:c>
      <x:c r="L2081" s="60" t="n">
        <x:v>102.93</x:v>
      </x:c>
      <x:c r="M2081" s="50" t="n">
        <x:v>202</x:v>
      </x:c>
      <x:c r="N2081" s="50" t="n">
        <x:v>17</x:v>
      </x:c>
      <x:c r="O2081" s="50" t="n">
        <x:v>174</x:v>
      </x:c>
      <x:c r="P2081" s="50" t="n">
        <x:v>21</x:v>
      </x:c>
    </x:row>
    <x:row r="2082" ht="36" customHeight="1">
      <x:c r="A2082" s="53" t="n">
        <x:v>2063</x:v>
      </x:c>
      <x:c r="B2082" s="53" t="n">
        <x:v>2</x:v>
      </x:c>
      <x:c r="C2082" s="40" t="str">
        <x:v>Large-Basket Occasional Shoppers</x:v>
      </x:c>
      <x:c r="D2082" s="60" t="n">
        <x:v>2591.43</x:v>
      </x:c>
      <x:c r="E2082" s="50" t="n">
        <x:v>81</x:v>
      </x:c>
      <x:c r="F2082" s="46" t="n">
        <x:v>3.6818181818181817</x:v>
      </x:c>
      <x:c r="G2082" s="46" t="n">
        <x:v>5</x:v>
      </x:c>
      <x:c r="H2082" s="61" t="n">
        <x:v>31.992962962962963</x:v>
      </x:c>
      <x:c r="I2082" s="52" t="n">
        <x:v>0.8888888888888888</x:v>
      </x:c>
      <x:c r="J2082" s="52" t="n">
        <x:v>0.4053399088534129</x:v>
      </x:c>
      <x:c r="K2082" s="60" t="n">
        <x:v>2477.36</x:v>
      </x:c>
      <x:c r="L2082" s="60" t="n">
        <x:v>114.07</x:v>
      </x:c>
      <x:c r="M2082" s="50" t="n">
        <x:v>72</x:v>
      </x:c>
      <x:c r="N2082" s="50" t="n">
        <x:v>9</x:v>
      </x:c>
      <x:c r="O2082" s="50" t="n">
        <x:v>103</x:v>
      </x:c>
      <x:c r="P2082" s="50" t="n">
        <x:v>22</x:v>
      </x:c>
    </x:row>
    <x:row r="2083" ht="36" customHeight="1">
      <x:c r="A2083" s="53" t="n">
        <x:v>2064</x:v>
      </x:c>
      <x:c r="B2083" s="53" t="n">
        <x:v>1</x:v>
      </x:c>
      <x:c r="C2083" s="40" t="str">
        <x:v>High-Value Frequent Shoppers</x:v>
      </x:c>
      <x:c r="D2083" s="60" t="n">
        <x:v>5424.85</x:v>
      </x:c>
      <x:c r="E2083" s="50" t="n">
        <x:v>271</x:v>
      </x:c>
      <x:c r="F2083" s="46" t="n">
        <x:v>11.291666666666666</x:v>
      </x:c>
      <x:c r="G2083" s="46" t="n">
        <x:v>0</x:v>
      </x:c>
      <x:c r="H2083" s="61" t="n">
        <x:v>20.01789667896679</x:v>
      </x:c>
      <x:c r="I2083" s="52" t="n">
        <x:v>0.7490774907749077</x:v>
      </x:c>
      <x:c r="J2083" s="52" t="n">
        <x:v>0.3050701862724314</x:v>
      </x:c>
      <x:c r="K2083" s="60" t="n">
        <x:v>4758.57</x:v>
      </x:c>
      <x:c r="L2083" s="60" t="n">
        <x:v>666.28</x:v>
      </x:c>
      <x:c r="M2083" s="50" t="n">
        <x:v>203</x:v>
      </x:c>
      <x:c r="N2083" s="50" t="n">
        <x:v>68</x:v>
      </x:c>
      <x:c r="O2083" s="50" t="n">
        <x:v>180</x:v>
      </x:c>
      <x:c r="P2083" s="50" t="n">
        <x:v>24</x:v>
      </x:c>
    </x:row>
    <x:row r="2084" ht="36" customHeight="1">
      <x:c r="A2084" s="53" t="n">
        <x:v>2065</x:v>
      </x:c>
      <x:c r="B2084" s="53" t="n">
        <x:v>1</x:v>
      </x:c>
      <x:c r="C2084" s="40" t="str">
        <x:v>High-Value Frequent Shoppers</x:v>
      </x:c>
      <x:c r="D2084" s="60" t="n">
        <x:v>3268.33</x:v>
      </x:c>
      <x:c r="E2084" s="50" t="n">
        <x:v>89</x:v>
      </x:c>
      <x:c r="F2084" s="46" t="n">
        <x:v>4.045454545454546</x:v>
      </x:c>
      <x:c r="G2084" s="46" t="n">
        <x:v>2</x:v>
      </x:c>
      <x:c r="H2084" s="61" t="n">
        <x:v>36.72280898876405</x:v>
      </x:c>
      <x:c r="I2084" s="52" t="n">
        <x:v>0.8764044943820224</x:v>
      </x:c>
      <x:c r="J2084" s="52" t="n">
        <x:v>0.5632662552435035</x:v>
      </x:c>
      <x:c r="K2084" s="60" t="n">
        <x:v>3205.17</x:v>
      </x:c>
      <x:c r="L2084" s="60" t="n">
        <x:v>63.16</x:v>
      </x:c>
      <x:c r="M2084" s="50" t="n">
        <x:v>78</x:v>
      </x:c>
      <x:c r="N2084" s="50" t="n">
        <x:v>11</x:v>
      </x:c>
      <x:c r="O2084" s="50" t="n">
        <x:v>126</x:v>
      </x:c>
      <x:c r="P2084" s="50" t="n">
        <x:v>22</x:v>
      </x:c>
    </x:row>
    <x:row r="2085" ht="36" customHeight="1">
      <x:c r="A2085" s="53" t="n">
        <x:v>2066</x:v>
      </x:c>
      <x:c r="B2085" s="53" t="n">
        <x:v>1</x:v>
      </x:c>
      <x:c r="C2085" s="40" t="str">
        <x:v>High-Value Frequent Shoppers</x:v>
      </x:c>
      <x:c r="D2085" s="60" t="n">
        <x:v>2141.77</x:v>
      </x:c>
      <x:c r="E2085" s="50" t="n">
        <x:v>112</x:v>
      </x:c>
      <x:c r="F2085" s="46" t="n">
        <x:v>6.588235294117648</x:v>
      </x:c>
      <x:c r="G2085" s="46" t="n">
        <x:v>1</x:v>
      </x:c>
      <x:c r="H2085" s="61" t="n">
        <x:v>19.122946428571428</x:v>
      </x:c>
      <x:c r="I2085" s="52" t="n">
        <x:v>0.7946428571428571</x:v>
      </x:c>
      <x:c r="J2085" s="52" t="n">
        <x:v>0.6589736526331025</x:v>
      </x:c>
      <x:c r="K2085" s="60" t="n">
        <x:v>1932.39</x:v>
      </x:c>
      <x:c r="L2085" s="60" t="n">
        <x:v>209.38</x:v>
      </x:c>
      <x:c r="M2085" s="50" t="n">
        <x:v>89</x:v>
      </x:c>
      <x:c r="N2085" s="50" t="n">
        <x:v>23</x:v>
      </x:c>
      <x:c r="O2085" s="50" t="n">
        <x:v>111</x:v>
      </x:c>
      <x:c r="P2085" s="50" t="n">
        <x:v>17</x:v>
      </x:c>
    </x:row>
    <x:row r="2086" ht="36" customHeight="1">
      <x:c r="A2086" s="53" t="n">
        <x:v>2067</x:v>
      </x:c>
      <x:c r="B2086" s="53" t="n">
        <x:v>3</x:v>
      </x:c>
      <x:c r="C2086" s="40" t="str">
        <x:v>Low-Value Low-Engagement Shoppers</x:v>
      </x:c>
      <x:c r="D2086" s="60" t="n">
        <x:v>120.01</x:v>
      </x:c>
      <x:c r="E2086" s="50" t="n">
        <x:v>6</x:v>
      </x:c>
      <x:c r="F2086" s="46" t="n">
        <x:v>2</x:v>
      </x:c>
      <x:c r="G2086" s="46" t="n">
        <x:v>9</x:v>
      </x:c>
      <x:c r="H2086" s="61" t="n">
        <x:v>20.001666666666665</x:v>
      </x:c>
      <x:c r="I2086" s="52" t="n">
        <x:v>0.8333333333333333</x:v>
      </x:c>
      <x:c r="J2086" s="52" t="n">
        <x:v>0.2592283976335305</x:v>
      </x:c>
      <x:c r="K2086" s="60" t="n">
        <x:v>117.02</x:v>
      </x:c>
      <x:c r="L2086" s="60" t="n">
        <x:v>2.99</x:v>
      </x:c>
      <x:c r="M2086" s="50" t="n">
        <x:v>5</x:v>
      </x:c>
      <x:c r="N2086" s="50" t="n">
        <x:v>1</x:v>
      </x:c>
      <x:c r="O2086" s="50" t="n">
        <x:v>35</x:v>
      </x:c>
      <x:c r="P2086" s="50" t="n">
        <x:v>3</x:v>
      </x:c>
    </x:row>
    <x:row r="2087" ht="36" customHeight="1">
      <x:c r="A2087" s="53" t="n">
        <x:v>2068</x:v>
      </x:c>
      <x:c r="B2087" s="53" t="n">
        <x:v>1</x:v>
      </x:c>
      <x:c r="C2087" s="40" t="str">
        <x:v>High-Value Frequent Shoppers</x:v>
      </x:c>
      <x:c r="D2087" s="60" t="n">
        <x:v>2561.4</x:v>
      </x:c>
      <x:c r="E2087" s="50" t="n">
        <x:v>108</x:v>
      </x:c>
      <x:c r="F2087" s="46" t="n">
        <x:v>5.142857142857143</x:v>
      </x:c>
      <x:c r="G2087" s="46" t="n">
        <x:v>15</x:v>
      </x:c>
      <x:c r="H2087" s="61" t="n">
        <x:v>23.716666666666665</x:v>
      </x:c>
      <x:c r="I2087" s="52" t="n">
        <x:v>0.8703703703703703</x:v>
      </x:c>
      <x:c r="J2087" s="52" t="n">
        <x:v>0.6546263762005153</x:v>
      </x:c>
      <x:c r="K2087" s="60" t="n">
        <x:v>2468</x:v>
      </x:c>
      <x:c r="L2087" s="60" t="n">
        <x:v>93.4</x:v>
      </x:c>
      <x:c r="M2087" s="50" t="n">
        <x:v>94</x:v>
      </x:c>
      <x:c r="N2087" s="50" t="n">
        <x:v>14</x:v>
      </x:c>
      <x:c r="O2087" s="50" t="n">
        <x:v>147</x:v>
      </x:c>
      <x:c r="P2087" s="50" t="n">
        <x:v>21</x:v>
      </x:c>
    </x:row>
    <x:row r="2088" ht="36" customHeight="1">
      <x:c r="A2088" s="53" t="n">
        <x:v>2069</x:v>
      </x:c>
      <x:c r="B2088" s="53" t="n">
        <x:v>2</x:v>
      </x:c>
      <x:c r="C2088" s="40" t="str">
        <x:v>Large-Basket Occasional Shoppers</x:v>
      </x:c>
      <x:c r="D2088" s="60" t="n">
        <x:v>2068.17</x:v>
      </x:c>
      <x:c r="E2088" s="50" t="n">
        <x:v>89</x:v>
      </x:c>
      <x:c r="F2088" s="46" t="n">
        <x:v>4.045454545454546</x:v>
      </x:c>
      <x:c r="G2088" s="46" t="n">
        <x:v>17</x:v>
      </x:c>
      <x:c r="H2088" s="61" t="n">
        <x:v>23.23786516853932</x:v>
      </x:c>
      <x:c r="I2088" s="52" t="n">
        <x:v>0.7752808988764044</x:v>
      </x:c>
      <x:c r="J2088" s="52" t="n">
        <x:v>0.4142406088474351</x:v>
      </x:c>
      <x:c r="K2088" s="60" t="n">
        <x:v>1899.86</x:v>
      </x:c>
      <x:c r="L2088" s="60" t="n">
        <x:v>168.31</x:v>
      </x:c>
      <x:c r="M2088" s="50" t="n">
        <x:v>69</x:v>
      </x:c>
      <x:c r="N2088" s="50" t="n">
        <x:v>20</x:v>
      </x:c>
      <x:c r="O2088" s="50" t="n">
        <x:v>137</x:v>
      </x:c>
      <x:c r="P2088" s="50" t="n">
        <x:v>22</x:v>
      </x:c>
    </x:row>
    <x:row r="2089" ht="36" customHeight="1">
      <x:c r="A2089" s="53" t="n">
        <x:v>2070</x:v>
      </x:c>
      <x:c r="B2089" s="53" t="n">
        <x:v>1</x:v>
      </x:c>
      <x:c r="C2089" s="40" t="str">
        <x:v>High-Value Frequent Shoppers</x:v>
      </x:c>
      <x:c r="D2089" s="60" t="n">
        <x:v>9210.42</x:v>
      </x:c>
      <x:c r="E2089" s="50" t="n">
        <x:v>635</x:v>
      </x:c>
      <x:c r="F2089" s="46" t="n">
        <x:v>30.23809523809524</x:v>
      </x:c>
      <x:c r="G2089" s="46" t="n">
        <x:v>1</x:v>
      </x:c>
      <x:c r="H2089" s="61" t="n">
        <x:v>14.50459842519685</x:v>
      </x:c>
      <x:c r="I2089" s="52" t="n">
        <x:v>0.8362204724409448</x:v>
      </x:c>
      <x:c r="J2089" s="52" t="n">
        <x:v>0.6582077690268195</x:v>
      </x:c>
      <x:c r="K2089" s="60" t="n">
        <x:v>8799.04</x:v>
      </x:c>
      <x:c r="L2089" s="60" t="n">
        <x:v>411.38</x:v>
      </x:c>
      <x:c r="M2089" s="50" t="n">
        <x:v>531</x:v>
      </x:c>
      <x:c r="N2089" s="50" t="n">
        <x:v>104</x:v>
      </x:c>
      <x:c r="O2089" s="50" t="n">
        <x:v>195</x:v>
      </x:c>
      <x:c r="P2089" s="50" t="n">
        <x:v>21</x:v>
      </x:c>
    </x:row>
    <x:row r="2090" ht="36" customHeight="1">
      <x:c r="A2090" s="53" t="n">
        <x:v>2071</x:v>
      </x:c>
      <x:c r="B2090" s="53" t="n">
        <x:v>1</x:v>
      </x:c>
      <x:c r="C2090" s="40" t="str">
        <x:v>High-Value Frequent Shoppers</x:v>
      </x:c>
      <x:c r="D2090" s="60" t="n">
        <x:v>1732.97</x:v>
      </x:c>
      <x:c r="E2090" s="50" t="n">
        <x:v>210</x:v>
      </x:c>
      <x:c r="F2090" s="46" t="n">
        <x:v>10</x:v>
      </x:c>
      <x:c r="G2090" s="46" t="n">
        <x:v>0</x:v>
      </x:c>
      <x:c r="H2090" s="61" t="n">
        <x:v>8.252238095238095</x:v>
      </x:c>
      <x:c r="I2090" s="52" t="n">
        <x:v>0.7333333333333333</x:v>
      </x:c>
      <x:c r="J2090" s="52" t="n">
        <x:v>0.469558041974183</x:v>
      </x:c>
      <x:c r="K2090" s="60" t="n">
        <x:v>1423.73</x:v>
      </x:c>
      <x:c r="L2090" s="60" t="n">
        <x:v>309.24</x:v>
      </x:c>
      <x:c r="M2090" s="50" t="n">
        <x:v>154</x:v>
      </x:c>
      <x:c r="N2090" s="50" t="n">
        <x:v>56</x:v>
      </x:c>
      <x:c r="O2090" s="50" t="n">
        <x:v>101</x:v>
      </x:c>
      <x:c r="P2090" s="50" t="n">
        <x:v>21</x:v>
      </x:c>
    </x:row>
    <x:row r="2091" ht="36" customHeight="1">
      <x:c r="A2091" s="53" t="n">
        <x:v>2072</x:v>
      </x:c>
      <x:c r="B2091" s="53" t="n">
        <x:v>2</x:v>
      </x:c>
      <x:c r="C2091" s="40" t="str">
        <x:v>Large-Basket Occasional Shoppers</x:v>
      </x:c>
      <x:c r="D2091" s="60" t="n">
        <x:v>278.28</x:v>
      </x:c>
      <x:c r="E2091" s="50" t="n">
        <x:v>12</x:v>
      </x:c>
      <x:c r="F2091" s="46" t="n">
        <x:v>3</x:v>
      </x:c>
      <x:c r="G2091" s="46" t="n">
        <x:v>35</x:v>
      </x:c>
      <x:c r="H2091" s="61" t="n">
        <x:v>23.19</x:v>
      </x:c>
      <x:c r="I2091" s="52" t="n">
        <x:v>1</x:v>
      </x:c>
      <x:c r="J2091" s="52" t="n">
        <x:v>0.594688802644818</x:v>
      </x:c>
      <x:c r="K2091" s="60" t="n">
        <x:v>278.28</x:v>
      </x:c>
      <x:c r="L2091" s="60" t="n">
        <x:v>0</x:v>
      </x:c>
      <x:c r="M2091" s="50" t="n">
        <x:v>12</x:v>
      </x:c>
      <x:c r="N2091" s="50" t="n">
        <x:v>0</x:v>
      </x:c>
      <x:c r="O2091" s="50" t="n">
        <x:v>52</x:v>
      </x:c>
      <x:c r="P2091" s="50" t="n">
        <x:v>4</x:v>
      </x:c>
    </x:row>
    <x:row r="2092" ht="36" customHeight="1">
      <x:c r="A2092" s="53" t="n">
        <x:v>2073</x:v>
      </x:c>
      <x:c r="B2092" s="53" t="n">
        <x:v>3</x:v>
      </x:c>
      <x:c r="C2092" s="40" t="str">
        <x:v>Low-Value Low-Engagement Shoppers</x:v>
      </x:c>
      <x:c r="D2092" s="60" t="n">
        <x:v>1697.23</x:v>
      </x:c>
      <x:c r="E2092" s="50" t="n">
        <x:v>72</x:v>
      </x:c>
      <x:c r="F2092" s="46" t="n">
        <x:v>5.538461538461538</x:v>
      </x:c>
      <x:c r="G2092" s="46" t="n">
        <x:v>128</x:v>
      </x:c>
      <x:c r="H2092" s="61" t="n">
        <x:v>23.57263888888889</x:v>
      </x:c>
      <x:c r="I2092" s="52" t="n">
        <x:v>0.7638888888888888</x:v>
      </x:c>
      <x:c r="J2092" s="52" t="n">
        <x:v>0.7196078315844051</x:v>
      </x:c>
      <x:c r="K2092" s="60" t="n">
        <x:v>1592.5</x:v>
      </x:c>
      <x:c r="L2092" s="60" t="n">
        <x:v>104.73</x:v>
      </x:c>
      <x:c r="M2092" s="50" t="n">
        <x:v>55</x:v>
      </x:c>
      <x:c r="N2092" s="50" t="n">
        <x:v>17</x:v>
      </x:c>
      <x:c r="O2092" s="50" t="n">
        <x:v>83</x:v>
      </x:c>
      <x:c r="P2092" s="50" t="n">
        <x:v>13</x:v>
      </x:c>
    </x:row>
    <x:row r="2093" ht="36" customHeight="1">
      <x:c r="A2093" s="53" t="n">
        <x:v>2074</x:v>
      </x:c>
      <x:c r="B2093" s="53" t="n">
        <x:v>2</x:v>
      </x:c>
      <x:c r="C2093" s="40" t="str">
        <x:v>Large-Basket Occasional Shoppers</x:v>
      </x:c>
      <x:c r="D2093" s="60" t="n">
        <x:v>678.72</x:v>
      </x:c>
      <x:c r="E2093" s="50" t="n">
        <x:v>29</x:v>
      </x:c>
      <x:c r="F2093" s="46" t="n">
        <x:v>1.8125</x:v>
      </x:c>
      <x:c r="G2093" s="46" t="n">
        <x:v>66</x:v>
      </x:c>
      <x:c r="H2093" s="61" t="n">
        <x:v>23.40413793103448</x:v>
      </x:c>
      <x:c r="I2093" s="52" t="n">
        <x:v>0.9310344827586206</x:v>
      </x:c>
      <x:c r="J2093" s="52" t="n">
        <x:v>0.5318982791136256</x:v>
      </x:c>
      <x:c r="K2093" s="60" t="n">
        <x:v>653.56</x:v>
      </x:c>
      <x:c r="L2093" s="60" t="n">
        <x:v>25.16</x:v>
      </x:c>
      <x:c r="M2093" s="50" t="n">
        <x:v>27</x:v>
      </x:c>
      <x:c r="N2093" s="50" t="n">
        <x:v>2</x:v>
      </x:c>
      <x:c r="O2093" s="50" t="n">
        <x:v>86</x:v>
      </x:c>
      <x:c r="P2093" s="50" t="n">
        <x:v>16</x:v>
      </x:c>
    </x:row>
    <x:row r="2094" ht="36" customHeight="1">
      <x:c r="A2094" s="53" t="n">
        <x:v>2075</x:v>
      </x:c>
      <x:c r="B2094" s="53" t="n">
        <x:v>1</x:v>
      </x:c>
      <x:c r="C2094" s="40" t="str">
        <x:v>High-Value Frequent Shoppers</x:v>
      </x:c>
      <x:c r="D2094" s="60" t="n">
        <x:v>4736.51</x:v>
      </x:c>
      <x:c r="E2094" s="50" t="n">
        <x:v>155</x:v>
      </x:c>
      <x:c r="F2094" s="46" t="n">
        <x:v>7.3809523809523805</x:v>
      </x:c>
      <x:c r="G2094" s="46" t="n">
        <x:v>0</x:v>
      </x:c>
      <x:c r="H2094" s="61" t="n">
        <x:v>30.558129032258066</x:v>
      </x:c>
      <x:c r="I2094" s="52" t="n">
        <x:v>0.8516129032258064</x:v>
      </x:c>
      <x:c r="J2094" s="52" t="n">
        <x:v>0.5996904894109798</x:v>
      </x:c>
      <x:c r="K2094" s="60" t="n">
        <x:v>4541.4</x:v>
      </x:c>
      <x:c r="L2094" s="60" t="n">
        <x:v>195.11</x:v>
      </x:c>
      <x:c r="M2094" s="50" t="n">
        <x:v>132</x:v>
      </x:c>
      <x:c r="N2094" s="50" t="n">
        <x:v>23</x:v>
      </x:c>
      <x:c r="O2094" s="50" t="n">
        <x:v>154</x:v>
      </x:c>
      <x:c r="P2094" s="50" t="n">
        <x:v>21</x:v>
      </x:c>
    </x:row>
    <x:row r="2095" ht="36" customHeight="1">
      <x:c r="A2095" s="53" t="n">
        <x:v>2076</x:v>
      </x:c>
      <x:c r="B2095" s="53" t="n">
        <x:v>1</x:v>
      </x:c>
      <x:c r="C2095" s="40" t="str">
        <x:v>High-Value Frequent Shoppers</x:v>
      </x:c>
      <x:c r="D2095" s="60" t="n">
        <x:v>8297.94</x:v>
      </x:c>
      <x:c r="E2095" s="50" t="n">
        <x:v>252</x:v>
      </x:c>
      <x:c r="F2095" s="46" t="n">
        <x:v>10.956521739130434</x:v>
      </x:c>
      <x:c r="G2095" s="46" t="n">
        <x:v>6</x:v>
      </x:c>
      <x:c r="H2095" s="61" t="n">
        <x:v>32.928333333333335</x:v>
      </x:c>
      <x:c r="I2095" s="52" t="n">
        <x:v>0.873015873015873</x:v>
      </x:c>
      <x:c r="J2095" s="52" t="n">
        <x:v>0.5362993706871826</x:v>
      </x:c>
      <x:c r="K2095" s="60" t="n">
        <x:v>8066.11</x:v>
      </x:c>
      <x:c r="L2095" s="60" t="n">
        <x:v>231.83</x:v>
      </x:c>
      <x:c r="M2095" s="50" t="n">
        <x:v>220</x:v>
      </x:c>
      <x:c r="N2095" s="50" t="n">
        <x:v>32</x:v>
      </x:c>
      <x:c r="O2095" s="50" t="n">
        <x:v>168</x:v>
      </x:c>
      <x:c r="P2095" s="50" t="n">
        <x:v>23</x:v>
      </x:c>
    </x:row>
    <x:row r="2096" ht="36" customHeight="1">
      <x:c r="A2096" s="53" t="n">
        <x:v>2077</x:v>
      </x:c>
      <x:c r="B2096" s="53" t="n">
        <x:v>2</x:v>
      </x:c>
      <x:c r="C2096" s="40" t="str">
        <x:v>Large-Basket Occasional Shoppers</x:v>
      </x:c>
      <x:c r="D2096" s="60" t="n">
        <x:v>1835.18</x:v>
      </x:c>
      <x:c r="E2096" s="50" t="n">
        <x:v>109</x:v>
      </x:c>
      <x:c r="F2096" s="46" t="n">
        <x:v>5.190476190476192</x:v>
      </x:c>
      <x:c r="G2096" s="46" t="n">
        <x:v>13</x:v>
      </x:c>
      <x:c r="H2096" s="61" t="n">
        <x:v>16.836513761467888</x:v>
      </x:c>
      <x:c r="I2096" s="52" t="n">
        <x:v>0.8256880733944953</x:v>
      </x:c>
      <x:c r="J2096" s="52" t="n">
        <x:v>0.4260889939951394</x:v>
      </x:c>
      <x:c r="K2096" s="60" t="n">
        <x:v>1667.85</x:v>
      </x:c>
      <x:c r="L2096" s="60" t="n">
        <x:v>167.33</x:v>
      </x:c>
      <x:c r="M2096" s="50" t="n">
        <x:v>90</x:v>
      </x:c>
      <x:c r="N2096" s="50" t="n">
        <x:v>19</x:v>
      </x:c>
      <x:c r="O2096" s="50" t="n">
        <x:v>114</x:v>
      </x:c>
      <x:c r="P2096" s="50" t="n">
        <x:v>21</x:v>
      </x:c>
    </x:row>
    <x:row r="2097" ht="36" customHeight="1">
      <x:c r="A2097" s="53" t="n">
        <x:v>2078</x:v>
      </x:c>
      <x:c r="B2097" s="53" t="n">
        <x:v>2</x:v>
      </x:c>
      <x:c r="C2097" s="40" t="str">
        <x:v>Large-Basket Occasional Shoppers</x:v>
      </x:c>
      <x:c r="D2097" s="60" t="n">
        <x:v>2323.92</x:v>
      </x:c>
      <x:c r="E2097" s="50" t="n">
        <x:v>92</x:v>
      </x:c>
      <x:c r="F2097" s="46" t="n">
        <x:v>4.6</x:v>
      </x:c>
      <x:c r="G2097" s="46" t="n">
        <x:v>1</x:v>
      </x:c>
      <x:c r="H2097" s="61" t="n">
        <x:v>25.26</x:v>
      </x:c>
      <x:c r="I2097" s="52" t="n">
        <x:v>0.8913043478260869</x:v>
      </x:c>
      <x:c r="J2097" s="52" t="n">
        <x:v>0.6711418637474611</x:v>
      </x:c>
      <x:c r="K2097" s="60" t="n">
        <x:v>2230.79</x:v>
      </x:c>
      <x:c r="L2097" s="60" t="n">
        <x:v>93.13</x:v>
      </x:c>
      <x:c r="M2097" s="50" t="n">
        <x:v>82</x:v>
      </x:c>
      <x:c r="N2097" s="50" t="n">
        <x:v>10</x:v>
      </x:c>
      <x:c r="O2097" s="50" t="n">
        <x:v>96</x:v>
      </x:c>
      <x:c r="P2097" s="50" t="n">
        <x:v>20</x:v>
      </x:c>
    </x:row>
    <x:row r="2098" ht="36" customHeight="1">
      <x:c r="A2098" s="53" t="n">
        <x:v>2079</x:v>
      </x:c>
      <x:c r="B2098" s="53" t="n">
        <x:v>1</x:v>
      </x:c>
      <x:c r="C2098" s="40" t="str">
        <x:v>High-Value Frequent Shoppers</x:v>
      </x:c>
      <x:c r="D2098" s="60" t="n">
        <x:v>4802.87</x:v>
      </x:c>
      <x:c r="E2098" s="50" t="n">
        <x:v>119</x:v>
      </x:c>
      <x:c r="F2098" s="46" t="n">
        <x:v>5.95</x:v>
      </x:c>
      <x:c r="G2098" s="46" t="n">
        <x:v>13</x:v>
      </x:c>
      <x:c r="H2098" s="61" t="n">
        <x:v>40.360252100840334</x:v>
      </x:c>
      <x:c r="I2098" s="52" t="n">
        <x:v>0.8823529411764705</x:v>
      </x:c>
      <x:c r="J2098" s="52" t="n">
        <x:v>0.3864939088503332</x:v>
      </x:c>
      <x:c r="K2098" s="60" t="n">
        <x:v>4605.9</x:v>
      </x:c>
      <x:c r="L2098" s="60" t="n">
        <x:v>196.97</x:v>
      </x:c>
      <x:c r="M2098" s="50" t="n">
        <x:v>105</x:v>
      </x:c>
      <x:c r="N2098" s="50" t="n">
        <x:v>14</x:v>
      </x:c>
      <x:c r="O2098" s="50" t="n">
        <x:v>139</x:v>
      </x:c>
      <x:c r="P2098" s="50" t="n">
        <x:v>20</x:v>
      </x:c>
    </x:row>
    <x:row r="2099" ht="36" customHeight="1">
      <x:c r="A2099" s="53" t="n">
        <x:v>2080</x:v>
      </x:c>
      <x:c r="B2099" s="53" t="n">
        <x:v>1</x:v>
      </x:c>
      <x:c r="C2099" s="40" t="str">
        <x:v>High-Value Frequent Shoppers</x:v>
      </x:c>
      <x:c r="D2099" s="60" t="n">
        <x:v>5704.14</x:v>
      </x:c>
      <x:c r="E2099" s="50" t="n">
        <x:v>130</x:v>
      </x:c>
      <x:c r="F2099" s="46" t="n">
        <x:v>6.190476190476192</x:v>
      </x:c>
      <x:c r="G2099" s="46" t="n">
        <x:v>0</x:v>
      </x:c>
      <x:c r="H2099" s="61" t="n">
        <x:v>43.878</x:v>
      </x:c>
      <x:c r="I2099" s="52" t="n">
        <x:v>0.8538461538461538</x:v>
      </x:c>
      <x:c r="J2099" s="52" t="n">
        <x:v>0.477407637259955</x:v>
      </x:c>
      <x:c r="K2099" s="60" t="n">
        <x:v>5553.06</x:v>
      </x:c>
      <x:c r="L2099" s="60" t="n">
        <x:v>151.08</x:v>
      </x:c>
      <x:c r="M2099" s="50" t="n">
        <x:v>111</x:v>
      </x:c>
      <x:c r="N2099" s="50" t="n">
        <x:v>19</x:v>
      </x:c>
      <x:c r="O2099" s="50" t="n">
        <x:v>125</x:v>
      </x:c>
      <x:c r="P2099" s="50" t="n">
        <x:v>21</x:v>
      </x:c>
    </x:row>
    <x:row r="2100" ht="36" customHeight="1">
      <x:c r="A2100" s="53" t="n">
        <x:v>2081</x:v>
      </x:c>
      <x:c r="B2100" s="53" t="n">
        <x:v>3</x:v>
      </x:c>
      <x:c r="C2100" s="40" t="str">
        <x:v>Low-Value Low-Engagement Shoppers</x:v>
      </x:c>
      <x:c r="D2100" s="60" t="n">
        <x:v>921.84</x:v>
      </x:c>
      <x:c r="E2100" s="50" t="n">
        <x:v>35</x:v>
      </x:c>
      <x:c r="F2100" s="46" t="n">
        <x:v>2.5</x:v>
      </x:c>
      <x:c r="G2100" s="46" t="n">
        <x:v>32</x:v>
      </x:c>
      <x:c r="H2100" s="61" t="n">
        <x:v>26.33828571428572</x:v>
      </x:c>
      <x:c r="I2100" s="52" t="n">
        <x:v>0.6285714285714284</x:v>
      </x:c>
      <x:c r="J2100" s="52" t="n">
        <x:v>0.4775232144406838</x:v>
      </x:c>
      <x:c r="K2100" s="60" t="n">
        <x:v>748.95</x:v>
      </x:c>
      <x:c r="L2100" s="60" t="n">
        <x:v>172.89</x:v>
      </x:c>
      <x:c r="M2100" s="50" t="n">
        <x:v>22</x:v>
      </x:c>
      <x:c r="N2100" s="50" t="n">
        <x:v>13</x:v>
      </x:c>
      <x:c r="O2100" s="50" t="n">
        <x:v>79</x:v>
      </x:c>
      <x:c r="P2100" s="50" t="n">
        <x:v>14</x:v>
      </x:c>
    </x:row>
    <x:row r="2101" ht="36" customHeight="1">
      <x:c r="A2101" s="53" t="n">
        <x:v>2082</x:v>
      </x:c>
      <x:c r="B2101" s="53" t="n">
        <x:v>1</x:v>
      </x:c>
      <x:c r="C2101" s="40" t="str">
        <x:v>High-Value Frequent Shoppers</x:v>
      </x:c>
      <x:c r="D2101" s="60" t="n">
        <x:v>5082.41</x:v>
      </x:c>
      <x:c r="E2101" s="50" t="n">
        <x:v>190</x:v>
      </x:c>
      <x:c r="F2101" s="46" t="n">
        <x:v>9.047619047619047</x:v>
      </x:c>
      <x:c r="G2101" s="46" t="n">
        <x:v>0</x:v>
      </x:c>
      <x:c r="H2101" s="61" t="n">
        <x:v>26.74952631578948</x:v>
      </x:c>
      <x:c r="I2101" s="52" t="n">
        <x:v>0.9052631578947368</x:v>
      </x:c>
      <x:c r="J2101" s="52" t="n">
        <x:v>0.6009491560106327</x:v>
      </x:c>
      <x:c r="K2101" s="60" t="n">
        <x:v>4907.77</x:v>
      </x:c>
      <x:c r="L2101" s="60" t="n">
        <x:v>174.64</x:v>
      </x:c>
      <x:c r="M2101" s="50" t="n">
        <x:v>172</x:v>
      </x:c>
      <x:c r="N2101" s="50" t="n">
        <x:v>18</x:v>
      </x:c>
      <x:c r="O2101" s="50" t="n">
        <x:v>150</x:v>
      </x:c>
      <x:c r="P2101" s="50" t="n">
        <x:v>21</x:v>
      </x:c>
    </x:row>
    <x:row r="2102" ht="36" customHeight="1">
      <x:c r="A2102" s="53" t="n">
        <x:v>2083</x:v>
      </x:c>
      <x:c r="B2102" s="53" t="n">
        <x:v>1</x:v>
      </x:c>
      <x:c r="C2102" s="40" t="str">
        <x:v>High-Value Frequent Shoppers</x:v>
      </x:c>
      <x:c r="D2102" s="60" t="n">
        <x:v>8308.39</x:v>
      </x:c>
      <x:c r="E2102" s="50" t="n">
        <x:v>383</x:v>
      </x:c>
      <x:c r="F2102" s="46" t="n">
        <x:v>17.409090909090907</x:v>
      </x:c>
      <x:c r="G2102" s="46" t="n">
        <x:v>0</x:v>
      </x:c>
      <x:c r="H2102" s="61" t="n">
        <x:v>21.69292428198433</x:v>
      </x:c>
      <x:c r="I2102" s="52" t="n">
        <x:v>0.8172323759791122</x:v>
      </x:c>
      <x:c r="J2102" s="52" t="n">
        <x:v>0.4742675777136123</x:v>
      </x:c>
      <x:c r="K2102" s="60" t="n">
        <x:v>7616.51</x:v>
      </x:c>
      <x:c r="L2102" s="60" t="n">
        <x:v>691.88</x:v>
      </x:c>
      <x:c r="M2102" s="50" t="n">
        <x:v>313</x:v>
      </x:c>
      <x:c r="N2102" s="50" t="n">
        <x:v>70</x:v>
      </x:c>
      <x:c r="O2102" s="50" t="n">
        <x:v>176</x:v>
      </x:c>
      <x:c r="P2102" s="50" t="n">
        <x:v>22</x:v>
      </x:c>
    </x:row>
    <x:row r="2103" ht="36" customHeight="1">
      <x:c r="A2103" s="53" t="n">
        <x:v>2084</x:v>
      </x:c>
      <x:c r="B2103" s="53" t="n">
        <x:v>1</x:v>
      </x:c>
      <x:c r="C2103" s="40" t="str">
        <x:v>High-Value Frequent Shoppers</x:v>
      </x:c>
      <x:c r="D2103" s="60" t="n">
        <x:v>2937.95</x:v>
      </x:c>
      <x:c r="E2103" s="50" t="n">
        <x:v>131</x:v>
      </x:c>
      <x:c r="F2103" s="46" t="n">
        <x:v>6.238095238095238</x:v>
      </x:c>
      <x:c r="G2103" s="46" t="n">
        <x:v>6</x:v>
      </x:c>
      <x:c r="H2103" s="61" t="n">
        <x:v>22.42709923664122</x:v>
      </x:c>
      <x:c r="I2103" s="52" t="n">
        <x:v>0.8091603053435114</x:v>
      </x:c>
      <x:c r="J2103" s="52" t="n">
        <x:v>0.592467536887966</x:v>
      </x:c>
      <x:c r="K2103" s="60" t="n">
        <x:v>2617.18</x:v>
      </x:c>
      <x:c r="L2103" s="60" t="n">
        <x:v>320.77</x:v>
      </x:c>
      <x:c r="M2103" s="50" t="n">
        <x:v>106</x:v>
      </x:c>
      <x:c r="N2103" s="50" t="n">
        <x:v>25</x:v>
      </x:c>
      <x:c r="O2103" s="50" t="n">
        <x:v>138</x:v>
      </x:c>
      <x:c r="P2103" s="50" t="n">
        <x:v>21</x:v>
      </x:c>
    </x:row>
    <x:row r="2104" ht="36" customHeight="1">
      <x:c r="A2104" s="53" t="n">
        <x:v>2085</x:v>
      </x:c>
      <x:c r="B2104" s="53" t="n">
        <x:v>1</x:v>
      </x:c>
      <x:c r="C2104" s="40" t="str">
        <x:v>High-Value Frequent Shoppers</x:v>
      </x:c>
      <x:c r="D2104" s="60" t="n">
        <x:v>12894.57</x:v>
      </x:c>
      <x:c r="E2104" s="50" t="n">
        <x:v>359</x:v>
      </x:c>
      <x:c r="F2104" s="46" t="n">
        <x:v>15.608695652173912</x:v>
      </x:c>
      <x:c r="G2104" s="46" t="n">
        <x:v>0</x:v>
      </x:c>
      <x:c r="H2104" s="61" t="n">
        <x:v>35.91802228412256</x:v>
      </x:c>
      <x:c r="I2104" s="52" t="n">
        <x:v>0.8718662952646239</x:v>
      </x:c>
      <x:c r="J2104" s="52" t="n">
        <x:v>0.5535485091786697</x:v>
      </x:c>
      <x:c r="K2104" s="60" t="n">
        <x:v>12084.16</x:v>
      </x:c>
      <x:c r="L2104" s="60" t="n">
        <x:v>810.41</x:v>
      </x:c>
      <x:c r="M2104" s="50" t="n">
        <x:v>313</x:v>
      </x:c>
      <x:c r="N2104" s="50" t="n">
        <x:v>46</x:v>
      </x:c>
      <x:c r="O2104" s="50" t="n">
        <x:v>206</x:v>
      </x:c>
      <x:c r="P2104" s="50" t="n">
        <x:v>23</x:v>
      </x:c>
    </x:row>
    <x:row r="2105" ht="36" customHeight="1">
      <x:c r="A2105" s="53" t="n">
        <x:v>2086</x:v>
      </x:c>
      <x:c r="B2105" s="53" t="n">
        <x:v>1</x:v>
      </x:c>
      <x:c r="C2105" s="40" t="str">
        <x:v>High-Value Frequent Shoppers</x:v>
      </x:c>
      <x:c r="D2105" s="60" t="n">
        <x:v>6269.54</x:v>
      </x:c>
      <x:c r="E2105" s="50" t="n">
        <x:v>574</x:v>
      </x:c>
      <x:c r="F2105" s="46" t="n">
        <x:v>26.090909090909086</x:v>
      </x:c>
      <x:c r="G2105" s="46" t="n">
        <x:v>1</x:v>
      </x:c>
      <x:c r="H2105" s="61" t="n">
        <x:v>10.922543554006968</x:v>
      </x:c>
      <x:c r="I2105" s="52" t="n">
        <x:v>0.7334494773519163</x:v>
      </x:c>
      <x:c r="J2105" s="52" t="n">
        <x:v>0.5317949961241175</x:v>
      </x:c>
      <x:c r="K2105" s="60" t="n">
        <x:v>5415.42</x:v>
      </x:c>
      <x:c r="L2105" s="60" t="n">
        <x:v>854.12</x:v>
      </x:c>
      <x:c r="M2105" s="50" t="n">
        <x:v>421</x:v>
      </x:c>
      <x:c r="N2105" s="50" t="n">
        <x:v>153</x:v>
      </x:c>
      <x:c r="O2105" s="50" t="n">
        <x:v>176</x:v>
      </x:c>
      <x:c r="P2105" s="50" t="n">
        <x:v>22</x:v>
      </x:c>
    </x:row>
    <x:row r="2106" ht="36" customHeight="1">
      <x:c r="A2106" s="53" t="n">
        <x:v>2087</x:v>
      </x:c>
      <x:c r="B2106" s="53" t="n">
        <x:v>1</x:v>
      </x:c>
      <x:c r="C2106" s="40" t="str">
        <x:v>High-Value Frequent Shoppers</x:v>
      </x:c>
      <x:c r="D2106" s="60" t="n">
        <x:v>7832.72</x:v>
      </x:c>
      <x:c r="E2106" s="50" t="n">
        <x:v>227</x:v>
      </x:c>
      <x:c r="F2106" s="46" t="n">
        <x:v>9.45833333333333</x:v>
      </x:c>
      <x:c r="G2106" s="46" t="n">
        <x:v>7</x:v>
      </x:c>
      <x:c r="H2106" s="61" t="n">
        <x:v>34.50537444933921</x:v>
      </x:c>
      <x:c r="I2106" s="52" t="n">
        <x:v>0.9603524229074888</x:v>
      </x:c>
      <x:c r="J2106" s="52" t="n">
        <x:v>0.6528332431135033</x:v>
      </x:c>
      <x:c r="K2106" s="60" t="n">
        <x:v>7543.17</x:v>
      </x:c>
      <x:c r="L2106" s="60" t="n">
        <x:v>289.55</x:v>
      </x:c>
      <x:c r="M2106" s="50" t="n">
        <x:v>218</x:v>
      </x:c>
      <x:c r="N2106" s="50" t="n">
        <x:v>9</x:v>
      </x:c>
      <x:c r="O2106" s="50" t="n">
        <x:v>165</x:v>
      </x:c>
      <x:c r="P2106" s="50" t="n">
        <x:v>24</x:v>
      </x:c>
    </x:row>
    <x:row r="2107" ht="36" customHeight="1">
      <x:c r="A2107" s="53" t="n">
        <x:v>2088</x:v>
      </x:c>
      <x:c r="B2107" s="53" t="n">
        <x:v>1</x:v>
      </x:c>
      <x:c r="C2107" s="40" t="str">
        <x:v>High-Value Frequent Shoppers</x:v>
      </x:c>
      <x:c r="D2107" s="60" t="n">
        <x:v>4905.71</x:v>
      </x:c>
      <x:c r="E2107" s="50" t="n">
        <x:v>109</x:v>
      </x:c>
      <x:c r="F2107" s="46" t="n">
        <x:v>4.541666666666666</x:v>
      </x:c>
      <x:c r="G2107" s="46" t="n">
        <x:v>0</x:v>
      </x:c>
      <x:c r="H2107" s="61" t="n">
        <x:v>45.006513761467886</x:v>
      </x:c>
      <x:c r="I2107" s="52" t="n">
        <x:v>0.8899082568807339</x:v>
      </x:c>
      <x:c r="J2107" s="52" t="n">
        <x:v>0.4948804556323141</x:v>
      </x:c>
      <x:c r="K2107" s="60" t="n">
        <x:v>4790.87</x:v>
      </x:c>
      <x:c r="L2107" s="60" t="n">
        <x:v>114.84</x:v>
      </x:c>
      <x:c r="M2107" s="50" t="n">
        <x:v>97</x:v>
      </x:c>
      <x:c r="N2107" s="50" t="n">
        <x:v>12</x:v>
      </x:c>
      <x:c r="O2107" s="50" t="n">
        <x:v>165</x:v>
      </x:c>
      <x:c r="P2107" s="50" t="n">
        <x:v>24</x:v>
      </x:c>
    </x:row>
    <x:row r="2108" ht="36" customHeight="1">
      <x:c r="A2108" s="53" t="n">
        <x:v>2089</x:v>
      </x:c>
      <x:c r="B2108" s="53" t="n">
        <x:v>3</x:v>
      </x:c>
      <x:c r="C2108" s="40" t="str">
        <x:v>Low-Value Low-Engagement Shoppers</x:v>
      </x:c>
      <x:c r="D2108" s="60" t="n">
        <x:v>159.96</x:v>
      </x:c>
      <x:c r="E2108" s="50" t="n">
        <x:v>34</x:v>
      </x:c>
      <x:c r="F2108" s="46" t="n">
        <x:v>1.8888888888888888</x:v>
      </x:c>
      <x:c r="G2108" s="46" t="n">
        <x:v>17</x:v>
      </x:c>
      <x:c r="H2108" s="61" t="n">
        <x:v>4.704705882352941</x:v>
      </x:c>
      <x:c r="I2108" s="52" t="n">
        <x:v>0.588235294117647</x:v>
      </x:c>
      <x:c r="J2108" s="52" t="n">
        <x:v>0.3337709427356839</x:v>
      </x:c>
      <x:c r="K2108" s="60" t="n">
        <x:v>112.36</x:v>
      </x:c>
      <x:c r="L2108" s="60" t="n">
        <x:v>47.6</x:v>
      </x:c>
      <x:c r="M2108" s="50" t="n">
        <x:v>20</x:v>
      </x:c>
      <x:c r="N2108" s="50" t="n">
        <x:v>14</x:v>
      </x:c>
      <x:c r="O2108" s="50" t="n">
        <x:v>14</x:v>
      </x:c>
      <x:c r="P2108" s="50" t="n">
        <x:v>18</x:v>
      </x:c>
    </x:row>
    <x:row r="2109" ht="36" customHeight="1">
      <x:c r="A2109" s="53" t="n">
        <x:v>2090</x:v>
      </x:c>
      <x:c r="B2109" s="53" t="n">
        <x:v>2</x:v>
      </x:c>
      <x:c r="C2109" s="40" t="str">
        <x:v>Large-Basket Occasional Shoppers</x:v>
      </x:c>
      <x:c r="D2109" s="60" t="n">
        <x:v>1201.03</x:v>
      </x:c>
      <x:c r="E2109" s="50" t="n">
        <x:v>56</x:v>
      </x:c>
      <x:c r="F2109" s="46" t="n">
        <x:v>2.947368421052632</x:v>
      </x:c>
      <x:c r="G2109" s="46" t="n">
        <x:v>14</x:v>
      </x:c>
      <x:c r="H2109" s="61" t="n">
        <x:v>21.446964285714284</x:v>
      </x:c>
      <x:c r="I2109" s="52" t="n">
        <x:v>0.9642857142857142</x:v>
      </x:c>
      <x:c r="J2109" s="52" t="n">
        <x:v>0.560851935422096</x:v>
      </x:c>
      <x:c r="K2109" s="60" t="n">
        <x:v>1174.57</x:v>
      </x:c>
      <x:c r="L2109" s="60" t="n">
        <x:v>26.46</x:v>
      </x:c>
      <x:c r="M2109" s="50" t="n">
        <x:v>54</x:v>
      </x:c>
      <x:c r="N2109" s="50" t="n">
        <x:v>2</x:v>
      </x:c>
      <x:c r="O2109" s="50" t="n">
        <x:v>98</x:v>
      </x:c>
      <x:c r="P2109" s="50" t="n">
        <x:v>19</x:v>
      </x:c>
    </x:row>
    <x:row r="2110" ht="36" customHeight="1">
      <x:c r="A2110" s="53" t="n">
        <x:v>2091</x:v>
      </x:c>
      <x:c r="B2110" s="53" t="n">
        <x:v>2</x:v>
      </x:c>
      <x:c r="C2110" s="40" t="str">
        <x:v>Large-Basket Occasional Shoppers</x:v>
      </x:c>
      <x:c r="D2110" s="60" t="n">
        <x:v>834.56</x:v>
      </x:c>
      <x:c r="E2110" s="50" t="n">
        <x:v>15</x:v>
      </x:c>
      <x:c r="F2110" s="46" t="n">
        <x:v>1.1538461538461535</x:v>
      </x:c>
      <x:c r="G2110" s="46" t="n">
        <x:v>19</x:v>
      </x:c>
      <x:c r="H2110" s="61" t="n">
        <x:v>55.63733333333333</x:v>
      </x:c>
      <x:c r="I2110" s="52" t="n">
        <x:v>1</x:v>
      </x:c>
      <x:c r="J2110" s="52" t="n">
        <x:v>0.4780363305214723</x:v>
      </x:c>
      <x:c r="K2110" s="60" t="n">
        <x:v>834.56</x:v>
      </x:c>
      <x:c r="L2110" s="60" t="n">
        <x:v>0</x:v>
      </x:c>
      <x:c r="M2110" s="50" t="n">
        <x:v>15</x:v>
      </x:c>
      <x:c r="N2110" s="50" t="n">
        <x:v>0</x:v>
      </x:c>
      <x:c r="O2110" s="50" t="n">
        <x:v>86</x:v>
      </x:c>
      <x:c r="P2110" s="50" t="n">
        <x:v>13</x:v>
      </x:c>
    </x:row>
    <x:row r="2111" ht="36" customHeight="1">
      <x:c r="A2111" s="53" t="n">
        <x:v>2092</x:v>
      </x:c>
      <x:c r="B2111" s="53" t="n">
        <x:v>2</x:v>
      </x:c>
      <x:c r="C2111" s="40" t="str">
        <x:v>Large-Basket Occasional Shoppers</x:v>
      </x:c>
      <x:c r="D2111" s="60" t="n">
        <x:v>2290.54</x:v>
      </x:c>
      <x:c r="E2111" s="50" t="n">
        <x:v>122</x:v>
      </x:c>
      <x:c r="F2111" s="46" t="n">
        <x:v>8.714285714285714</x:v>
      </x:c>
      <x:c r="G2111" s="46" t="n">
        <x:v>152</x:v>
      </x:c>
      <x:c r="H2111" s="61" t="n">
        <x:v>18.77491803278689</x:v>
      </x:c>
      <x:c r="I2111" s="52" t="n">
        <x:v>0.8442622950819672</x:v>
      </x:c>
      <x:c r="J2111" s="52" t="n">
        <x:v>0.6111571943733792</x:v>
      </x:c>
      <x:c r="K2111" s="60" t="n">
        <x:v>2147.1</x:v>
      </x:c>
      <x:c r="L2111" s="60" t="n">
        <x:v>143.44</x:v>
      </x:c>
      <x:c r="M2111" s="50" t="n">
        <x:v>103</x:v>
      </x:c>
      <x:c r="N2111" s="50" t="n">
        <x:v>19</x:v>
      </x:c>
      <x:c r="O2111" s="50" t="n">
        <x:v>110</x:v>
      </x:c>
      <x:c r="P2111" s="50" t="n">
        <x:v>14</x:v>
      </x:c>
    </x:row>
    <x:row r="2112" ht="36" customHeight="1">
      <x:c r="A2112" s="53" t="n">
        <x:v>2093</x:v>
      </x:c>
      <x:c r="B2112" s="53" t="n">
        <x:v>3</x:v>
      </x:c>
      <x:c r="C2112" s="40" t="str">
        <x:v>Low-Value Low-Engagement Shoppers</x:v>
      </x:c>
      <x:c r="D2112" s="60" t="n">
        <x:v>490.98</x:v>
      </x:c>
      <x:c r="E2112" s="50" t="n">
        <x:v>19</x:v>
      </x:c>
      <x:c r="F2112" s="46" t="n">
        <x:v>1.5833333333333333</x:v>
      </x:c>
      <x:c r="G2112" s="46" t="n">
        <x:v>50</x:v>
      </x:c>
      <x:c r="H2112" s="61" t="n">
        <x:v>25.841052631578947</x:v>
      </x:c>
      <x:c r="I2112" s="52" t="n">
        <x:v>0.7894736842105263</x:v>
      </x:c>
      <x:c r="J2112" s="52" t="n">
        <x:v>0.6852417613752086</x:v>
      </x:c>
      <x:c r="K2112" s="60" t="n">
        <x:v>467.06</x:v>
      </x:c>
      <x:c r="L2112" s="60" t="n">
        <x:v>23.92</x:v>
      </x:c>
      <x:c r="M2112" s="50" t="n">
        <x:v>15</x:v>
      </x:c>
      <x:c r="N2112" s="50" t="n">
        <x:v>4</x:v>
      </x:c>
      <x:c r="O2112" s="50" t="n">
        <x:v>57</x:v>
      </x:c>
      <x:c r="P2112" s="50" t="n">
        <x:v>12</x:v>
      </x:c>
    </x:row>
    <x:row r="2113" ht="36" customHeight="1">
      <x:c r="A2113" s="53" t="n">
        <x:v>2094</x:v>
      </x:c>
      <x:c r="B2113" s="53" t="n">
        <x:v>2</x:v>
      </x:c>
      <x:c r="C2113" s="40" t="str">
        <x:v>Large-Basket Occasional Shoppers</x:v>
      </x:c>
      <x:c r="D2113" s="60" t="n">
        <x:v>3055.52</x:v>
      </x:c>
      <x:c r="E2113" s="50" t="n">
        <x:v>75</x:v>
      </x:c>
      <x:c r="F2113" s="46" t="n">
        <x:v>3.4090909090909087</x:v>
      </x:c>
      <x:c r="G2113" s="46" t="n">
        <x:v>3</x:v>
      </x:c>
      <x:c r="H2113" s="61" t="n">
        <x:v>40.74026666666666</x:v>
      </x:c>
      <x:c r="I2113" s="52" t="n">
        <x:v>0.9733333333333332</x:v>
      </x:c>
      <x:c r="J2113" s="52" t="n">
        <x:v>0.5211486097292768</x:v>
      </x:c>
      <x:c r="K2113" s="60" t="n">
        <x:v>3041.57</x:v>
      </x:c>
      <x:c r="L2113" s="60" t="n">
        <x:v>13.95</x:v>
      </x:c>
      <x:c r="M2113" s="50" t="n">
        <x:v>73</x:v>
      </x:c>
      <x:c r="N2113" s="50" t="n">
        <x:v>2</x:v>
      </x:c>
      <x:c r="O2113" s="50" t="n">
        <x:v>149</x:v>
      </x:c>
      <x:c r="P2113" s="50" t="n">
        <x:v>22</x:v>
      </x:c>
    </x:row>
    <x:row r="2114" ht="36" customHeight="1">
      <x:c r="A2114" s="53" t="n">
        <x:v>2095</x:v>
      </x:c>
      <x:c r="B2114" s="53" t="n">
        <x:v>1</x:v>
      </x:c>
      <x:c r="C2114" s="40" t="str">
        <x:v>High-Value Frequent Shoppers</x:v>
      </x:c>
      <x:c r="D2114" s="60" t="n">
        <x:v>3790.49</x:v>
      </x:c>
      <x:c r="E2114" s="50" t="n">
        <x:v>164</x:v>
      </x:c>
      <x:c r="F2114" s="46" t="n">
        <x:v>6.833333333333333</x:v>
      </x:c>
      <x:c r="G2114" s="46" t="n">
        <x:v>0</x:v>
      </x:c>
      <x:c r="H2114" s="61" t="n">
        <x:v>23.112743902439025</x:v>
      </x:c>
      <x:c r="I2114" s="52" t="n">
        <x:v>0.75</x:v>
      </x:c>
      <x:c r="J2114" s="52" t="n">
        <x:v>0.4908019807465525</x:v>
      </x:c>
      <x:c r="K2114" s="60" t="n">
        <x:v>3473.69</x:v>
      </x:c>
      <x:c r="L2114" s="60" t="n">
        <x:v>316.8</x:v>
      </x:c>
      <x:c r="M2114" s="50" t="n">
        <x:v>123</x:v>
      </x:c>
      <x:c r="N2114" s="50" t="n">
        <x:v>41</x:v>
      </x:c>
      <x:c r="O2114" s="50" t="n">
        <x:v>160</x:v>
      </x:c>
      <x:c r="P2114" s="50" t="n">
        <x:v>24</x:v>
      </x:c>
    </x:row>
    <x:row r="2115" ht="36" customHeight="1">
      <x:c r="A2115" s="53" t="n">
        <x:v>2096</x:v>
      </x:c>
      <x:c r="B2115" s="53" t="n">
        <x:v>2</x:v>
      </x:c>
      <x:c r="C2115" s="40" t="str">
        <x:v>Large-Basket Occasional Shoppers</x:v>
      </x:c>
      <x:c r="D2115" s="60" t="n">
        <x:v>1301.65</x:v>
      </x:c>
      <x:c r="E2115" s="50" t="n">
        <x:v>26</x:v>
      </x:c>
      <x:c r="F2115" s="46" t="n">
        <x:v>2.166666666666667</x:v>
      </x:c>
      <x:c r="G2115" s="46" t="n">
        <x:v>120</x:v>
      </x:c>
      <x:c r="H2115" s="61" t="n">
        <x:v>50.06346153846154</x:v>
      </x:c>
      <x:c r="I2115" s="52" t="n">
        <x:v>0.923076923076923</x:v>
      </x:c>
      <x:c r="J2115" s="52" t="n">
        <x:v>0.5216993815541812</x:v>
      </x:c>
      <x:c r="K2115" s="60" t="n">
        <x:v>1258.41</x:v>
      </x:c>
      <x:c r="L2115" s="60" t="n">
        <x:v>43.24</x:v>
      </x:c>
      <x:c r="M2115" s="50" t="n">
        <x:v>24</x:v>
      </x:c>
      <x:c r="N2115" s="50" t="n">
        <x:v>2</x:v>
      </x:c>
      <x:c r="O2115" s="50" t="n">
        <x:v>90</x:v>
      </x:c>
      <x:c r="P2115" s="50" t="n">
        <x:v>12</x:v>
      </x:c>
    </x:row>
    <x:row r="2116" ht="36" customHeight="1">
      <x:c r="A2116" s="53" t="n">
        <x:v>2097</x:v>
      </x:c>
      <x:c r="B2116" s="53" t="n">
        <x:v>1</x:v>
      </x:c>
      <x:c r="C2116" s="40" t="str">
        <x:v>High-Value Frequent Shoppers</x:v>
      </x:c>
      <x:c r="D2116" s="60" t="n">
        <x:v>8823.83</x:v>
      </x:c>
      <x:c r="E2116" s="50" t="n">
        <x:v>202</x:v>
      </x:c>
      <x:c r="F2116" s="46" t="n">
        <x:v>9.18181818181818</x:v>
      </x:c>
      <x:c r="G2116" s="46" t="n">
        <x:v>66</x:v>
      </x:c>
      <x:c r="H2116" s="61" t="n">
        <x:v>43.68232673267328</x:v>
      </x:c>
      <x:c r="I2116" s="52" t="n">
        <x:v>0.891089108910891</x:v>
      </x:c>
      <x:c r="J2116" s="52" t="n">
        <x:v>0.6300540694913659</x:v>
      </x:c>
      <x:c r="K2116" s="60" t="n">
        <x:v>8308.58</x:v>
      </x:c>
      <x:c r="L2116" s="60" t="n">
        <x:v>515.25</x:v>
      </x:c>
      <x:c r="M2116" s="50" t="n">
        <x:v>180</x:v>
      </x:c>
      <x:c r="N2116" s="50" t="n">
        <x:v>22</x:v>
      </x:c>
      <x:c r="O2116" s="50" t="n">
        <x:v>151</x:v>
      </x:c>
      <x:c r="P2116" s="50" t="n">
        <x:v>22</x:v>
      </x:c>
    </x:row>
    <x:row r="2117" ht="36" customHeight="1">
      <x:c r="A2117" s="53" t="n">
        <x:v>2098</x:v>
      </x:c>
      <x:c r="B2117" s="53" t="n">
        <x:v>2</x:v>
      </x:c>
      <x:c r="C2117" s="40" t="str">
        <x:v>Large-Basket Occasional Shoppers</x:v>
      </x:c>
      <x:c r="D2117" s="60" t="n">
        <x:v>682.46</x:v>
      </x:c>
      <x:c r="E2117" s="50" t="n">
        <x:v>13</x:v>
      </x:c>
      <x:c r="F2117" s="46" t="n">
        <x:v>1.625</x:v>
      </x:c>
      <x:c r="G2117" s="46" t="n">
        <x:v>79</x:v>
      </x:c>
      <x:c r="H2117" s="61" t="n">
        <x:v>52.49692307692308</x:v>
      </x:c>
      <x:c r="I2117" s="52" t="n">
        <x:v>0.8461538461538461</x:v>
      </x:c>
      <x:c r="J2117" s="52" t="n">
        <x:v>0.4523342027371567</x:v>
      </x:c>
      <x:c r="K2117" s="60" t="n">
        <x:v>654.6</x:v>
      </x:c>
      <x:c r="L2117" s="60" t="n">
        <x:v>27.86</x:v>
      </x:c>
      <x:c r="M2117" s="50" t="n">
        <x:v>11</x:v>
      </x:c>
      <x:c r="N2117" s="50" t="n">
        <x:v>2</x:v>
      </x:c>
      <x:c r="O2117" s="50" t="n">
        <x:v>76</x:v>
      </x:c>
      <x:c r="P2117" s="50" t="n">
        <x:v>8</x:v>
      </x:c>
    </x:row>
    <x:row r="2118" ht="36" customHeight="1">
      <x:c r="A2118" s="53" t="n">
        <x:v>2099</x:v>
      </x:c>
      <x:c r="B2118" s="53" t="n">
        <x:v>3</x:v>
      </x:c>
      <x:c r="C2118" s="40" t="str">
        <x:v>Low-Value Low-Engagement Shoppers</x:v>
      </x:c>
      <x:c r="D2118" s="60" t="n">
        <x:v>691.3</x:v>
      </x:c>
      <x:c r="E2118" s="50" t="n">
        <x:v>53</x:v>
      </x:c>
      <x:c r="F2118" s="46" t="n">
        <x:v>3.3125</x:v>
      </x:c>
      <x:c r="G2118" s="46" t="n">
        <x:v>15</x:v>
      </x:c>
      <x:c r="H2118" s="61" t="n">
        <x:v>13.043396226415094</x:v>
      </x:c>
      <x:c r="I2118" s="52" t="n">
        <x:v>0.5471698113207547</x:v>
      </x:c>
      <x:c r="J2118" s="52" t="n">
        <x:v>0.3995226385071604</x:v>
      </x:c>
      <x:c r="K2118" s="60" t="n">
        <x:v>433.71</x:v>
      </x:c>
      <x:c r="L2118" s="60" t="n">
        <x:v>257.59</x:v>
      </x:c>
      <x:c r="M2118" s="50" t="n">
        <x:v>29</x:v>
      </x:c>
      <x:c r="N2118" s="50" t="n">
        <x:v>24</x:v>
      </x:c>
      <x:c r="O2118" s="50" t="n">
        <x:v>64</x:v>
      </x:c>
      <x:c r="P2118" s="50" t="n">
        <x:v>16</x:v>
      </x:c>
    </x:row>
    <x:row r="2119" ht="36" customHeight="1">
      <x:c r="A2119" s="53" t="n">
        <x:v>2100</x:v>
      </x:c>
      <x:c r="B2119" s="53" t="n">
        <x:v>2</x:v>
      </x:c>
      <x:c r="C2119" s="40" t="str">
        <x:v>Large-Basket Occasional Shoppers</x:v>
      </x:c>
      <x:c r="D2119" s="60" t="n">
        <x:v>3185.31</x:v>
      </x:c>
      <x:c r="E2119" s="50" t="n">
        <x:v>71</x:v>
      </x:c>
      <x:c r="F2119" s="46" t="n">
        <x:v>3.7368421052631575</x:v>
      </x:c>
      <x:c r="G2119" s="46" t="n">
        <x:v>2</x:v>
      </x:c>
      <x:c r="H2119" s="61" t="n">
        <x:v>44.86352112676056</x:v>
      </x:c>
      <x:c r="I2119" s="52" t="n">
        <x:v>1</x:v>
      </x:c>
      <x:c r="J2119" s="52" t="n">
        <x:v>0.7372845971035786</x:v>
      </x:c>
      <x:c r="K2119" s="60" t="n">
        <x:v>3185.31</x:v>
      </x:c>
      <x:c r="L2119" s="60" t="n">
        <x:v>0</x:v>
      </x:c>
      <x:c r="M2119" s="50" t="n">
        <x:v>71</x:v>
      </x:c>
      <x:c r="N2119" s="50" t="n">
        <x:v>0</x:v>
      </x:c>
      <x:c r="O2119" s="50" t="n">
        <x:v>115</x:v>
      </x:c>
      <x:c r="P2119" s="50" t="n">
        <x:v>19</x:v>
      </x:c>
    </x:row>
    <x:row r="2120" ht="36" customHeight="1">
      <x:c r="A2120" s="53" t="n">
        <x:v>2101</x:v>
      </x:c>
      <x:c r="B2120" s="53" t="n">
        <x:v>2</x:v>
      </x:c>
      <x:c r="C2120" s="40" t="str">
        <x:v>Large-Basket Occasional Shoppers</x:v>
      </x:c>
      <x:c r="D2120" s="60" t="n">
        <x:v>420.02</x:v>
      </x:c>
      <x:c r="E2120" s="50" t="n">
        <x:v>10</x:v>
      </x:c>
      <x:c r="F2120" s="46" t="n">
        <x:v>1.4285714285714286</x:v>
      </x:c>
      <x:c r="G2120" s="46" t="n">
        <x:v>8</x:v>
      </x:c>
      <x:c r="H2120" s="61" t="n">
        <x:v>42.002</x:v>
      </x:c>
      <x:c r="I2120" s="52" t="n">
        <x:v>0.9</x:v>
      </x:c>
      <x:c r="J2120" s="52" t="n">
        <x:v>0.4026474929765249</x:v>
      </x:c>
      <x:c r="K2120" s="60" t="n">
        <x:v>391.54</x:v>
      </x:c>
      <x:c r="L2120" s="60" t="n">
        <x:v>28.48</x:v>
      </x:c>
      <x:c r="M2120" s="50" t="n">
        <x:v>9</x:v>
      </x:c>
      <x:c r="N2120" s="50" t="n">
        <x:v>1</x:v>
      </x:c>
      <x:c r="O2120" s="50" t="n">
        <x:v>31</x:v>
      </x:c>
      <x:c r="P2120" s="50" t="n">
        <x:v>7</x:v>
      </x:c>
    </x:row>
    <x:row r="2121" ht="36" customHeight="1">
      <x:c r="A2121" s="53" t="n">
        <x:v>2102</x:v>
      </x:c>
      <x:c r="B2121" s="53" t="n">
        <x:v>1</x:v>
      </x:c>
      <x:c r="C2121" s="40" t="str">
        <x:v>High-Value Frequent Shoppers</x:v>
      </x:c>
      <x:c r="D2121" s="60" t="n">
        <x:v>3619.76</x:v>
      </x:c>
      <x:c r="E2121" s="50" t="n">
        <x:v>105</x:v>
      </x:c>
      <x:c r="F2121" s="46" t="n">
        <x:v>4.375</x:v>
      </x:c>
      <x:c r="G2121" s="46" t="n">
        <x:v>0</x:v>
      </x:c>
      <x:c r="H2121" s="61" t="n">
        <x:v>34.47390476190476</x:v>
      </x:c>
      <x:c r="I2121" s="52" t="n">
        <x:v>0.8761904761904761</x:v>
      </x:c>
      <x:c r="J2121" s="52" t="n">
        <x:v>0.4111515680597608</x:v>
      </x:c>
      <x:c r="K2121" s="60" t="n">
        <x:v>3532.24</x:v>
      </x:c>
      <x:c r="L2121" s="60" t="n">
        <x:v>87.52</x:v>
      </x:c>
      <x:c r="M2121" s="50" t="n">
        <x:v>92</x:v>
      </x:c>
      <x:c r="N2121" s="50" t="n">
        <x:v>13</x:v>
      </x:c>
      <x:c r="O2121" s="50" t="n">
        <x:v>137</x:v>
      </x:c>
      <x:c r="P2121" s="50" t="n">
        <x:v>24</x:v>
      </x:c>
    </x:row>
    <x:row r="2122" ht="36" customHeight="1">
      <x:c r="A2122" s="53" t="n">
        <x:v>2103</x:v>
      </x:c>
      <x:c r="B2122" s="53" t="n">
        <x:v>3</x:v>
      </x:c>
      <x:c r="C2122" s="40" t="str">
        <x:v>Low-Value Low-Engagement Shoppers</x:v>
      </x:c>
      <x:c r="D2122" s="60" t="n">
        <x:v>361.01</x:v>
      </x:c>
      <x:c r="E2122" s="50" t="n">
        <x:v>30</x:v>
      </x:c>
      <x:c r="F2122" s="46" t="n">
        <x:v>1.6666666666666667</x:v>
      </x:c>
      <x:c r="G2122" s="46" t="n">
        <x:v>6</x:v>
      </x:c>
      <x:c r="H2122" s="61" t="n">
        <x:v>12.033666666666663</x:v>
      </x:c>
      <x:c r="I2122" s="52" t="n">
        <x:v>0.8666666666666666</x:v>
      </x:c>
      <x:c r="J2122" s="52" t="n">
        <x:v>0.33838397828315</x:v>
      </x:c>
      <x:c r="K2122" s="60" t="n">
        <x:v>340.3</x:v>
      </x:c>
      <x:c r="L2122" s="60" t="n">
        <x:v>20.71</x:v>
      </x:c>
      <x:c r="M2122" s="50" t="n">
        <x:v>26</x:v>
      </x:c>
      <x:c r="N2122" s="50" t="n">
        <x:v>4</x:v>
      </x:c>
      <x:c r="O2122" s="50" t="n">
        <x:v>58</x:v>
      </x:c>
      <x:c r="P2122" s="50" t="n">
        <x:v>18</x:v>
      </x:c>
    </x:row>
    <x:row r="2123" ht="36" customHeight="1">
      <x:c r="A2123" s="53" t="n">
        <x:v>2104</x:v>
      </x:c>
      <x:c r="B2123" s="53" t="n">
        <x:v>3</x:v>
      </x:c>
      <x:c r="C2123" s="40" t="str">
        <x:v>Low-Value Low-Engagement Shoppers</x:v>
      </x:c>
      <x:c r="D2123" s="60" t="n">
        <x:v>494.57</x:v>
      </x:c>
      <x:c r="E2123" s="50" t="n">
        <x:v>29</x:v>
      </x:c>
      <x:c r="F2123" s="46" t="n">
        <x:v>2.230769230769231</x:v>
      </x:c>
      <x:c r="G2123" s="46" t="n">
        <x:v>82</x:v>
      </x:c>
      <x:c r="H2123" s="61" t="n">
        <x:v>17.054137931034482</x:v>
      </x:c>
      <x:c r="I2123" s="52" t="n">
        <x:v>0.9310344827586206</x:v>
      </x:c>
      <x:c r="J2123" s="52" t="n">
        <x:v>0.6607962472450815</x:v>
      </x:c>
      <x:c r="K2123" s="60" t="n">
        <x:v>484.91</x:v>
      </x:c>
      <x:c r="L2123" s="60" t="n">
        <x:v>9.66</x:v>
      </x:c>
      <x:c r="M2123" s="50" t="n">
        <x:v>27</x:v>
      </x:c>
      <x:c r="N2123" s="50" t="n">
        <x:v>2</x:v>
      </x:c>
      <x:c r="O2123" s="50" t="n">
        <x:v>69</x:v>
      </x:c>
      <x:c r="P2123" s="50" t="n">
        <x:v>13</x:v>
      </x:c>
    </x:row>
    <x:row r="2124" ht="36" customHeight="1">
      <x:c r="A2124" s="53" t="n">
        <x:v>2105</x:v>
      </x:c>
      <x:c r="B2124" s="53" t="n">
        <x:v>2</x:v>
      </x:c>
      <x:c r="C2124" s="40" t="str">
        <x:v>Large-Basket Occasional Shoppers</x:v>
      </x:c>
      <x:c r="D2124" s="60" t="n">
        <x:v>899.92</x:v>
      </x:c>
      <x:c r="E2124" s="50" t="n">
        <x:v>35</x:v>
      </x:c>
      <x:c r="F2124" s="46" t="n">
        <x:v>2.6923076923076925</x:v>
      </x:c>
      <x:c r="G2124" s="46" t="n">
        <x:v>10</x:v>
      </x:c>
      <x:c r="H2124" s="61" t="n">
        <x:v>25.712</x:v>
      </x:c>
      <x:c r="I2124" s="52" t="n">
        <x:v>0.8571428571428571</x:v>
      </x:c>
      <x:c r="J2124" s="52" t="n">
        <x:v>0.4449951106765045</x:v>
      </x:c>
      <x:c r="K2124" s="60" t="n">
        <x:v>873.47</x:v>
      </x:c>
      <x:c r="L2124" s="60" t="n">
        <x:v>26.45</x:v>
      </x:c>
      <x:c r="M2124" s="50" t="n">
        <x:v>30</x:v>
      </x:c>
      <x:c r="N2124" s="50" t="n">
        <x:v>5</x:v>
      </x:c>
      <x:c r="O2124" s="50" t="n">
        <x:v>104</x:v>
      </x:c>
      <x:c r="P2124" s="50" t="n">
        <x:v>13</x:v>
      </x:c>
    </x:row>
    <x:row r="2125" ht="36" customHeight="1">
      <x:c r="A2125" s="53" t="n">
        <x:v>2106</x:v>
      </x:c>
      <x:c r="B2125" s="53" t="n">
        <x:v>2</x:v>
      </x:c>
      <x:c r="C2125" s="40" t="str">
        <x:v>Large-Basket Occasional Shoppers</x:v>
      </x:c>
      <x:c r="D2125" s="60" t="n">
        <x:v>2807.03</x:v>
      </x:c>
      <x:c r="E2125" s="50" t="n">
        <x:v>52</x:v>
      </x:c>
      <x:c r="F2125" s="46" t="n">
        <x:v>4</x:v>
      </x:c>
      <x:c r="G2125" s="46" t="n">
        <x:v>219</x:v>
      </x:c>
      <x:c r="H2125" s="61" t="n">
        <x:v>53.98134615384616</x:v>
      </x:c>
      <x:c r="I2125" s="52" t="n">
        <x:v>0.8076923076923076</x:v>
      </x:c>
      <x:c r="J2125" s="52" t="n">
        <x:v>0.3161277221832328</x:v>
      </x:c>
      <x:c r="K2125" s="60" t="n">
        <x:v>2564.59</x:v>
      </x:c>
      <x:c r="L2125" s="60" t="n">
        <x:v>242.44</x:v>
      </x:c>
      <x:c r="M2125" s="50" t="n">
        <x:v>42</x:v>
      </x:c>
      <x:c r="N2125" s="50" t="n">
        <x:v>10</x:v>
      </x:c>
      <x:c r="O2125" s="50" t="n">
        <x:v>140</x:v>
      </x:c>
      <x:c r="P2125" s="50" t="n">
        <x:v>13</x:v>
      </x:c>
    </x:row>
    <x:row r="2126" ht="36" customHeight="1">
      <x:c r="A2126" s="53" t="n">
        <x:v>2107</x:v>
      </x:c>
      <x:c r="B2126" s="53" t="n">
        <x:v>2</x:v>
      </x:c>
      <x:c r="C2126" s="40" t="str">
        <x:v>Large-Basket Occasional Shoppers</x:v>
      </x:c>
      <x:c r="D2126" s="60" t="n">
        <x:v>3409.06</x:v>
      </x:c>
      <x:c r="E2126" s="50" t="n">
        <x:v>87</x:v>
      </x:c>
      <x:c r="F2126" s="46" t="n">
        <x:v>4.142857142857143</x:v>
      </x:c>
      <x:c r="G2126" s="46" t="n">
        <x:v>14</x:v>
      </x:c>
      <x:c r="H2126" s="61" t="n">
        <x:v>39.18459770114944</x:v>
      </x:c>
      <x:c r="I2126" s="52" t="n">
        <x:v>0.8735632183908045</x:v>
      </x:c>
      <x:c r="J2126" s="52" t="n">
        <x:v>0.5483564384317084</x:v>
      </x:c>
      <x:c r="K2126" s="60" t="n">
        <x:v>3329.71</x:v>
      </x:c>
      <x:c r="L2126" s="60" t="n">
        <x:v>79.35</x:v>
      </x:c>
      <x:c r="M2126" s="50" t="n">
        <x:v>76</x:v>
      </x:c>
      <x:c r="N2126" s="50" t="n">
        <x:v>11</x:v>
      </x:c>
      <x:c r="O2126" s="50" t="n">
        <x:v>126</x:v>
      </x:c>
      <x:c r="P2126" s="50" t="n">
        <x:v>21</x:v>
      </x:c>
    </x:row>
    <x:row r="2127" ht="36" customHeight="1">
      <x:c r="A2127" s="53" t="n">
        <x:v>2108</x:v>
      </x:c>
      <x:c r="B2127" s="53" t="n">
        <x:v>1</x:v>
      </x:c>
      <x:c r="C2127" s="40" t="str">
        <x:v>High-Value Frequent Shoppers</x:v>
      </x:c>
      <x:c r="D2127" s="60" t="n">
        <x:v>1830.99</x:v>
      </x:c>
      <x:c r="E2127" s="50" t="n">
        <x:v>131</x:v>
      </x:c>
      <x:c r="F2127" s="46" t="n">
        <x:v>6.238095238095238</x:v>
      </x:c>
      <x:c r="G2127" s="46" t="n">
        <x:v>3</x:v>
      </x:c>
      <x:c r="H2127" s="61" t="n">
        <x:v>13.97702290076336</x:v>
      </x:c>
      <x:c r="I2127" s="52" t="n">
        <x:v>0.8931297709923663</x:v>
      </x:c>
      <x:c r="J2127" s="52" t="n">
        <x:v>0.5222420657676994</x:v>
      </x:c>
      <x:c r="K2127" s="60" t="n">
        <x:v>1691.81</x:v>
      </x:c>
      <x:c r="L2127" s="60" t="n">
        <x:v>139.18</x:v>
      </x:c>
      <x:c r="M2127" s="50" t="n">
        <x:v>117</x:v>
      </x:c>
      <x:c r="N2127" s="50" t="n">
        <x:v>14</x:v>
      </x:c>
      <x:c r="O2127" s="50" t="n">
        <x:v>119</x:v>
      </x:c>
      <x:c r="P2127" s="50" t="n">
        <x:v>21</x:v>
      </x:c>
    </x:row>
    <x:row r="2128" ht="36" customHeight="1">
      <x:c r="A2128" s="53" t="n">
        <x:v>2109</x:v>
      </x:c>
      <x:c r="B2128" s="53" t="n">
        <x:v>1</x:v>
      </x:c>
      <x:c r="C2128" s="40" t="str">
        <x:v>High-Value Frequent Shoppers</x:v>
      </x:c>
      <x:c r="D2128" s="60" t="n">
        <x:v>2508.24</x:v>
      </x:c>
      <x:c r="E2128" s="50" t="n">
        <x:v>120</x:v>
      </x:c>
      <x:c r="F2128" s="46" t="n">
        <x:v>6</x:v>
      </x:c>
      <x:c r="G2128" s="46" t="n">
        <x:v>2</x:v>
      </x:c>
      <x:c r="H2128" s="61" t="n">
        <x:v>20.902</x:v>
      </x:c>
      <x:c r="I2128" s="52" t="n">
        <x:v>0.8916666666666666</x:v>
      </x:c>
      <x:c r="J2128" s="52" t="n">
        <x:v>0.4580303320256434</x:v>
      </x:c>
      <x:c r="K2128" s="60" t="n">
        <x:v>2415.03</x:v>
      </x:c>
      <x:c r="L2128" s="60" t="n">
        <x:v>93.21</x:v>
      </x:c>
      <x:c r="M2128" s="50" t="n">
        <x:v>107</x:v>
      </x:c>
      <x:c r="N2128" s="50" t="n">
        <x:v>13</x:v>
      </x:c>
      <x:c r="O2128" s="50" t="n">
        <x:v>91</x:v>
      </x:c>
      <x:c r="P2128" s="50" t="n">
        <x:v>20</x:v>
      </x:c>
    </x:row>
    <x:row r="2129" ht="36" customHeight="1">
      <x:c r="A2129" s="53" t="n">
        <x:v>2110</x:v>
      </x:c>
      <x:c r="B2129" s="53" t="n">
        <x:v>1</x:v>
      </x:c>
      <x:c r="C2129" s="40" t="str">
        <x:v>High-Value Frequent Shoppers</x:v>
      </x:c>
      <x:c r="D2129" s="60" t="n">
        <x:v>12470.03</x:v>
      </x:c>
      <x:c r="E2129" s="50" t="n">
        <x:v>222</x:v>
      </x:c>
      <x:c r="F2129" s="46" t="n">
        <x:v>9.25</x:v>
      </x:c>
      <x:c r="G2129" s="46" t="n">
        <x:v>7</x:v>
      </x:c>
      <x:c r="H2129" s="61" t="n">
        <x:v>56.17130630630631</x:v>
      </x:c>
      <x:c r="I2129" s="52" t="n">
        <x:v>0.8738738738738738</x:v>
      </x:c>
      <x:c r="J2129" s="52" t="n">
        <x:v>0.2944475674878087</x:v>
      </x:c>
      <x:c r="K2129" s="60" t="n">
        <x:v>11795.49</x:v>
      </x:c>
      <x:c r="L2129" s="60" t="n">
        <x:v>674.54</x:v>
      </x:c>
      <x:c r="M2129" s="50" t="n">
        <x:v>194</x:v>
      </x:c>
      <x:c r="N2129" s="50" t="n">
        <x:v>28</x:v>
      </x:c>
      <x:c r="O2129" s="50" t="n">
        <x:v>211</x:v>
      </x:c>
      <x:c r="P2129" s="50" t="n">
        <x:v>24</x:v>
      </x:c>
    </x:row>
    <x:row r="2130" ht="36" customHeight="1">
      <x:c r="A2130" s="53" t="n">
        <x:v>2111</x:v>
      </x:c>
      <x:c r="B2130" s="53" t="n">
        <x:v>2</x:v>
      </x:c>
      <x:c r="C2130" s="40" t="str">
        <x:v>Large-Basket Occasional Shoppers</x:v>
      </x:c>
      <x:c r="D2130" s="60" t="n">
        <x:v>2590.37</x:v>
      </x:c>
      <x:c r="E2130" s="50" t="n">
        <x:v>122</x:v>
      </x:c>
      <x:c r="F2130" s="46" t="n">
        <x:v>5.304347826086957</x:v>
      </x:c>
      <x:c r="G2130" s="46" t="n">
        <x:v>24</x:v>
      </x:c>
      <x:c r="H2130" s="61" t="n">
        <x:v>21.23254098360656</x:v>
      </x:c>
      <x:c r="I2130" s="52" t="n">
        <x:v>0.901639344262295</x:v>
      </x:c>
      <x:c r="J2130" s="52" t="n">
        <x:v>0.8844566606314928</x:v>
      </x:c>
      <x:c r="K2130" s="60" t="n">
        <x:v>2547.75</x:v>
      </x:c>
      <x:c r="L2130" s="60" t="n">
        <x:v>42.62</x:v>
      </x:c>
      <x:c r="M2130" s="50" t="n">
        <x:v>110</x:v>
      </x:c>
      <x:c r="N2130" s="50" t="n">
        <x:v>12</x:v>
      </x:c>
      <x:c r="O2130" s="50" t="n">
        <x:v>111</x:v>
      </x:c>
      <x:c r="P2130" s="50" t="n">
        <x:v>23</x:v>
      </x:c>
    </x:row>
    <x:row r="2131" ht="36" customHeight="1">
      <x:c r="A2131" s="53" t="n">
        <x:v>2112</x:v>
      </x:c>
      <x:c r="B2131" s="53" t="n">
        <x:v>1</x:v>
      </x:c>
      <x:c r="C2131" s="40" t="str">
        <x:v>High-Value Frequent Shoppers</x:v>
      </x:c>
      <x:c r="D2131" s="60" t="n">
        <x:v>5116.15</x:v>
      </x:c>
      <x:c r="E2131" s="50" t="n">
        <x:v>132</x:v>
      </x:c>
      <x:c r="F2131" s="46" t="n">
        <x:v>5.5</x:v>
      </x:c>
      <x:c r="G2131" s="46" t="n">
        <x:v>0</x:v>
      </x:c>
      <x:c r="H2131" s="61" t="n">
        <x:v>38.75871212121212</x:v>
      </x:c>
      <x:c r="I2131" s="52" t="n">
        <x:v>0.9393939393939392</x:v>
      </x:c>
      <x:c r="J2131" s="52" t="n">
        <x:v>0.6040225560235724</x:v>
      </x:c>
      <x:c r="K2131" s="60" t="n">
        <x:v>5022.37</x:v>
      </x:c>
      <x:c r="L2131" s="60" t="n">
        <x:v>93.78</x:v>
      </x:c>
      <x:c r="M2131" s="50" t="n">
        <x:v>124</x:v>
      </x:c>
      <x:c r="N2131" s="50" t="n">
        <x:v>8</x:v>
      </x:c>
      <x:c r="O2131" s="50" t="n">
        <x:v>160</x:v>
      </x:c>
      <x:c r="P2131" s="50" t="n">
        <x:v>24</x:v>
      </x:c>
    </x:row>
    <x:row r="2132" ht="36" customHeight="1">
      <x:c r="A2132" s="53" t="n">
        <x:v>2113</x:v>
      </x:c>
      <x:c r="B2132" s="53" t="n">
        <x:v>2</x:v>
      </x:c>
      <x:c r="C2132" s="40" t="str">
        <x:v>Large-Basket Occasional Shoppers</x:v>
      </x:c>
      <x:c r="D2132" s="60" t="n">
        <x:v>1599.08</x:v>
      </x:c>
      <x:c r="E2132" s="50" t="n">
        <x:v>60</x:v>
      </x:c>
      <x:c r="F2132" s="46" t="n">
        <x:v>2.8571428571428568</x:v>
      </x:c>
      <x:c r="G2132" s="46" t="n">
        <x:v>21</x:v>
      </x:c>
      <x:c r="H2132" s="61" t="n">
        <x:v>26.651333333333334</x:v>
      </x:c>
      <x:c r="I2132" s="52" t="n">
        <x:v>0.8666666666666666</x:v>
      </x:c>
      <x:c r="J2132" s="52" t="n">
        <x:v>0.4812892413137554</x:v>
      </x:c>
      <x:c r="K2132" s="60" t="n">
        <x:v>1512.36</x:v>
      </x:c>
      <x:c r="L2132" s="60" t="n">
        <x:v>86.72</x:v>
      </x:c>
      <x:c r="M2132" s="50" t="n">
        <x:v>52</x:v>
      </x:c>
      <x:c r="N2132" s="50" t="n">
        <x:v>8</x:v>
      </x:c>
      <x:c r="O2132" s="50" t="n">
        <x:v>128</x:v>
      </x:c>
      <x:c r="P2132" s="50" t="n">
        <x:v>21</x:v>
      </x:c>
    </x:row>
    <x:row r="2133" ht="36" customHeight="1">
      <x:c r="A2133" s="53" t="n">
        <x:v>2114</x:v>
      </x:c>
      <x:c r="B2133" s="53" t="n">
        <x:v>2</x:v>
      </x:c>
      <x:c r="C2133" s="40" t="str">
        <x:v>Large-Basket Occasional Shoppers</x:v>
      </x:c>
      <x:c r="D2133" s="60" t="n">
        <x:v>3170.28</x:v>
      </x:c>
      <x:c r="E2133" s="50" t="n">
        <x:v>156</x:v>
      </x:c>
      <x:c r="F2133" s="46" t="n">
        <x:v>7.090909090909091</x:v>
      </x:c>
      <x:c r="G2133" s="46" t="n">
        <x:v>23</x:v>
      </x:c>
      <x:c r="H2133" s="61" t="n">
        <x:v>20.32230769230769</x:v>
      </x:c>
      <x:c r="I2133" s="52" t="n">
        <x:v>0.9294871794871794</x:v>
      </x:c>
      <x:c r="J2133" s="52" t="n">
        <x:v>0.3940188248356612</x:v>
      </x:c>
      <x:c r="K2133" s="60" t="n">
        <x:v>3001.07</x:v>
      </x:c>
      <x:c r="L2133" s="60" t="n">
        <x:v>169.21</x:v>
      </x:c>
      <x:c r="M2133" s="50" t="n">
        <x:v>145</x:v>
      </x:c>
      <x:c r="N2133" s="50" t="n">
        <x:v>11</x:v>
      </x:c>
      <x:c r="O2133" s="50" t="n">
        <x:v>119</x:v>
      </x:c>
      <x:c r="P2133" s="50" t="n">
        <x:v>22</x:v>
      </x:c>
    </x:row>
    <x:row r="2134" ht="36" customHeight="1">
      <x:c r="A2134" s="53" t="n">
        <x:v>2115</x:v>
      </x:c>
      <x:c r="B2134" s="53" t="n">
        <x:v>1</x:v>
      </x:c>
      <x:c r="C2134" s="40" t="str">
        <x:v>High-Value Frequent Shoppers</x:v>
      </x:c>
      <x:c r="D2134" s="60" t="n">
        <x:v>14774.86</x:v>
      </x:c>
      <x:c r="E2134" s="50" t="n">
        <x:v>320</x:v>
      </x:c>
      <x:c r="F2134" s="46" t="n">
        <x:v>14.545454545454543</x:v>
      </x:c>
      <x:c r="G2134" s="46" t="n">
        <x:v>0</x:v>
      </x:c>
      <x:c r="H2134" s="61" t="n">
        <x:v>46.1714375</x:v>
      </x:c>
      <x:c r="I2134" s="52" t="n">
        <x:v>0.815625</x:v>
      </x:c>
      <x:c r="J2134" s="52" t="n">
        <x:v>0.5938283002343169</x:v>
      </x:c>
      <x:c r="K2134" s="60" t="n">
        <x:v>14158.73</x:v>
      </x:c>
      <x:c r="L2134" s="60" t="n">
        <x:v>616.13</x:v>
      </x:c>
      <x:c r="M2134" s="50" t="n">
        <x:v>261</x:v>
      </x:c>
      <x:c r="N2134" s="50" t="n">
        <x:v>59</x:v>
      </x:c>
      <x:c r="O2134" s="50" t="n">
        <x:v>188</x:v>
      </x:c>
      <x:c r="P2134" s="50" t="n">
        <x:v>22</x:v>
      </x:c>
    </x:row>
    <x:row r="2135" ht="36" customHeight="1">
      <x:c r="A2135" s="53" t="n">
        <x:v>2116</x:v>
      </x:c>
      <x:c r="B2135" s="53" t="n">
        <x:v>1</x:v>
      </x:c>
      <x:c r="C2135" s="40" t="str">
        <x:v>High-Value Frequent Shoppers</x:v>
      </x:c>
      <x:c r="D2135" s="60" t="n">
        <x:v>12228.09</x:v>
      </x:c>
      <x:c r="E2135" s="50" t="n">
        <x:v>222</x:v>
      </x:c>
      <x:c r="F2135" s="46" t="n">
        <x:v>9.25</x:v>
      </x:c>
      <x:c r="G2135" s="46" t="n">
        <x:v>3</x:v>
      </x:c>
      <x:c r="H2135" s="61" t="n">
        <x:v>55.08148648648649</x:v>
      </x:c>
      <x:c r="I2135" s="52" t="n">
        <x:v>0.9189189189189187</x:v>
      </x:c>
      <x:c r="J2135" s="52" t="n">
        <x:v>0.5228060964549655</x:v>
      </x:c>
      <x:c r="K2135" s="60" t="n">
        <x:v>12055.8</x:v>
      </x:c>
      <x:c r="L2135" s="60" t="n">
        <x:v>172.29</x:v>
      </x:c>
      <x:c r="M2135" s="50" t="n">
        <x:v>204</x:v>
      </x:c>
      <x:c r="N2135" s="50" t="n">
        <x:v>18</x:v>
      </x:c>
      <x:c r="O2135" s="50" t="n">
        <x:v>204</x:v>
      </x:c>
      <x:c r="P2135" s="50" t="n">
        <x:v>24</x:v>
      </x:c>
    </x:row>
    <x:row r="2136" ht="36" customHeight="1">
      <x:c r="A2136" s="53" t="n">
        <x:v>2117</x:v>
      </x:c>
      <x:c r="B2136" s="53" t="n">
        <x:v>2</x:v>
      </x:c>
      <x:c r="C2136" s="40" t="str">
        <x:v>Large-Basket Occasional Shoppers</x:v>
      </x:c>
      <x:c r="D2136" s="60" t="n">
        <x:v>1050.39</x:v>
      </x:c>
      <x:c r="E2136" s="50" t="n">
        <x:v>63</x:v>
      </x:c>
      <x:c r="F2136" s="46" t="n">
        <x:v>3.3157894736842106</x:v>
      </x:c>
      <x:c r="G2136" s="46" t="n">
        <x:v>4</x:v>
      </x:c>
      <x:c r="H2136" s="61" t="n">
        <x:v>16.672857142857143</x:v>
      </x:c>
      <x:c r="I2136" s="52" t="n">
        <x:v>0.9523809523809524</x:v>
      </x:c>
      <x:c r="J2136" s="52" t="n">
        <x:v>0.5664372280771903</x:v>
      </x:c>
      <x:c r="K2136" s="60" t="n">
        <x:v>1036.75</x:v>
      </x:c>
      <x:c r="L2136" s="60" t="n">
        <x:v>13.64</x:v>
      </x:c>
      <x:c r="M2136" s="50" t="n">
        <x:v>60</x:v>
      </x:c>
      <x:c r="N2136" s="50" t="n">
        <x:v>3</x:v>
      </x:c>
      <x:c r="O2136" s="50" t="n">
        <x:v>106</x:v>
      </x:c>
      <x:c r="P2136" s="50" t="n">
        <x:v>19</x:v>
      </x:c>
    </x:row>
    <x:row r="2137" ht="36" customHeight="1">
      <x:c r="A2137" s="53" t="n">
        <x:v>2118</x:v>
      </x:c>
      <x:c r="B2137" s="53" t="n">
        <x:v>2</x:v>
      </x:c>
      <x:c r="C2137" s="40" t="str">
        <x:v>Large-Basket Occasional Shoppers</x:v>
      </x:c>
      <x:c r="D2137" s="60" t="n">
        <x:v>1107.79</x:v>
      </x:c>
      <x:c r="E2137" s="50" t="n">
        <x:v>29</x:v>
      </x:c>
      <x:c r="F2137" s="46" t="n">
        <x:v>1.933333333333333</x:v>
      </x:c>
      <x:c r="G2137" s="46" t="n">
        <x:v>3</x:v>
      </x:c>
      <x:c r="H2137" s="61" t="n">
        <x:v>38.19965517241379</x:v>
      </x:c>
      <x:c r="I2137" s="52" t="n">
        <x:v>0.8275862068965517</x:v>
      </x:c>
      <x:c r="J2137" s="52" t="n">
        <x:v>0.55836394984609</x:v>
      </x:c>
      <x:c r="K2137" s="60" t="n">
        <x:v>1072.83</x:v>
      </x:c>
      <x:c r="L2137" s="60" t="n">
        <x:v>34.96</x:v>
      </x:c>
      <x:c r="M2137" s="50" t="n">
        <x:v>24</x:v>
      </x:c>
      <x:c r="N2137" s="50" t="n">
        <x:v>5</x:v>
      </x:c>
      <x:c r="O2137" s="50" t="n">
        <x:v>90</x:v>
      </x:c>
      <x:c r="P2137" s="50" t="n">
        <x:v>15</x:v>
      </x:c>
    </x:row>
    <x:row r="2138" ht="36" customHeight="1">
      <x:c r="A2138" s="53" t="n">
        <x:v>2119</x:v>
      </x:c>
      <x:c r="B2138" s="53" t="n">
        <x:v>2</x:v>
      </x:c>
      <x:c r="C2138" s="40" t="str">
        <x:v>Large-Basket Occasional Shoppers</x:v>
      </x:c>
      <x:c r="D2138" s="60" t="n">
        <x:v>2295.16</x:v>
      </x:c>
      <x:c r="E2138" s="50" t="n">
        <x:v>44</x:v>
      </x:c>
      <x:c r="F2138" s="46" t="n">
        <x:v>2.3157894736842106</x:v>
      </x:c>
      <x:c r="G2138" s="46" t="n">
        <x:v>7</x:v>
      </x:c>
      <x:c r="H2138" s="61" t="n">
        <x:v>52.16272727272728</x:v>
      </x:c>
      <x:c r="I2138" s="52" t="n">
        <x:v>1</x:v>
      </x:c>
      <x:c r="J2138" s="52" t="n">
        <x:v>0.8497926070513602</x:v>
      </x:c>
      <x:c r="K2138" s="60" t="n">
        <x:v>2295.16</x:v>
      </x:c>
      <x:c r="L2138" s="60" t="n">
        <x:v>0</x:v>
      </x:c>
      <x:c r="M2138" s="50" t="n">
        <x:v>44</x:v>
      </x:c>
      <x:c r="N2138" s="50" t="n">
        <x:v>0</x:v>
      </x:c>
      <x:c r="O2138" s="50" t="n">
        <x:v>109</x:v>
      </x:c>
      <x:c r="P2138" s="50" t="n">
        <x:v>19</x:v>
      </x:c>
    </x:row>
    <x:row r="2139" ht="36" customHeight="1">
      <x:c r="A2139" s="53" t="n">
        <x:v>2120</x:v>
      </x:c>
      <x:c r="B2139" s="53" t="n">
        <x:v>3</x:v>
      </x:c>
      <x:c r="C2139" s="40" t="str">
        <x:v>Low-Value Low-Engagement Shoppers</x:v>
      </x:c>
      <x:c r="D2139" s="60" t="n">
        <x:v>1643.2</x:v>
      </x:c>
      <x:c r="E2139" s="50" t="n">
        <x:v>72</x:v>
      </x:c>
      <x:c r="F2139" s="46" t="n">
        <x:v>3.6</x:v>
      </x:c>
      <x:c r="G2139" s="46" t="n">
        <x:v>14</x:v>
      </x:c>
      <x:c r="H2139" s="61" t="n">
        <x:v>22.822222222222223</x:v>
      </x:c>
      <x:c r="I2139" s="52" t="n">
        <x:v>0.6805555555555555</x:v>
      </x:c>
      <x:c r="J2139" s="52" t="n">
        <x:v>0.3967867575462512</x:v>
      </x:c>
      <x:c r="K2139" s="60" t="n">
        <x:v>1484.93</x:v>
      </x:c>
      <x:c r="L2139" s="60" t="n">
        <x:v>158.27</x:v>
      </x:c>
      <x:c r="M2139" s="50" t="n">
        <x:v>49</x:v>
      </x:c>
      <x:c r="N2139" s="50" t="n">
        <x:v>23</x:v>
      </x:c>
      <x:c r="O2139" s="50" t="n">
        <x:v>96</x:v>
      </x:c>
      <x:c r="P2139" s="50" t="n">
        <x:v>20</x:v>
      </x:c>
    </x:row>
    <x:row r="2140" ht="36" customHeight="1">
      <x:c r="A2140" s="53" t="n">
        <x:v>2121</x:v>
      </x:c>
      <x:c r="B2140" s="53" t="n">
        <x:v>1</x:v>
      </x:c>
      <x:c r="C2140" s="40" t="str">
        <x:v>High-Value Frequent Shoppers</x:v>
      </x:c>
      <x:c r="D2140" s="60" t="n">
        <x:v>5582.79</x:v>
      </x:c>
      <x:c r="E2140" s="50" t="n">
        <x:v>142</x:v>
      </x:c>
      <x:c r="F2140" s="46" t="n">
        <x:v>6.761904761904762</x:v>
      </x:c>
      <x:c r="G2140" s="46" t="n">
        <x:v>1</x:v>
      </x:c>
      <x:c r="H2140" s="61" t="n">
        <x:v>39.31542253521127</x:v>
      </x:c>
      <x:c r="I2140" s="52" t="n">
        <x:v>0.908450704225352</x:v>
      </x:c>
      <x:c r="J2140" s="52" t="n">
        <x:v>0.528567257589843</x:v>
      </x:c>
      <x:c r="K2140" s="60" t="n">
        <x:v>5402.78</x:v>
      </x:c>
      <x:c r="L2140" s="60" t="n">
        <x:v>180.01</x:v>
      </x:c>
      <x:c r="M2140" s="50" t="n">
        <x:v>129</x:v>
      </x:c>
      <x:c r="N2140" s="50" t="n">
        <x:v>13</x:v>
      </x:c>
      <x:c r="O2140" s="50" t="n">
        <x:v>188</x:v>
      </x:c>
      <x:c r="P2140" s="50" t="n">
        <x:v>21</x:v>
      </x:c>
    </x:row>
    <x:row r="2141" ht="36" customHeight="1">
      <x:c r="A2141" s="53" t="n">
        <x:v>2122</x:v>
      </x:c>
      <x:c r="B2141" s="53" t="n">
        <x:v>2</x:v>
      </x:c>
      <x:c r="C2141" s="40" t="str">
        <x:v>Large-Basket Occasional Shoppers</x:v>
      </x:c>
      <x:c r="D2141" s="60" t="n">
        <x:v>441.84</x:v>
      </x:c>
      <x:c r="E2141" s="50" t="n">
        <x:v>12</x:v>
      </x:c>
      <x:c r="F2141" s="46" t="n">
        <x:v>1.3333333333333333</x:v>
      </x:c>
      <x:c r="G2141" s="46" t="n">
        <x:v>0</x:v>
      </x:c>
      <x:c r="H2141" s="61" t="n">
        <x:v>36.82</x:v>
      </x:c>
      <x:c r="I2141" s="52" t="n">
        <x:v>1</x:v>
      </x:c>
      <x:c r="J2141" s="52" t="n">
        <x:v>0.5395391997103023</x:v>
      </x:c>
      <x:c r="K2141" s="60" t="n">
        <x:v>441.84</x:v>
      </x:c>
      <x:c r="L2141" s="60" t="n">
        <x:v>0</x:v>
      </x:c>
      <x:c r="M2141" s="50" t="n">
        <x:v>12</x:v>
      </x:c>
      <x:c r="N2141" s="50" t="n">
        <x:v>0</x:v>
      </x:c>
      <x:c r="O2141" s="50" t="n">
        <x:v>58</x:v>
      </x:c>
      <x:c r="P2141" s="50" t="n">
        <x:v>9</x:v>
      </x:c>
    </x:row>
    <x:row r="2142" ht="36" customHeight="1">
      <x:c r="A2142" s="53" t="n">
        <x:v>2123</x:v>
      </x:c>
      <x:c r="B2142" s="53" t="n">
        <x:v>2</x:v>
      </x:c>
      <x:c r="C2142" s="40" t="str">
        <x:v>Large-Basket Occasional Shoppers</x:v>
      </x:c>
      <x:c r="D2142" s="60" t="n">
        <x:v>4332.45</x:v>
      </x:c>
      <x:c r="E2142" s="50" t="n">
        <x:v>59</x:v>
      </x:c>
      <x:c r="F2142" s="46" t="n">
        <x:v>2.95</x:v>
      </x:c>
      <x:c r="G2142" s="46" t="n">
        <x:v>1</x:v>
      </x:c>
      <x:c r="H2142" s="61" t="n">
        <x:v>73.43135593220339</x:v>
      </x:c>
      <x:c r="I2142" s="52" t="n">
        <x:v>0.9830508474576272</x:v>
      </x:c>
      <x:c r="J2142" s="52" t="n">
        <x:v>0.4037646135558402</x:v>
      </x:c>
      <x:c r="K2142" s="60" t="n">
        <x:v>4300.84</x:v>
      </x:c>
      <x:c r="L2142" s="60" t="n">
        <x:v>31.61</x:v>
      </x:c>
      <x:c r="M2142" s="50" t="n">
        <x:v>58</x:v>
      </x:c>
      <x:c r="N2142" s="50" t="n">
        <x:v>1</x:v>
      </x:c>
      <x:c r="O2142" s="50" t="n">
        <x:v>132</x:v>
      </x:c>
      <x:c r="P2142" s="50" t="n">
        <x:v>20</x:v>
      </x:c>
    </x:row>
    <x:row r="2143" ht="36" customHeight="1">
      <x:c r="A2143" s="53" t="n">
        <x:v>2124</x:v>
      </x:c>
      <x:c r="B2143" s="53" t="n">
        <x:v>1</x:v>
      </x:c>
      <x:c r="C2143" s="40" t="str">
        <x:v>High-Value Frequent Shoppers</x:v>
      </x:c>
      <x:c r="D2143" s="60" t="n">
        <x:v>7859.41</x:v>
      </x:c>
      <x:c r="E2143" s="50" t="n">
        <x:v>240</x:v>
      </x:c>
      <x:c r="F2143" s="46" t="n">
        <x:v>10.434782608695652</x:v>
      </x:c>
      <x:c r="G2143" s="46" t="n">
        <x:v>0</x:v>
      </x:c>
      <x:c r="H2143" s="61" t="n">
        <x:v>32.74754166666666</x:v>
      </x:c>
      <x:c r="I2143" s="52" t="n">
        <x:v>0.9333333333333332</x:v>
      </x:c>
      <x:c r="J2143" s="52" t="n">
        <x:v>0.6057986540974449</x:v>
      </x:c>
      <x:c r="K2143" s="60" t="n">
        <x:v>7751.39</x:v>
      </x:c>
      <x:c r="L2143" s="60" t="n">
        <x:v>108.02</x:v>
      </x:c>
      <x:c r="M2143" s="50" t="n">
        <x:v>224</x:v>
      </x:c>
      <x:c r="N2143" s="50" t="n">
        <x:v>16</x:v>
      </x:c>
      <x:c r="O2143" s="50" t="n">
        <x:v>168</x:v>
      </x:c>
      <x:c r="P2143" s="50" t="n">
        <x:v>23</x:v>
      </x:c>
    </x:row>
    <x:row r="2144" ht="36" customHeight="1">
      <x:c r="A2144" s="53" t="n">
        <x:v>2125</x:v>
      </x:c>
      <x:c r="B2144" s="53" t="n">
        <x:v>1</x:v>
      </x:c>
      <x:c r="C2144" s="40" t="str">
        <x:v>High-Value Frequent Shoppers</x:v>
      </x:c>
      <x:c r="D2144" s="60" t="n">
        <x:v>4833.29</x:v>
      </x:c>
      <x:c r="E2144" s="50" t="n">
        <x:v>113</x:v>
      </x:c>
      <x:c r="F2144" s="46" t="n">
        <x:v>7.0625</x:v>
      </x:c>
      <x:c r="G2144" s="46" t="n">
        <x:v>0</x:v>
      </x:c>
      <x:c r="H2144" s="61" t="n">
        <x:v>42.772477876106194</x:v>
      </x:c>
      <x:c r="I2144" s="52" t="n">
        <x:v>0.8672566371681415</x:v>
      </x:c>
      <x:c r="J2144" s="52" t="n">
        <x:v>0.6710894649400304</x:v>
      </x:c>
      <x:c r="K2144" s="60" t="n">
        <x:v>4723.65</x:v>
      </x:c>
      <x:c r="L2144" s="60" t="n">
        <x:v>109.64</x:v>
      </x:c>
      <x:c r="M2144" s="50" t="n">
        <x:v>98</x:v>
      </x:c>
      <x:c r="N2144" s="50" t="n">
        <x:v>15</x:v>
      </x:c>
      <x:c r="O2144" s="50" t="n">
        <x:v>129</x:v>
      </x:c>
      <x:c r="P2144" s="50" t="n">
        <x:v>16</x:v>
      </x:c>
    </x:row>
    <x:row r="2145" ht="36" customHeight="1">
      <x:c r="A2145" s="53" t="n">
        <x:v>2126</x:v>
      </x:c>
      <x:c r="B2145" s="53" t="n">
        <x:v>1</x:v>
      </x:c>
      <x:c r="C2145" s="40" t="str">
        <x:v>High-Value Frequent Shoppers</x:v>
      </x:c>
      <x:c r="D2145" s="60" t="n">
        <x:v>4713.85</x:v>
      </x:c>
      <x:c r="E2145" s="50" t="n">
        <x:v>125</x:v>
      </x:c>
      <x:c r="F2145" s="46" t="n">
        <x:v>6.25</x:v>
      </x:c>
      <x:c r="G2145" s="46" t="n">
        <x:v>12</x:v>
      </x:c>
      <x:c r="H2145" s="61" t="n">
        <x:v>37.7108</x:v>
      </x:c>
      <x:c r="I2145" s="52" t="n">
        <x:v>0.872</x:v>
      </x:c>
      <x:c r="J2145" s="52" t="n">
        <x:v>0.4492909193122394</x:v>
      </x:c>
      <x:c r="K2145" s="60" t="n">
        <x:v>4528.49</x:v>
      </x:c>
      <x:c r="L2145" s="60" t="n">
        <x:v>185.36</x:v>
      </x:c>
      <x:c r="M2145" s="50" t="n">
        <x:v>109</x:v>
      </x:c>
      <x:c r="N2145" s="50" t="n">
        <x:v>16</x:v>
      </x:c>
      <x:c r="O2145" s="50" t="n">
        <x:v>173</x:v>
      </x:c>
      <x:c r="P2145" s="50" t="n">
        <x:v>20</x:v>
      </x:c>
    </x:row>
    <x:row r="2146" ht="36" customHeight="1">
      <x:c r="A2146" s="53" t="n">
        <x:v>2127</x:v>
      </x:c>
      <x:c r="B2146" s="53" t="n">
        <x:v>2</x:v>
      </x:c>
      <x:c r="C2146" s="40" t="str">
        <x:v>Large-Basket Occasional Shoppers</x:v>
      </x:c>
      <x:c r="D2146" s="60" t="n">
        <x:v>1461.82</x:v>
      </x:c>
      <x:c r="E2146" s="50" t="n">
        <x:v>26</x:v>
      </x:c>
      <x:c r="F2146" s="46" t="n">
        <x:v>2</x:v>
      </x:c>
      <x:c r="G2146" s="46" t="n">
        <x:v>4</x:v>
      </x:c>
      <x:c r="H2146" s="61" t="n">
        <x:v>56.22384615384616</x:v>
      </x:c>
      <x:c r="I2146" s="52" t="n">
        <x:v>0.8461538461538461</x:v>
      </x:c>
      <x:c r="J2146" s="52" t="n">
        <x:v>0.5434526822727832</x:v>
      </x:c>
      <x:c r="K2146" s="60" t="n">
        <x:v>1420.98</x:v>
      </x:c>
      <x:c r="L2146" s="60" t="n">
        <x:v>40.84</x:v>
      </x:c>
      <x:c r="M2146" s="50" t="n">
        <x:v>22</x:v>
      </x:c>
      <x:c r="N2146" s="50" t="n">
        <x:v>4</x:v>
      </x:c>
      <x:c r="O2146" s="50" t="n">
        <x:v>81</x:v>
      </x:c>
      <x:c r="P2146" s="50" t="n">
        <x:v>13</x:v>
      </x:c>
    </x:row>
    <x:row r="2147" ht="36" customHeight="1">
      <x:c r="A2147" s="53" t="n">
        <x:v>2128</x:v>
      </x:c>
      <x:c r="B2147" s="53" t="n">
        <x:v>3</x:v>
      </x:c>
      <x:c r="C2147" s="40" t="str">
        <x:v>Low-Value Low-Engagement Shoppers</x:v>
      </x:c>
      <x:c r="D2147" s="60" t="n">
        <x:v>1877.71</x:v>
      </x:c>
      <x:c r="E2147" s="50" t="n">
        <x:v>82</x:v>
      </x:c>
      <x:c r="F2147" s="46" t="n">
        <x:v>5.466666666666667</x:v>
      </x:c>
      <x:c r="G2147" s="46" t="n">
        <x:v>15</x:v>
      </x:c>
      <x:c r="H2147" s="61" t="n">
        <x:v>22.898902439024397</x:v>
      </x:c>
      <x:c r="I2147" s="52" t="n">
        <x:v>0.7073170731707317</x:v>
      </x:c>
      <x:c r="J2147" s="52" t="n">
        <x:v>0.5633031724813735</x:v>
      </x:c>
      <x:c r="K2147" s="60" t="n">
        <x:v>1613.96</x:v>
      </x:c>
      <x:c r="L2147" s="60" t="n">
        <x:v>263.75</x:v>
      </x:c>
      <x:c r="M2147" s="50" t="n">
        <x:v>58</x:v>
      </x:c>
      <x:c r="N2147" s="50" t="n">
        <x:v>24</x:v>
      </x:c>
      <x:c r="O2147" s="50" t="n">
        <x:v>98</x:v>
      </x:c>
      <x:c r="P2147" s="50" t="n">
        <x:v>15</x:v>
      </x:c>
    </x:row>
    <x:row r="2148" ht="36" customHeight="1">
      <x:c r="A2148" s="53" t="n">
        <x:v>2129</x:v>
      </x:c>
      <x:c r="B2148" s="53" t="n">
        <x:v>1</x:v>
      </x:c>
      <x:c r="C2148" s="40" t="str">
        <x:v>High-Value Frequent Shoppers</x:v>
      </x:c>
      <x:c r="D2148" s="60" t="n">
        <x:v>7164.99</x:v>
      </x:c>
      <x:c r="E2148" s="50" t="n">
        <x:v>163</x:v>
      </x:c>
      <x:c r="F2148" s="46" t="n">
        <x:v>7.761904761904764</x:v>
      </x:c>
      <x:c r="G2148" s="46" t="n">
        <x:v>4</x:v>
      </x:c>
      <x:c r="H2148" s="61" t="n">
        <x:v>43.95699386503068</x:v>
      </x:c>
      <x:c r="I2148" s="52" t="n">
        <x:v>0.9141104294478528</x:v>
      </x:c>
      <x:c r="J2148" s="52" t="n">
        <x:v>0.7625718947269989</x:v>
      </x:c>
      <x:c r="K2148" s="60" t="n">
        <x:v>7089.94</x:v>
      </x:c>
      <x:c r="L2148" s="60" t="n">
        <x:v>75.05</x:v>
      </x:c>
      <x:c r="M2148" s="50" t="n">
        <x:v>149</x:v>
      </x:c>
      <x:c r="N2148" s="50" t="n">
        <x:v>14</x:v>
      </x:c>
      <x:c r="O2148" s="50" t="n">
        <x:v>180</x:v>
      </x:c>
      <x:c r="P2148" s="50" t="n">
        <x:v>21</x:v>
      </x:c>
    </x:row>
    <x:row r="2149" ht="36" customHeight="1">
      <x:c r="A2149" s="53" t="n">
        <x:v>2130</x:v>
      </x:c>
      <x:c r="B2149" s="53" t="n">
        <x:v>1</x:v>
      </x:c>
      <x:c r="C2149" s="40" t="str">
        <x:v>High-Value Frequent Shoppers</x:v>
      </x:c>
      <x:c r="D2149" s="60" t="n">
        <x:v>6060.39</x:v>
      </x:c>
      <x:c r="E2149" s="50" t="n">
        <x:v>97</x:v>
      </x:c>
      <x:c r="F2149" s="46" t="n">
        <x:v>4.61904761904762</x:v>
      </x:c>
      <x:c r="G2149" s="46" t="n">
        <x:v>6</x:v>
      </x:c>
      <x:c r="H2149" s="61" t="n">
        <x:v>62.47824742268041</x:v>
      </x:c>
      <x:c r="I2149" s="52" t="n">
        <x:v>0.8144329896907216</x:v>
      </x:c>
      <x:c r="J2149" s="52" t="n">
        <x:v>0.5003885888531926</x:v>
      </x:c>
      <x:c r="K2149" s="60" t="n">
        <x:v>5770.51</x:v>
      </x:c>
      <x:c r="L2149" s="60" t="n">
        <x:v>289.88</x:v>
      </x:c>
      <x:c r="M2149" s="50" t="n">
        <x:v>79</x:v>
      </x:c>
      <x:c r="N2149" s="50" t="n">
        <x:v>18</x:v>
      </x:c>
      <x:c r="O2149" s="50" t="n">
        <x:v>182</x:v>
      </x:c>
      <x:c r="P2149" s="50" t="n">
        <x:v>21</x:v>
      </x:c>
    </x:row>
    <x:row r="2150" ht="36" customHeight="1">
      <x:c r="A2150" s="53" t="n">
        <x:v>2131</x:v>
      </x:c>
      <x:c r="B2150" s="53" t="n">
        <x:v>1</x:v>
      </x:c>
      <x:c r="C2150" s="40" t="str">
        <x:v>High-Value Frequent Shoppers</x:v>
      </x:c>
      <x:c r="D2150" s="60" t="n">
        <x:v>3982.87</x:v>
      </x:c>
      <x:c r="E2150" s="50" t="n">
        <x:v>139</x:v>
      </x:c>
      <x:c r="F2150" s="46" t="n">
        <x:v>6.95</x:v>
      </x:c>
      <x:c r="G2150" s="46" t="n">
        <x:v>29</x:v>
      </x:c>
      <x:c r="H2150" s="61" t="n">
        <x:v>28.653741007194245</x:v>
      </x:c>
      <x:c r="I2150" s="52" t="n">
        <x:v>0.935251798561151</x:v>
      </x:c>
      <x:c r="J2150" s="52" t="n">
        <x:v>0.6492479041495203</x:v>
      </x:c>
      <x:c r="K2150" s="60" t="n">
        <x:v>3942.51</x:v>
      </x:c>
      <x:c r="L2150" s="60" t="n">
        <x:v>40.36</x:v>
      </x:c>
      <x:c r="M2150" s="50" t="n">
        <x:v>130</x:v>
      </x:c>
      <x:c r="N2150" s="50" t="n">
        <x:v>9</x:v>
      </x:c>
      <x:c r="O2150" s="50" t="n">
        <x:v>142</x:v>
      </x:c>
      <x:c r="P2150" s="50" t="n">
        <x:v>20</x:v>
      </x:c>
    </x:row>
    <x:row r="2151" ht="36" customHeight="1">
      <x:c r="A2151" s="53" t="n">
        <x:v>2132</x:v>
      </x:c>
      <x:c r="B2151" s="53" t="n">
        <x:v>3</x:v>
      </x:c>
      <x:c r="C2151" s="40" t="str">
        <x:v>Low-Value Low-Engagement Shoppers</x:v>
      </x:c>
      <x:c r="D2151" s="60" t="n">
        <x:v>575.87</x:v>
      </x:c>
      <x:c r="E2151" s="50" t="n">
        <x:v>41</x:v>
      </x:c>
      <x:c r="F2151" s="46" t="n">
        <x:v>2.5625</x:v>
      </x:c>
      <x:c r="G2151" s="46" t="n">
        <x:v>12</x:v>
      </x:c>
      <x:c r="H2151" s="61" t="n">
        <x:v>14.04560975609756</x:v>
      </x:c>
      <x:c r="I2151" s="52" t="n">
        <x:v>0.8048780487804879</x:v>
      </x:c>
      <x:c r="J2151" s="52" t="n">
        <x:v>0.4019483563998819</x:v>
      </x:c>
      <x:c r="K2151" s="60" t="n">
        <x:v>475.5</x:v>
      </x:c>
      <x:c r="L2151" s="60" t="n">
        <x:v>100.37</x:v>
      </x:c>
      <x:c r="M2151" s="50" t="n">
        <x:v>33</x:v>
      </x:c>
      <x:c r="N2151" s="50" t="n">
        <x:v>8</x:v>
      </x:c>
      <x:c r="O2151" s="50" t="n">
        <x:v>65</x:v>
      </x:c>
      <x:c r="P2151" s="50" t="n">
        <x:v>16</x:v>
      </x:c>
    </x:row>
    <x:row r="2152" ht="36" customHeight="1">
      <x:c r="A2152" s="53" t="n">
        <x:v>2133</x:v>
      </x:c>
      <x:c r="B2152" s="53" t="n">
        <x:v>1</x:v>
      </x:c>
      <x:c r="C2152" s="40" t="str">
        <x:v>High-Value Frequent Shoppers</x:v>
      </x:c>
      <x:c r="D2152" s="60" t="n">
        <x:v>6759.92</x:v>
      </x:c>
      <x:c r="E2152" s="50" t="n">
        <x:v>141</x:v>
      </x:c>
      <x:c r="F2152" s="46" t="n">
        <x:v>6.7142857142857135</x:v>
      </x:c>
      <x:c r="G2152" s="46" t="n">
        <x:v>2</x:v>
      </x:c>
      <x:c r="H2152" s="61" t="n">
        <x:v>47.94269503546099</x:v>
      </x:c>
      <x:c r="I2152" s="52" t="n">
        <x:v>0.900709219858156</x:v>
      </x:c>
      <x:c r="J2152" s="52" t="n">
        <x:v>0.4140685096865051</x:v>
      </x:c>
      <x:c r="K2152" s="60" t="n">
        <x:v>6567.67</x:v>
      </x:c>
      <x:c r="L2152" s="60" t="n">
        <x:v>192.25</x:v>
      </x:c>
      <x:c r="M2152" s="50" t="n">
        <x:v>127</x:v>
      </x:c>
      <x:c r="N2152" s="50" t="n">
        <x:v>14</x:v>
      </x:c>
      <x:c r="O2152" s="50" t="n">
        <x:v>168</x:v>
      </x:c>
      <x:c r="P2152" s="50" t="n">
        <x:v>21</x:v>
      </x:c>
    </x:row>
    <x:row r="2153" ht="36" customHeight="1">
      <x:c r="A2153" s="53" t="n">
        <x:v>2134</x:v>
      </x:c>
      <x:c r="B2153" s="53" t="n">
        <x:v>1</x:v>
      </x:c>
      <x:c r="C2153" s="40" t="str">
        <x:v>High-Value Frequent Shoppers</x:v>
      </x:c>
      <x:c r="D2153" s="60" t="n">
        <x:v>9129.83</x:v>
      </x:c>
      <x:c r="E2153" s="50" t="n">
        <x:v>86</x:v>
      </x:c>
      <x:c r="F2153" s="46" t="n">
        <x:v>3.583333333333333</x:v>
      </x:c>
      <x:c r="G2153" s="46" t="n">
        <x:v>0</x:v>
      </x:c>
      <x:c r="H2153" s="61" t="n">
        <x:v>106.16081395348836</x:v>
      </x:c>
      <x:c r="I2153" s="52" t="n">
        <x:v>0.8837209302325582</x:v>
      </x:c>
      <x:c r="J2153" s="52" t="n">
        <x:v>0.4119605731979675</x:v>
      </x:c>
      <x:c r="K2153" s="60" t="n">
        <x:v>8802.31</x:v>
      </x:c>
      <x:c r="L2153" s="60" t="n">
        <x:v>327.52</x:v>
      </x:c>
      <x:c r="M2153" s="50" t="n">
        <x:v>76</x:v>
      </x:c>
      <x:c r="N2153" s="50" t="n">
        <x:v>10</x:v>
      </x:c>
      <x:c r="O2153" s="50" t="n">
        <x:v>199</x:v>
      </x:c>
      <x:c r="P2153" s="50" t="n">
        <x:v>24</x:v>
      </x:c>
    </x:row>
    <x:row r="2154" ht="36" customHeight="1">
      <x:c r="A2154" s="53" t="n">
        <x:v>2135</x:v>
      </x:c>
      <x:c r="B2154" s="53" t="n">
        <x:v>2</x:v>
      </x:c>
      <x:c r="C2154" s="40" t="str">
        <x:v>Large-Basket Occasional Shoppers</x:v>
      </x:c>
      <x:c r="D2154" s="60" t="n">
        <x:v>779.29</x:v>
      </x:c>
      <x:c r="E2154" s="50" t="n">
        <x:v>45</x:v>
      </x:c>
      <x:c r="F2154" s="46" t="n">
        <x:v>2.3684210526315788</x:v>
      </x:c>
      <x:c r="G2154" s="46" t="n">
        <x:v>34</x:v>
      </x:c>
      <x:c r="H2154" s="61" t="n">
        <x:v>17.317555555555558</x:v>
      </x:c>
      <x:c r="I2154" s="52" t="n">
        <x:v>0.9333333333333332</x:v>
      </x:c>
      <x:c r="J2154" s="52" t="n">
        <x:v>0.367013563628431</x:v>
      </x:c>
      <x:c r="K2154" s="60" t="n">
        <x:v>750.31</x:v>
      </x:c>
      <x:c r="L2154" s="60" t="n">
        <x:v>28.98</x:v>
      </x:c>
      <x:c r="M2154" s="50" t="n">
        <x:v>42</x:v>
      </x:c>
      <x:c r="N2154" s="50" t="n">
        <x:v>3</x:v>
      </x:c>
      <x:c r="O2154" s="50" t="n">
        <x:v>80</x:v>
      </x:c>
      <x:c r="P2154" s="50" t="n">
        <x:v>19</x:v>
      </x:c>
    </x:row>
    <x:row r="2155" ht="36" customHeight="1">
      <x:c r="A2155" s="53" t="n">
        <x:v>2136</x:v>
      </x:c>
      <x:c r="B2155" s="53" t="n">
        <x:v>2</x:v>
      </x:c>
      <x:c r="C2155" s="40" t="str">
        <x:v>Large-Basket Occasional Shoppers</x:v>
      </x:c>
      <x:c r="D2155" s="60" t="n">
        <x:v>1552.43</x:v>
      </x:c>
      <x:c r="E2155" s="50" t="n">
        <x:v>18</x:v>
      </x:c>
      <x:c r="F2155" s="46" t="n">
        <x:v>1.8</x:v>
      </x:c>
      <x:c r="G2155" s="46" t="n">
        <x:v>7</x:v>
      </x:c>
      <x:c r="H2155" s="61" t="n">
        <x:v>86.2461111111111</x:v>
      </x:c>
      <x:c r="I2155" s="52" t="n">
        <x:v>0.8888888888888888</x:v>
      </x:c>
      <x:c r="J2155" s="52" t="n">
        <x:v>0.3534201220022802</x:v>
      </x:c>
      <x:c r="K2155" s="60" t="n">
        <x:v>1529.68</x:v>
      </x:c>
      <x:c r="L2155" s="60" t="n">
        <x:v>22.75</x:v>
      </x:c>
      <x:c r="M2155" s="50" t="n">
        <x:v>16</x:v>
      </x:c>
      <x:c r="N2155" s="50" t="n">
        <x:v>2</x:v>
      </x:c>
      <x:c r="O2155" s="50" t="n">
        <x:v>127</x:v>
      </x:c>
      <x:c r="P2155" s="50" t="n">
        <x:v>10</x:v>
      </x:c>
    </x:row>
    <x:row r="2156" ht="36" customHeight="1">
      <x:c r="A2156" s="53" t="n">
        <x:v>2137</x:v>
      </x:c>
      <x:c r="B2156" s="53" t="n">
        <x:v>1</x:v>
      </x:c>
      <x:c r="C2156" s="40" t="str">
        <x:v>High-Value Frequent Shoppers</x:v>
      </x:c>
      <x:c r="D2156" s="60" t="n">
        <x:v>2970.14</x:v>
      </x:c>
      <x:c r="E2156" s="50" t="n">
        <x:v>186</x:v>
      </x:c>
      <x:c r="F2156" s="46" t="n">
        <x:v>9.3</x:v>
      </x:c>
      <x:c r="G2156" s="46" t="n">
        <x:v>26</x:v>
      </x:c>
      <x:c r="H2156" s="61" t="n">
        <x:v>15.968494623655914</x:v>
      </x:c>
      <x:c r="I2156" s="52" t="n">
        <x:v>0.8279569892473118</x:v>
      </x:c>
      <x:c r="J2156" s="52" t="n">
        <x:v>0.6055707811752981</x:v>
      </x:c>
      <x:c r="K2156" s="60" t="n">
        <x:v>2733.31</x:v>
      </x:c>
      <x:c r="L2156" s="60" t="n">
        <x:v>236.83</x:v>
      </x:c>
      <x:c r="M2156" s="50" t="n">
        <x:v>154</x:v>
      </x:c>
      <x:c r="N2156" s="50" t="n">
        <x:v>32</x:v>
      </x:c>
      <x:c r="O2156" s="50" t="n">
        <x:v>142</x:v>
      </x:c>
      <x:c r="P2156" s="50" t="n">
        <x:v>20</x:v>
      </x:c>
    </x:row>
    <x:row r="2157" ht="36" customHeight="1">
      <x:c r="A2157" s="53" t="n">
        <x:v>2138</x:v>
      </x:c>
      <x:c r="B2157" s="53" t="n">
        <x:v>2</x:v>
      </x:c>
      <x:c r="C2157" s="40" t="str">
        <x:v>Large-Basket Occasional Shoppers</x:v>
      </x:c>
      <x:c r="D2157" s="60" t="n">
        <x:v>1878.48</x:v>
      </x:c>
      <x:c r="E2157" s="50" t="n">
        <x:v>66</x:v>
      </x:c>
      <x:c r="F2157" s="46" t="n">
        <x:v>3.3</x:v>
      </x:c>
      <x:c r="G2157" s="46" t="n">
        <x:v>22</x:v>
      </x:c>
      <x:c r="H2157" s="61" t="n">
        <x:v>28.46181818181818</x:v>
      </x:c>
      <x:c r="I2157" s="52" t="n">
        <x:v>0.8636363636363636</x:v>
      </x:c>
      <x:c r="J2157" s="52" t="n">
        <x:v>0.5735860908819896</x:v>
      </x:c>
      <x:c r="K2157" s="60" t="n">
        <x:v>1755.07</x:v>
      </x:c>
      <x:c r="L2157" s="60" t="n">
        <x:v>123.41</x:v>
      </x:c>
      <x:c r="M2157" s="50" t="n">
        <x:v>57</x:v>
      </x:c>
      <x:c r="N2157" s="50" t="n">
        <x:v>9</x:v>
      </x:c>
      <x:c r="O2157" s="50" t="n">
        <x:v>127</x:v>
      </x:c>
      <x:c r="P2157" s="50" t="n">
        <x:v>20</x:v>
      </x:c>
    </x:row>
    <x:row r="2158" ht="36" customHeight="1">
      <x:c r="A2158" s="53" t="n">
        <x:v>2139</x:v>
      </x:c>
      <x:c r="B2158" s="53" t="n">
        <x:v>1</x:v>
      </x:c>
      <x:c r="C2158" s="40" t="str">
        <x:v>High-Value Frequent Shoppers</x:v>
      </x:c>
      <x:c r="D2158" s="60" t="n">
        <x:v>4695.59</x:v>
      </x:c>
      <x:c r="E2158" s="50" t="n">
        <x:v>372</x:v>
      </x:c>
      <x:c r="F2158" s="46" t="n">
        <x:v>16.909090909090907</x:v>
      </x:c>
      <x:c r="G2158" s="46" t="n">
        <x:v>0</x:v>
      </x:c>
      <x:c r="H2158" s="61" t="n">
        <x:v>12.62255376344086</x:v>
      </x:c>
      <x:c r="I2158" s="52" t="n">
        <x:v>0.6478494623655913</x:v>
      </x:c>
      <x:c r="J2158" s="52" t="n">
        <x:v>0.4916953993001944</x:v>
      </x:c>
      <x:c r="K2158" s="60" t="n">
        <x:v>3984.02</x:v>
      </x:c>
      <x:c r="L2158" s="60" t="n">
        <x:v>711.57</x:v>
      </x:c>
      <x:c r="M2158" s="50" t="n">
        <x:v>241</x:v>
      </x:c>
      <x:c r="N2158" s="50" t="n">
        <x:v>131</x:v>
      </x:c>
      <x:c r="O2158" s="50" t="n">
        <x:v>156</x:v>
      </x:c>
      <x:c r="P2158" s="50" t="n">
        <x:v>22</x:v>
      </x:c>
    </x:row>
    <x:row r="2159" ht="36" customHeight="1">
      <x:c r="A2159" s="53" t="n">
        <x:v>2140</x:v>
      </x:c>
      <x:c r="B2159" s="53" t="n">
        <x:v>2</x:v>
      </x:c>
      <x:c r="C2159" s="40" t="str">
        <x:v>Large-Basket Occasional Shoppers</x:v>
      </x:c>
      <x:c r="D2159" s="60" t="n">
        <x:v>1567.89</x:v>
      </x:c>
      <x:c r="E2159" s="50" t="n">
        <x:v>51</x:v>
      </x:c>
      <x:c r="F2159" s="46" t="n">
        <x:v>4.636363636363637</x:v>
      </x:c>
      <x:c r="G2159" s="46" t="n">
        <x:v>59</x:v>
      </x:c>
      <x:c r="H2159" s="61" t="n">
        <x:v>30.742941176470588</x:v>
      </x:c>
      <x:c r="I2159" s="52" t="n">
        <x:v>0.9411764705882352</x:v>
      </x:c>
      <x:c r="J2159" s="52" t="n">
        <x:v>0.4071969334583421</x:v>
      </x:c>
      <x:c r="K2159" s="60" t="n">
        <x:v>1515.34</x:v>
      </x:c>
      <x:c r="L2159" s="60" t="n">
        <x:v>52.55</x:v>
      </x:c>
      <x:c r="M2159" s="50" t="n">
        <x:v>48</x:v>
      </x:c>
      <x:c r="N2159" s="50" t="n">
        <x:v>3</x:v>
      </x:c>
      <x:c r="O2159" s="50" t="n">
        <x:v>113</x:v>
      </x:c>
      <x:c r="P2159" s="50" t="n">
        <x:v>11</x:v>
      </x:c>
    </x:row>
    <x:row r="2160" ht="36" customHeight="1">
      <x:c r="A2160" s="53" t="n">
        <x:v>2141</x:v>
      </x:c>
      <x:c r="B2160" s="53" t="n">
        <x:v>1</x:v>
      </x:c>
      <x:c r="C2160" s="40" t="str">
        <x:v>High-Value Frequent Shoppers</x:v>
      </x:c>
      <x:c r="D2160" s="60" t="n">
        <x:v>5246.67</x:v>
      </x:c>
      <x:c r="E2160" s="50" t="n">
        <x:v>90</x:v>
      </x:c>
      <x:c r="F2160" s="46" t="n">
        <x:v>3.75</x:v>
      </x:c>
      <x:c r="G2160" s="46" t="n">
        <x:v>2</x:v>
      </x:c>
      <x:c r="H2160" s="61" t="n">
        <x:v>58.29633333333333</x:v>
      </x:c>
      <x:c r="I2160" s="52" t="n">
        <x:v>0.7888888888888888</x:v>
      </x:c>
      <x:c r="J2160" s="52" t="n">
        <x:v>0.3912329153539292</x:v>
      </x:c>
      <x:c r="K2160" s="60" t="n">
        <x:v>4984.76</x:v>
      </x:c>
      <x:c r="L2160" s="60" t="n">
        <x:v>261.91</x:v>
      </x:c>
      <x:c r="M2160" s="50" t="n">
        <x:v>71</x:v>
      </x:c>
      <x:c r="N2160" s="50" t="n">
        <x:v>19</x:v>
      </x:c>
      <x:c r="O2160" s="50" t="n">
        <x:v>137</x:v>
      </x:c>
      <x:c r="P2160" s="50" t="n">
        <x:v>24</x:v>
      </x:c>
    </x:row>
    <x:row r="2161" ht="36" customHeight="1">
      <x:c r="A2161" s="53" t="n">
        <x:v>2142</x:v>
      </x:c>
      <x:c r="B2161" s="53" t="n">
        <x:v>1</x:v>
      </x:c>
      <x:c r="C2161" s="40" t="str">
        <x:v>High-Value Frequent Shoppers</x:v>
      </x:c>
      <x:c r="D2161" s="60" t="n">
        <x:v>7631.12</x:v>
      </x:c>
      <x:c r="E2161" s="50" t="n">
        <x:v>104</x:v>
      </x:c>
      <x:c r="F2161" s="46" t="n">
        <x:v>4.727272727272728</x:v>
      </x:c>
      <x:c r="G2161" s="46" t="n">
        <x:v>0</x:v>
      </x:c>
      <x:c r="H2161" s="61" t="n">
        <x:v>73.37615384615384</x:v>
      </x:c>
      <x:c r="I2161" s="52" t="n">
        <x:v>0.8846153846153846</x:v>
      </x:c>
      <x:c r="J2161" s="52" t="n">
        <x:v>0.4155890616318443</x:v>
      </x:c>
      <x:c r="K2161" s="60" t="n">
        <x:v>7435.47</x:v>
      </x:c>
      <x:c r="L2161" s="60" t="n">
        <x:v>195.65</x:v>
      </x:c>
      <x:c r="M2161" s="50" t="n">
        <x:v>92</x:v>
      </x:c>
      <x:c r="N2161" s="50" t="n">
        <x:v>12</x:v>
      </x:c>
      <x:c r="O2161" s="50" t="n">
        <x:v>138</x:v>
      </x:c>
      <x:c r="P2161" s="50" t="n">
        <x:v>22</x:v>
      </x:c>
    </x:row>
    <x:row r="2162" ht="36" customHeight="1">
      <x:c r="A2162" s="53" t="n">
        <x:v>2143</x:v>
      </x:c>
      <x:c r="B2162" s="53" t="n">
        <x:v>2</x:v>
      </x:c>
      <x:c r="C2162" s="40" t="str">
        <x:v>Large-Basket Occasional Shoppers</x:v>
      </x:c>
      <x:c r="D2162" s="60" t="n">
        <x:v>298.65</x:v>
      </x:c>
      <x:c r="E2162" s="50" t="n">
        <x:v>9</x:v>
      </x:c>
      <x:c r="F2162" s="46" t="n">
        <x:v>1.2857142857142856</x:v>
      </x:c>
      <x:c r="G2162" s="46" t="n">
        <x:v>101</x:v>
      </x:c>
      <x:c r="H2162" s="61" t="n">
        <x:v>33.18333333333333</x:v>
      </x:c>
      <x:c r="I2162" s="52" t="n">
        <x:v>1</x:v>
      </x:c>
      <x:c r="J2162" s="52" t="n">
        <x:v>0.5582789218148334</x:v>
      </x:c>
      <x:c r="K2162" s="60" t="n">
        <x:v>298.65</x:v>
      </x:c>
      <x:c r="L2162" s="60" t="n">
        <x:v>0</x:v>
      </x:c>
      <x:c r="M2162" s="50" t="n">
        <x:v>9</x:v>
      </x:c>
      <x:c r="N2162" s="50" t="n">
        <x:v>0</x:v>
      </x:c>
      <x:c r="O2162" s="50" t="n">
        <x:v>48</x:v>
      </x:c>
      <x:c r="P2162" s="50" t="n">
        <x:v>7</x:v>
      </x:c>
    </x:row>
    <x:row r="2163" ht="36" customHeight="1">
      <x:c r="A2163" s="53" t="n">
        <x:v>2144</x:v>
      </x:c>
      <x:c r="B2163" s="53" t="n">
        <x:v>2</x:v>
      </x:c>
      <x:c r="C2163" s="40" t="str">
        <x:v>Large-Basket Occasional Shoppers</x:v>
      </x:c>
      <x:c r="D2163" s="60" t="n">
        <x:v>2265.9</x:v>
      </x:c>
      <x:c r="E2163" s="50" t="n">
        <x:v>49</x:v>
      </x:c>
      <x:c r="F2163" s="46" t="n">
        <x:v>3.2666666666666666</x:v>
      </x:c>
      <x:c r="G2163" s="46" t="n">
        <x:v>69</x:v>
      </x:c>
      <x:c r="H2163" s="61" t="n">
        <x:v>46.24285714285713</x:v>
      </x:c>
      <x:c r="I2163" s="52" t="n">
        <x:v>0.836734693877551</x:v>
      </x:c>
      <x:c r="J2163" s="52" t="n">
        <x:v>0.4459729025994086</x:v>
      </x:c>
      <x:c r="K2163" s="60" t="n">
        <x:v>2141.42</x:v>
      </x:c>
      <x:c r="L2163" s="60" t="n">
        <x:v>124.48</x:v>
      </x:c>
      <x:c r="M2163" s="50" t="n">
        <x:v>41</x:v>
      </x:c>
      <x:c r="N2163" s="50" t="n">
        <x:v>8</x:v>
      </x:c>
      <x:c r="O2163" s="50" t="n">
        <x:v>119</x:v>
      </x:c>
      <x:c r="P2163" s="50" t="n">
        <x:v>15</x:v>
      </x:c>
    </x:row>
    <x:row r="2164" ht="36" customHeight="1">
      <x:c r="A2164" s="53" t="n">
        <x:v>2145</x:v>
      </x:c>
      <x:c r="B2164" s="53" t="n">
        <x:v>3</x:v>
      </x:c>
      <x:c r="C2164" s="40" t="str">
        <x:v>Low-Value Low-Engagement Shoppers</x:v>
      </x:c>
      <x:c r="D2164" s="60" t="n">
        <x:v>1090.62</x:v>
      </x:c>
      <x:c r="E2164" s="50" t="n">
        <x:v>38</x:v>
      </x:c>
      <x:c r="F2164" s="46" t="n">
        <x:v>2.111111111111111</x:v>
      </x:c>
      <x:c r="G2164" s="46" t="n">
        <x:v>27</x:v>
      </x:c>
      <x:c r="H2164" s="61" t="n">
        <x:v>28.700526315789475</x:v>
      </x:c>
      <x:c r="I2164" s="52" t="n">
        <x:v>0.7105263157894736</x:v>
      </x:c>
      <x:c r="J2164" s="52" t="n">
        <x:v>0.3637013808659294</x:v>
      </x:c>
      <x:c r="K2164" s="60" t="n">
        <x:v>993.63</x:v>
      </x:c>
      <x:c r="L2164" s="60" t="n">
        <x:v>96.99</x:v>
      </x:c>
      <x:c r="M2164" s="50" t="n">
        <x:v>27</x:v>
      </x:c>
      <x:c r="N2164" s="50" t="n">
        <x:v>11</x:v>
      </x:c>
      <x:c r="O2164" s="50" t="n">
        <x:v>95</x:v>
      </x:c>
      <x:c r="P2164" s="50" t="n">
        <x:v>18</x:v>
      </x:c>
    </x:row>
    <x:row r="2165" ht="36" customHeight="1">
      <x:c r="A2165" s="53" t="n">
        <x:v>2146</x:v>
      </x:c>
      <x:c r="B2165" s="53" t="n">
        <x:v>2</x:v>
      </x:c>
      <x:c r="C2165" s="40" t="str">
        <x:v>Large-Basket Occasional Shoppers</x:v>
      </x:c>
      <x:c r="D2165" s="60" t="n">
        <x:v>1692.54</x:v>
      </x:c>
      <x:c r="E2165" s="50" t="n">
        <x:v>57</x:v>
      </x:c>
      <x:c r="F2165" s="46" t="n">
        <x:v>2.590909090909091</x:v>
      </x:c>
      <x:c r="G2165" s="46" t="n">
        <x:v>17</x:v>
      </x:c>
      <x:c r="H2165" s="61" t="n">
        <x:v>29.69368421052632</x:v>
      </x:c>
      <x:c r="I2165" s="52" t="n">
        <x:v>0.9473684210526316</x:v>
      </x:c>
      <x:c r="J2165" s="52" t="n">
        <x:v>0.4023243172982617</x:v>
      </x:c>
      <x:c r="K2165" s="60" t="n">
        <x:v>1676.75</x:v>
      </x:c>
      <x:c r="L2165" s="60" t="n">
        <x:v>15.79</x:v>
      </x:c>
      <x:c r="M2165" s="50" t="n">
        <x:v>54</x:v>
      </x:c>
      <x:c r="N2165" s="50" t="n">
        <x:v>3</x:v>
      </x:c>
      <x:c r="O2165" s="50" t="n">
        <x:v>96</x:v>
      </x:c>
      <x:c r="P2165" s="50" t="n">
        <x:v>22</x:v>
      </x:c>
    </x:row>
    <x:row r="2166" ht="36" customHeight="1">
      <x:c r="A2166" s="53" t="n">
        <x:v>2147</x:v>
      </x:c>
      <x:c r="B2166" s="53" t="n">
        <x:v>1</x:v>
      </x:c>
      <x:c r="C2166" s="40" t="str">
        <x:v>High-Value Frequent Shoppers</x:v>
      </x:c>
      <x:c r="D2166" s="60" t="n">
        <x:v>5706.01</x:v>
      </x:c>
      <x:c r="E2166" s="50" t="n">
        <x:v>96</x:v>
      </x:c>
      <x:c r="F2166" s="46" t="n">
        <x:v>4.571428571428571</x:v>
      </x:c>
      <x:c r="G2166" s="46" t="n">
        <x:v>1</x:v>
      </x:c>
      <x:c r="H2166" s="61" t="n">
        <x:v>59.43760416666667</x:v>
      </x:c>
      <x:c r="I2166" s="52" t="n">
        <x:v>0.9166666666666666</x:v>
      </x:c>
      <x:c r="J2166" s="52" t="n">
        <x:v>0.5334182730138923</x:v>
      </x:c>
      <x:c r="K2166" s="60" t="n">
        <x:v>5562.8</x:v>
      </x:c>
      <x:c r="L2166" s="60" t="n">
        <x:v>143.21</x:v>
      </x:c>
      <x:c r="M2166" s="50" t="n">
        <x:v>88</x:v>
      </x:c>
      <x:c r="N2166" s="50" t="n">
        <x:v>8</x:v>
      </x:c>
      <x:c r="O2166" s="50" t="n">
        <x:v>152</x:v>
      </x:c>
      <x:c r="P2166" s="50" t="n">
        <x:v>21</x:v>
      </x:c>
    </x:row>
    <x:row r="2167" ht="36" customHeight="1">
      <x:c r="A2167" s="53" t="n">
        <x:v>2148</x:v>
      </x:c>
      <x:c r="B2167" s="53" t="n">
        <x:v>1</x:v>
      </x:c>
      <x:c r="C2167" s="40" t="str">
        <x:v>High-Value Frequent Shoppers</x:v>
      </x:c>
      <x:c r="D2167" s="60" t="n">
        <x:v>3263.92</x:v>
      </x:c>
      <x:c r="E2167" s="50" t="n">
        <x:v>124</x:v>
      </x:c>
      <x:c r="F2167" s="46" t="n">
        <x:v>5.391304347826087</x:v>
      </x:c>
      <x:c r="G2167" s="46" t="n">
        <x:v>0</x:v>
      </x:c>
      <x:c r="H2167" s="61" t="n">
        <x:v>26.321935483870966</x:v>
      </x:c>
      <x:c r="I2167" s="52" t="n">
        <x:v>0.935483870967742</x:v>
      </x:c>
      <x:c r="J2167" s="52" t="n">
        <x:v>0.5515944018235741</x:v>
      </x:c>
      <x:c r="K2167" s="60" t="n">
        <x:v>3239.36</x:v>
      </x:c>
      <x:c r="L2167" s="60" t="n">
        <x:v>24.56</x:v>
      </x:c>
      <x:c r="M2167" s="50" t="n">
        <x:v>116</x:v>
      </x:c>
      <x:c r="N2167" s="50" t="n">
        <x:v>8</x:v>
      </x:c>
      <x:c r="O2167" s="50" t="n">
        <x:v>112</x:v>
      </x:c>
      <x:c r="P2167" s="50" t="n">
        <x:v>23</x:v>
      </x:c>
    </x:row>
    <x:row r="2168" ht="36" customHeight="1">
      <x:c r="A2168" s="53" t="n">
        <x:v>2149</x:v>
      </x:c>
      <x:c r="B2168" s="53" t="n">
        <x:v>2</x:v>
      </x:c>
      <x:c r="C2168" s="40" t="str">
        <x:v>Large-Basket Occasional Shoppers</x:v>
      </x:c>
      <x:c r="D2168" s="60" t="n">
        <x:v>3703.42</x:v>
      </x:c>
      <x:c r="E2168" s="50" t="n">
        <x:v>109</x:v>
      </x:c>
      <x:c r="F2168" s="46" t="n">
        <x:v>5.7368421052631575</x:v>
      </x:c>
      <x:c r="G2168" s="46" t="n">
        <x:v>9</x:v>
      </x:c>
      <x:c r="H2168" s="61" t="n">
        <x:v>33.97633027522936</x:v>
      </x:c>
      <x:c r="I2168" s="52" t="n">
        <x:v>0.8807339449541284</x:v>
      </x:c>
      <x:c r="J2168" s="52" t="n">
        <x:v>0.6939936599143494</x:v>
      </x:c>
      <x:c r="K2168" s="60" t="n">
        <x:v>3539.01</x:v>
      </x:c>
      <x:c r="L2168" s="60" t="n">
        <x:v>164.41</x:v>
      </x:c>
      <x:c r="M2168" s="50" t="n">
        <x:v>96</x:v>
      </x:c>
      <x:c r="N2168" s="50" t="n">
        <x:v>13</x:v>
      </x:c>
      <x:c r="O2168" s="50" t="n">
        <x:v>78</x:v>
      </x:c>
      <x:c r="P2168" s="50" t="n">
        <x:v>19</x:v>
      </x:c>
    </x:row>
    <x:row r="2169" ht="36" customHeight="1">
      <x:c r="A2169" s="53" t="n">
        <x:v>2150</x:v>
      </x:c>
      <x:c r="B2169" s="53" t="n">
        <x:v>3</x:v>
      </x:c>
      <x:c r="C2169" s="40" t="str">
        <x:v>Low-Value Low-Engagement Shoppers</x:v>
      </x:c>
      <x:c r="D2169" s="60" t="n">
        <x:v>69.32</x:v>
      </x:c>
      <x:c r="E2169" s="50" t="n">
        <x:v>8</x:v>
      </x:c>
      <x:c r="F2169" s="46" t="n">
        <x:v>1.6</x:v>
      </x:c>
      <x:c r="G2169" s="46" t="n">
        <x:v>120</x:v>
      </x:c>
      <x:c r="H2169" s="61" t="n">
        <x:v>8.665</x:v>
      </x:c>
      <x:c r="I2169" s="52" t="n">
        <x:v>0.625</x:v>
      </x:c>
      <x:c r="J2169" s="52" t="n">
        <x:v>0.4205135603000577</x:v>
      </x:c>
      <x:c r="K2169" s="60" t="n">
        <x:v>39.66</x:v>
      </x:c>
      <x:c r="L2169" s="60" t="n">
        <x:v>29.66</x:v>
      </x:c>
      <x:c r="M2169" s="50" t="n">
        <x:v>5</x:v>
      </x:c>
      <x:c r="N2169" s="50" t="n">
        <x:v>3</x:v>
      </x:c>
      <x:c r="O2169" s="50" t="n">
        <x:v>24</x:v>
      </x:c>
      <x:c r="P2169" s="50" t="n">
        <x:v>5</x:v>
      </x:c>
    </x:row>
    <x:row r="2170" ht="36" customHeight="1">
      <x:c r="A2170" s="53" t="n">
        <x:v>2151</x:v>
      </x:c>
      <x:c r="B2170" s="53" t="n">
        <x:v>3</x:v>
      </x:c>
      <x:c r="C2170" s="40" t="str">
        <x:v>Low-Value Low-Engagement Shoppers</x:v>
      </x:c>
      <x:c r="D2170" s="60" t="n">
        <x:v>834.27</x:v>
      </x:c>
      <x:c r="E2170" s="50" t="n">
        <x:v>41</x:v>
      </x:c>
      <x:c r="F2170" s="46" t="n">
        <x:v>3.727272727272727</x:v>
      </x:c>
      <x:c r="G2170" s="46" t="n">
        <x:v>12</x:v>
      </x:c>
      <x:c r="H2170" s="61" t="n">
        <x:v>20.348048780487805</x:v>
      </x:c>
      <x:c r="I2170" s="52" t="n">
        <x:v>0.8292682926829268</x:v>
      </x:c>
      <x:c r="J2170" s="52" t="n">
        <x:v>0.5158881417286969</x:v>
      </x:c>
      <x:c r="K2170" s="60" t="n">
        <x:v>802.28</x:v>
      </x:c>
      <x:c r="L2170" s="60" t="n">
        <x:v>31.99</x:v>
      </x:c>
      <x:c r="M2170" s="50" t="n">
        <x:v>34</x:v>
      </x:c>
      <x:c r="N2170" s="50" t="n">
        <x:v>7</x:v>
      </x:c>
      <x:c r="O2170" s="50" t="n">
        <x:v>91</x:v>
      </x:c>
      <x:c r="P2170" s="50" t="n">
        <x:v>11</x:v>
      </x:c>
    </x:row>
    <x:row r="2171" ht="36" customHeight="1">
      <x:c r="A2171" s="53" t="n">
        <x:v>2152</x:v>
      </x:c>
      <x:c r="B2171" s="53" t="n">
        <x:v>3</x:v>
      </x:c>
      <x:c r="C2171" s="40" t="str">
        <x:v>Low-Value Low-Engagement Shoppers</x:v>
      </x:c>
      <x:c r="D2171" s="60" t="n">
        <x:v>156.55</x:v>
      </x:c>
      <x:c r="E2171" s="50" t="n">
        <x:v>25</x:v>
      </x:c>
      <x:c r="F2171" s="46" t="n">
        <x:v>1.7857142857142856</x:v>
      </x:c>
      <x:c r="G2171" s="46" t="n">
        <x:v>84</x:v>
      </x:c>
      <x:c r="H2171" s="61" t="n">
        <x:v>6.262</x:v>
      </x:c>
      <x:c r="I2171" s="52" t="n">
        <x:v>0.8</x:v>
      </x:c>
      <x:c r="J2171" s="52" t="n">
        <x:v>0.6752475247524752</x:v>
      </x:c>
      <x:c r="K2171" s="60" t="n">
        <x:v>137.57</x:v>
      </x:c>
      <x:c r="L2171" s="60" t="n">
        <x:v>18.98</x:v>
      </x:c>
      <x:c r="M2171" s="50" t="n">
        <x:v>20</x:v>
      </x:c>
      <x:c r="N2171" s="50" t="n">
        <x:v>5</x:v>
      </x:c>
      <x:c r="O2171" s="50" t="n">
        <x:v>31</x:v>
      </x:c>
      <x:c r="P2171" s="50" t="n">
        <x:v>14</x:v>
      </x:c>
    </x:row>
    <x:row r="2172" ht="36" customHeight="1">
      <x:c r="A2172" s="53" t="n">
        <x:v>2153</x:v>
      </x:c>
      <x:c r="B2172" s="53" t="n">
        <x:v>3</x:v>
      </x:c>
      <x:c r="C2172" s="40" t="str">
        <x:v>Low-Value Low-Engagement Shoppers</x:v>
      </x:c>
      <x:c r="D2172" s="60" t="n">
        <x:v>933.43</x:v>
      </x:c>
      <x:c r="E2172" s="50" t="n">
        <x:v>41</x:v>
      </x:c>
      <x:c r="F2172" s="46" t="n">
        <x:v>2.7333333333333334</x:v>
      </x:c>
      <x:c r="G2172" s="46" t="n">
        <x:v>17</x:v>
      </x:c>
      <x:c r="H2172" s="61" t="n">
        <x:v>22.766585365853658</x:v>
      </x:c>
      <x:c r="I2172" s="52" t="n">
        <x:v>0.8048780487804879</x:v>
      </x:c>
      <x:c r="J2172" s="52" t="n">
        <x:v>0.5577708023097607</x:v>
      </x:c>
      <x:c r="K2172" s="60" t="n">
        <x:v>830.85</x:v>
      </x:c>
      <x:c r="L2172" s="60" t="n">
        <x:v>102.58</x:v>
      </x:c>
      <x:c r="M2172" s="50" t="n">
        <x:v>33</x:v>
      </x:c>
      <x:c r="N2172" s="50" t="n">
        <x:v>8</x:v>
      </x:c>
      <x:c r="O2172" s="50" t="n">
        <x:v>94</x:v>
      </x:c>
      <x:c r="P2172" s="50" t="n">
        <x:v>15</x:v>
      </x:c>
    </x:row>
    <x:row r="2173" ht="36" customHeight="1">
      <x:c r="A2173" s="53" t="n">
        <x:v>2154</x:v>
      </x:c>
      <x:c r="B2173" s="53" t="n">
        <x:v>1</x:v>
      </x:c>
      <x:c r="C2173" s="40" t="str">
        <x:v>High-Value Frequent Shoppers</x:v>
      </x:c>
      <x:c r="D2173" s="60" t="n">
        <x:v>2523.34</x:v>
      </x:c>
      <x:c r="E2173" s="50" t="n">
        <x:v>120</x:v>
      </x:c>
      <x:c r="F2173" s="46" t="n">
        <x:v>7.0588235294117645</x:v>
      </x:c>
      <x:c r="G2173" s="46" t="n">
        <x:v>2</x:v>
      </x:c>
      <x:c r="H2173" s="61" t="n">
        <x:v>21.027833333333334</x:v>
      </x:c>
      <x:c r="I2173" s="52" t="n">
        <x:v>0.9166666666666666</x:v>
      </x:c>
      <x:c r="J2173" s="52" t="n">
        <x:v>0.605217687667932</x:v>
      </x:c>
      <x:c r="K2173" s="60" t="n">
        <x:v>2409.07</x:v>
      </x:c>
      <x:c r="L2173" s="60" t="n">
        <x:v>114.27</x:v>
      </x:c>
      <x:c r="M2173" s="50" t="n">
        <x:v>110</x:v>
      </x:c>
      <x:c r="N2173" s="50" t="n">
        <x:v>10</x:v>
      </x:c>
      <x:c r="O2173" s="50" t="n">
        <x:v>123</x:v>
      </x:c>
      <x:c r="P2173" s="50" t="n">
        <x:v>17</x:v>
      </x:c>
    </x:row>
    <x:row r="2174" ht="36" customHeight="1">
      <x:c r="A2174" s="53" t="n">
        <x:v>2155</x:v>
      </x:c>
      <x:c r="B2174" s="53" t="n">
        <x:v>2</x:v>
      </x:c>
      <x:c r="C2174" s="40" t="str">
        <x:v>Large-Basket Occasional Shoppers</x:v>
      </x:c>
      <x:c r="D2174" s="60" t="n">
        <x:v>313.83</x:v>
      </x:c>
      <x:c r="E2174" s="50" t="n">
        <x:v>11</x:v>
      </x:c>
      <x:c r="F2174" s="46" t="n">
        <x:v>1.222222222222222</x:v>
      </x:c>
      <x:c r="G2174" s="46" t="n">
        <x:v>41</x:v>
      </x:c>
      <x:c r="H2174" s="61" t="n">
        <x:v>28.53</x:v>
      </x:c>
      <x:c r="I2174" s="52" t="n">
        <x:v>1</x:v>
      </x:c>
      <x:c r="J2174" s="52" t="n">
        <x:v>0.543351496032884</x:v>
      </x:c>
      <x:c r="K2174" s="60" t="n">
        <x:v>313.83</x:v>
      </x:c>
      <x:c r="L2174" s="60" t="n">
        <x:v>0</x:v>
      </x:c>
      <x:c r="M2174" s="50" t="n">
        <x:v>11</x:v>
      </x:c>
      <x:c r="N2174" s="50" t="n">
        <x:v>0</x:v>
      </x:c>
      <x:c r="O2174" s="50" t="n">
        <x:v>65</x:v>
      </x:c>
      <x:c r="P2174" s="50" t="n">
        <x:v>9</x:v>
      </x:c>
    </x:row>
    <x:row r="2175" ht="36" customHeight="1">
      <x:c r="A2175" s="53" t="n">
        <x:v>2156</x:v>
      </x:c>
      <x:c r="B2175" s="53" t="n">
        <x:v>1</x:v>
      </x:c>
      <x:c r="C2175" s="40" t="str">
        <x:v>High-Value Frequent Shoppers</x:v>
      </x:c>
      <x:c r="D2175" s="60" t="n">
        <x:v>5874.46</x:v>
      </x:c>
      <x:c r="E2175" s="50" t="n">
        <x:v>107</x:v>
      </x:c>
      <x:c r="F2175" s="46" t="n">
        <x:v>4.863636363636364</x:v>
      </x:c>
      <x:c r="G2175" s="46" t="n">
        <x:v>8</x:v>
      </x:c>
      <x:c r="H2175" s="61" t="n">
        <x:v>54.9014953271028</x:v>
      </x:c>
      <x:c r="I2175" s="52" t="n">
        <x:v>0.97196261682243</x:v>
      </x:c>
      <x:c r="J2175" s="52" t="n">
        <x:v>0.540168798493819</x:v>
      </x:c>
      <x:c r="K2175" s="60" t="n">
        <x:v>5837.38</x:v>
      </x:c>
      <x:c r="L2175" s="60" t="n">
        <x:v>37.08</x:v>
      </x:c>
      <x:c r="M2175" s="50" t="n">
        <x:v>104</x:v>
      </x:c>
      <x:c r="N2175" s="50" t="n">
        <x:v>3</x:v>
      </x:c>
      <x:c r="O2175" s="50" t="n">
        <x:v>144</x:v>
      </x:c>
      <x:c r="P2175" s="50" t="n">
        <x:v>22</x:v>
      </x:c>
    </x:row>
    <x:row r="2176" ht="36" customHeight="1">
      <x:c r="A2176" s="53" t="n">
        <x:v>2157</x:v>
      </x:c>
      <x:c r="B2176" s="53" t="n">
        <x:v>2</x:v>
      </x:c>
      <x:c r="C2176" s="40" t="str">
        <x:v>Large-Basket Occasional Shoppers</x:v>
      </x:c>
      <x:c r="D2176" s="60" t="n">
        <x:v>390.7</x:v>
      </x:c>
      <x:c r="E2176" s="50" t="n">
        <x:v>12</x:v>
      </x:c>
      <x:c r="F2176" s="46" t="n">
        <x:v>1.2</x:v>
      </x:c>
      <x:c r="G2176" s="46" t="n">
        <x:v>113</x:v>
      </x:c>
      <x:c r="H2176" s="61" t="n">
        <x:v>32.55833333333333</x:v>
      </x:c>
      <x:c r="I2176" s="52" t="n">
        <x:v>0.9166666666666666</x:v>
      </x:c>
      <x:c r="J2176" s="52" t="n">
        <x:v>0.7444330688507806</x:v>
      </x:c>
      <x:c r="K2176" s="60" t="n">
        <x:v>383.3</x:v>
      </x:c>
      <x:c r="L2176" s="60" t="n">
        <x:v>7.4</x:v>
      </x:c>
      <x:c r="M2176" s="50" t="n">
        <x:v>11</x:v>
      </x:c>
      <x:c r="N2176" s="50" t="n">
        <x:v>1</x:v>
      </x:c>
      <x:c r="O2176" s="50" t="n">
        <x:v>54</x:v>
      </x:c>
      <x:c r="P2176" s="50" t="n">
        <x:v>10</x:v>
      </x:c>
    </x:row>
    <x:row r="2177" ht="36" customHeight="1">
      <x:c r="A2177" s="53" t="n">
        <x:v>2158</x:v>
      </x:c>
      <x:c r="B2177" s="53" t="n">
        <x:v>1</x:v>
      </x:c>
      <x:c r="C2177" s="40" t="str">
        <x:v>High-Value Frequent Shoppers</x:v>
      </x:c>
      <x:c r="D2177" s="60" t="n">
        <x:v>3194.17</x:v>
      </x:c>
      <x:c r="E2177" s="50" t="n">
        <x:v>131</x:v>
      </x:c>
      <x:c r="F2177" s="46" t="n">
        <x:v>6.238095238095238</x:v>
      </x:c>
      <x:c r="G2177" s="46" t="n">
        <x:v>2</x:v>
      </x:c>
      <x:c r="H2177" s="61" t="n">
        <x:v>24.38297709923664</x:v>
      </x:c>
      <x:c r="I2177" s="52" t="n">
        <x:v>0.8778625954198473</x:v>
      </x:c>
      <x:c r="J2177" s="52" t="n">
        <x:v>0.7249864597062773</x:v>
      </x:c>
      <x:c r="K2177" s="60" t="n">
        <x:v>2967.21</x:v>
      </x:c>
      <x:c r="L2177" s="60" t="n">
        <x:v>226.96</x:v>
      </x:c>
      <x:c r="M2177" s="50" t="n">
        <x:v>115</x:v>
      </x:c>
      <x:c r="N2177" s="50" t="n">
        <x:v>16</x:v>
      </x:c>
      <x:c r="O2177" s="50" t="n">
        <x:v>127</x:v>
      </x:c>
      <x:c r="P2177" s="50" t="n">
        <x:v>21</x:v>
      </x:c>
    </x:row>
    <x:row r="2178" ht="36" customHeight="1">
      <x:c r="A2178" s="53" t="n">
        <x:v>2159</x:v>
      </x:c>
      <x:c r="B2178" s="53" t="n">
        <x:v>3</x:v>
      </x:c>
      <x:c r="C2178" s="40" t="str">
        <x:v>Low-Value Low-Engagement Shoppers</x:v>
      </x:c>
      <x:c r="D2178" s="60" t="n">
        <x:v>2018.95</x:v>
      </x:c>
      <x:c r="E2178" s="50" t="n">
        <x:v>120</x:v>
      </x:c>
      <x:c r="F2178" s="46" t="n">
        <x:v>5.7142857142857135</x:v>
      </x:c>
      <x:c r="G2178" s="46" t="n">
        <x:v>3</x:v>
      </x:c>
      <x:c r="H2178" s="61" t="n">
        <x:v>16.824583333333333</x:v>
      </x:c>
      <x:c r="I2178" s="52" t="n">
        <x:v>0.7333333333333333</x:v>
      </x:c>
      <x:c r="J2178" s="52" t="n">
        <x:v>0.511166695559573</x:v>
      </x:c>
      <x:c r="K2178" s="60" t="n">
        <x:v>1753.62</x:v>
      </x:c>
      <x:c r="L2178" s="60" t="n">
        <x:v>265.33</x:v>
      </x:c>
      <x:c r="M2178" s="50" t="n">
        <x:v>88</x:v>
      </x:c>
      <x:c r="N2178" s="50" t="n">
        <x:v>32</x:v>
      </x:c>
      <x:c r="O2178" s="50" t="n">
        <x:v>77</x:v>
      </x:c>
      <x:c r="P2178" s="50" t="n">
        <x:v>21</x:v>
      </x:c>
    </x:row>
    <x:row r="2179" ht="36" customHeight="1">
      <x:c r="A2179" s="53" t="n">
        <x:v>2160</x:v>
      </x:c>
      <x:c r="B2179" s="53" t="n">
        <x:v>3</x:v>
      </x:c>
      <x:c r="C2179" s="40" t="str">
        <x:v>Low-Value Low-Engagement Shoppers</x:v>
      </x:c>
      <x:c r="D2179" s="60" t="n">
        <x:v>748.07</x:v>
      </x:c>
      <x:c r="E2179" s="50" t="n">
        <x:v>57</x:v>
      </x:c>
      <x:c r="F2179" s="46" t="n">
        <x:v>2.7142857142857144</x:v>
      </x:c>
      <x:c r="G2179" s="46" t="n">
        <x:v>19</x:v>
      </x:c>
      <x:c r="H2179" s="61" t="n">
        <x:v>13.124035087719298</x:v>
      </x:c>
      <x:c r="I2179" s="52" t="n">
        <x:v>0.9298245614035088</x:v>
      </x:c>
      <x:c r="J2179" s="52" t="n">
        <x:v>0.7060168166080714</x:v>
      </x:c>
      <x:c r="K2179" s="60" t="n">
        <x:v>699.15</x:v>
      </x:c>
      <x:c r="L2179" s="60" t="n">
        <x:v>48.92</x:v>
      </x:c>
      <x:c r="M2179" s="50" t="n">
        <x:v>53</x:v>
      </x:c>
      <x:c r="N2179" s="50" t="n">
        <x:v>4</x:v>
      </x:c>
      <x:c r="O2179" s="50" t="n">
        <x:v>50</x:v>
      </x:c>
      <x:c r="P2179" s="50" t="n">
        <x:v>21</x:v>
      </x:c>
    </x:row>
    <x:row r="2180" ht="36" customHeight="1">
      <x:c r="A2180" s="53" t="n">
        <x:v>2161</x:v>
      </x:c>
      <x:c r="B2180" s="53" t="n">
        <x:v>2</x:v>
      </x:c>
      <x:c r="C2180" s="40" t="str">
        <x:v>Large-Basket Occasional Shoppers</x:v>
      </x:c>
      <x:c r="D2180" s="60" t="n">
        <x:v>2064.11</x:v>
      </x:c>
      <x:c r="E2180" s="50" t="n">
        <x:v>40</x:v>
      </x:c>
      <x:c r="F2180" s="46" t="n">
        <x:v>2.666666666666667</x:v>
      </x:c>
      <x:c r="G2180" s="46" t="n">
        <x:v>12</x:v>
      </x:c>
      <x:c r="H2180" s="61" t="n">
        <x:v>51.60275</x:v>
      </x:c>
      <x:c r="I2180" s="52" t="n">
        <x:v>0.925</x:v>
      </x:c>
      <x:c r="J2180" s="52" t="n">
        <x:v>0.5270019524153267</x:v>
      </x:c>
      <x:c r="K2180" s="60" t="n">
        <x:v>2024.8</x:v>
      </x:c>
      <x:c r="L2180" s="60" t="n">
        <x:v>39.31</x:v>
      </x:c>
      <x:c r="M2180" s="50" t="n">
        <x:v>37</x:v>
      </x:c>
      <x:c r="N2180" s="50" t="n">
        <x:v>3</x:v>
      </x:c>
      <x:c r="O2180" s="50" t="n">
        <x:v>117</x:v>
      </x:c>
      <x:c r="P2180" s="50" t="n">
        <x:v>15</x:v>
      </x:c>
    </x:row>
    <x:row r="2181" ht="36" customHeight="1">
      <x:c r="A2181" s="53" t="n">
        <x:v>2162</x:v>
      </x:c>
      <x:c r="B2181" s="53" t="n">
        <x:v>1</x:v>
      </x:c>
      <x:c r="C2181" s="40" t="str">
        <x:v>High-Value Frequent Shoppers</x:v>
      </x:c>
      <x:c r="D2181" s="60" t="n">
        <x:v>13923.45</x:v>
      </x:c>
      <x:c r="E2181" s="50" t="n">
        <x:v>180</x:v>
      </x:c>
      <x:c r="F2181" s="46" t="n">
        <x:v>8.571428571428571</x:v>
      </x:c>
      <x:c r="G2181" s="46" t="n">
        <x:v>1</x:v>
      </x:c>
      <x:c r="H2181" s="61" t="n">
        <x:v>77.3525</x:v>
      </x:c>
      <x:c r="I2181" s="52" t="n">
        <x:v>0.9277777777777776</x:v>
      </x:c>
      <x:c r="J2181" s="52" t="n">
        <x:v>0.553970459907566</x:v>
      </x:c>
      <x:c r="K2181" s="60" t="n">
        <x:v>13717.43</x:v>
      </x:c>
      <x:c r="L2181" s="60" t="n">
        <x:v>206.02</x:v>
      </x:c>
      <x:c r="M2181" s="50" t="n">
        <x:v>167</x:v>
      </x:c>
      <x:c r="N2181" s="50" t="n">
        <x:v>13</x:v>
      </x:c>
      <x:c r="O2181" s="50" t="n">
        <x:v>170</x:v>
      </x:c>
      <x:c r="P2181" s="50" t="n">
        <x:v>21</x:v>
      </x:c>
    </x:row>
    <x:row r="2182" ht="36" customHeight="1">
      <x:c r="A2182" s="53" t="n">
        <x:v>2163</x:v>
      </x:c>
      <x:c r="B2182" s="53" t="n">
        <x:v>3</x:v>
      </x:c>
      <x:c r="C2182" s="40" t="str">
        <x:v>Low-Value Low-Engagement Shoppers</x:v>
      </x:c>
      <x:c r="D2182" s="60" t="n">
        <x:v>356.1</x:v>
      </x:c>
      <x:c r="E2182" s="50" t="n">
        <x:v>14</x:v>
      </x:c>
      <x:c r="F2182" s="46" t="n">
        <x:v>1.0769230769230769</x:v>
      </x:c>
      <x:c r="G2182" s="46" t="n">
        <x:v>37</x:v>
      </x:c>
      <x:c r="H2182" s="61" t="n">
        <x:v>25.435714285714283</x:v>
      </x:c>
      <x:c r="I2182" s="52" t="n">
        <x:v>0.9285714285714284</x:v>
      </x:c>
      <x:c r="J2182" s="52" t="n">
        <x:v>0.1223532715529345</x:v>
      </x:c>
      <x:c r="K2182" s="60" t="n">
        <x:v>330.94</x:v>
      </x:c>
      <x:c r="L2182" s="60" t="n">
        <x:v>25.16</x:v>
      </x:c>
      <x:c r="M2182" s="50" t="n">
        <x:v>13</x:v>
      </x:c>
      <x:c r="N2182" s="50" t="n">
        <x:v>1</x:v>
      </x:c>
      <x:c r="O2182" s="50" t="n">
        <x:v>11</x:v>
      </x:c>
      <x:c r="P2182" s="50" t="n">
        <x:v>13</x:v>
      </x:c>
    </x:row>
    <x:row r="2183" ht="36" customHeight="1">
      <x:c r="A2183" s="53" t="n">
        <x:v>2164</x:v>
      </x:c>
      <x:c r="B2183" s="53" t="n">
        <x:v>2</x:v>
      </x:c>
      <x:c r="C2183" s="40" t="str">
        <x:v>Large-Basket Occasional Shoppers</x:v>
      </x:c>
      <x:c r="D2183" s="60" t="n">
        <x:v>1596.48</x:v>
      </x:c>
      <x:c r="E2183" s="50" t="n">
        <x:v>40</x:v>
      </x:c>
      <x:c r="F2183" s="46" t="n">
        <x:v>3.6363636363636367</x:v>
      </x:c>
      <x:c r="G2183" s="46" t="n">
        <x:v>311</x:v>
      </x:c>
      <x:c r="H2183" s="61" t="n">
        <x:v>39.912</x:v>
      </x:c>
      <x:c r="I2183" s="52" t="n">
        <x:v>0.925</x:v>
      </x:c>
      <x:c r="J2183" s="52" t="n">
        <x:v>0.7104567548606935</x:v>
      </x:c>
      <x:c r="K2183" s="60" t="n">
        <x:v>1571.8</x:v>
      </x:c>
      <x:c r="L2183" s="60" t="n">
        <x:v>24.68</x:v>
      </x:c>
      <x:c r="M2183" s="50" t="n">
        <x:v>37</x:v>
      </x:c>
      <x:c r="N2183" s="50" t="n">
        <x:v>3</x:v>
      </x:c>
      <x:c r="O2183" s="50" t="n">
        <x:v>122</x:v>
      </x:c>
      <x:c r="P2183" s="50" t="n">
        <x:v>11</x:v>
      </x:c>
    </x:row>
    <x:row r="2184" ht="36" customHeight="1">
      <x:c r="A2184" s="53" t="n">
        <x:v>2165</x:v>
      </x:c>
      <x:c r="B2184" s="53" t="n">
        <x:v>3</x:v>
      </x:c>
      <x:c r="C2184" s="40" t="str">
        <x:v>Low-Value Low-Engagement Shoppers</x:v>
      </x:c>
      <x:c r="D2184" s="60" t="n">
        <x:v>182.1</x:v>
      </x:c>
      <x:c r="E2184" s="50" t="n">
        <x:v>11</x:v>
      </x:c>
      <x:c r="F2184" s="46" t="n">
        <x:v>1.5714285714285714</x:v>
      </x:c>
      <x:c r="G2184" s="46" t="n">
        <x:v>70</x:v>
      </x:c>
      <x:c r="H2184" s="61" t="n">
        <x:v>16.554545454545455</x:v>
      </x:c>
      <x:c r="I2184" s="52" t="n">
        <x:v>0.5454545454545454</x:v>
      </x:c>
      <x:c r="J2184" s="52" t="n">
        <x:v>0.4098297638660076</x:v>
      </x:c>
      <x:c r="K2184" s="60" t="n">
        <x:v>149.4</x:v>
      </x:c>
      <x:c r="L2184" s="60" t="n">
        <x:v>32.7</x:v>
      </x:c>
      <x:c r="M2184" s="50" t="n">
        <x:v>6</x:v>
      </x:c>
      <x:c r="N2184" s="50" t="n">
        <x:v>5</x:v>
      </x:c>
      <x:c r="O2184" s="50" t="n">
        <x:v>28</x:v>
      </x:c>
      <x:c r="P2184" s="50" t="n">
        <x:v>7</x:v>
      </x:c>
    </x:row>
    <x:row r="2185" ht="36" customHeight="1">
      <x:c r="A2185" s="53" t="n">
        <x:v>2166</x:v>
      </x:c>
      <x:c r="B2185" s="53" t="n">
        <x:v>3</x:v>
      </x:c>
      <x:c r="C2185" s="40" t="str">
        <x:v>Low-Value Low-Engagement Shoppers</x:v>
      </x:c>
      <x:c r="D2185" s="60" t="n">
        <x:v>84.21</x:v>
      </x:c>
      <x:c r="E2185" s="50" t="n">
        <x:v>30</x:v>
      </x:c>
      <x:c r="F2185" s="46" t="n">
        <x:v>3.333333333333333</x:v>
      </x:c>
      <x:c r="G2185" s="46" t="n">
        <x:v>204</x:v>
      </x:c>
      <x:c r="H2185" s="61" t="n">
        <x:v>2.807</x:v>
      </x:c>
      <x:c r="I2185" s="52" t="n">
        <x:v>0.9</x:v>
      </x:c>
      <x:c r="J2185" s="52" t="n">
        <x:v>0.6128725804536278</x:v>
      </x:c>
      <x:c r="K2185" s="60" t="n">
        <x:v>63.45</x:v>
      </x:c>
      <x:c r="L2185" s="60" t="n">
        <x:v>20.76</x:v>
      </x:c>
      <x:c r="M2185" s="50" t="n">
        <x:v>27</x:v>
      </x:c>
      <x:c r="N2185" s="50" t="n">
        <x:v>3</x:v>
      </x:c>
      <x:c r="O2185" s="50" t="n">
        <x:v>11</x:v>
      </x:c>
      <x:c r="P2185" s="50" t="n">
        <x:v>9</x:v>
      </x:c>
    </x:row>
    <x:row r="2186" ht="36" customHeight="1">
      <x:c r="A2186" s="53" t="n">
        <x:v>2167</x:v>
      </x:c>
      <x:c r="B2186" s="53" t="n">
        <x:v>2</x:v>
      </x:c>
      <x:c r="C2186" s="40" t="str">
        <x:v>Large-Basket Occasional Shoppers</x:v>
      </x:c>
      <x:c r="D2186" s="60" t="n">
        <x:v>1714.61</x:v>
      </x:c>
      <x:c r="E2186" s="50" t="n">
        <x:v>75</x:v>
      </x:c>
      <x:c r="F2186" s="46" t="n">
        <x:v>4.6875</x:v>
      </x:c>
      <x:c r="G2186" s="46" t="n">
        <x:v>20</x:v>
      </x:c>
      <x:c r="H2186" s="61" t="n">
        <x:v>22.861466666666665</x:v>
      </x:c>
      <x:c r="I2186" s="52" t="n">
        <x:v>0.7733333333333333</x:v>
      </x:c>
      <x:c r="J2186" s="52" t="n">
        <x:v>0.5363435416800321</x:v>
      </x:c>
      <x:c r="K2186" s="60" t="n">
        <x:v>1579.92</x:v>
      </x:c>
      <x:c r="L2186" s="60" t="n">
        <x:v>134.69</x:v>
      </x:c>
      <x:c r="M2186" s="50" t="n">
        <x:v>58</x:v>
      </x:c>
      <x:c r="N2186" s="50" t="n">
        <x:v>17</x:v>
      </x:c>
      <x:c r="O2186" s="50" t="n">
        <x:v>111</x:v>
      </x:c>
      <x:c r="P2186" s="50" t="n">
        <x:v>16</x:v>
      </x:c>
    </x:row>
    <x:row r="2187" ht="36" customHeight="1">
      <x:c r="A2187" s="53" t="n">
        <x:v>2168</x:v>
      </x:c>
      <x:c r="B2187" s="53" t="n">
        <x:v>1</x:v>
      </x:c>
      <x:c r="C2187" s="40" t="str">
        <x:v>High-Value Frequent Shoppers</x:v>
      </x:c>
      <x:c r="D2187" s="60" t="n">
        <x:v>5666.66</x:v>
      </x:c>
      <x:c r="E2187" s="50" t="n">
        <x:v>197</x:v>
      </x:c>
      <x:c r="F2187" s="46" t="n">
        <x:v>8.208333333333332</x:v>
      </x:c>
      <x:c r="G2187" s="46" t="n">
        <x:v>0</x:v>
      </x:c>
      <x:c r="H2187" s="61" t="n">
        <x:v>28.76477157360406</x:v>
      </x:c>
      <x:c r="I2187" s="52" t="n">
        <x:v>0.9593908629441624</x:v>
      </x:c>
      <x:c r="J2187" s="52" t="n">
        <x:v>0.6277330914506958</x:v>
      </x:c>
      <x:c r="K2187" s="60" t="n">
        <x:v>5560.13</x:v>
      </x:c>
      <x:c r="L2187" s="60" t="n">
        <x:v>106.53</x:v>
      </x:c>
      <x:c r="M2187" s="50" t="n">
        <x:v>189</x:v>
      </x:c>
      <x:c r="N2187" s="50" t="n">
        <x:v>8</x:v>
      </x:c>
      <x:c r="O2187" s="50" t="n">
        <x:v>164</x:v>
      </x:c>
      <x:c r="P2187" s="50" t="n">
        <x:v>24</x:v>
      </x:c>
    </x:row>
    <x:row r="2188" ht="36" customHeight="1">
      <x:c r="A2188" s="53" t="n">
        <x:v>2169</x:v>
      </x:c>
      <x:c r="B2188" s="53" t="n">
        <x:v>2</x:v>
      </x:c>
      <x:c r="C2188" s="40" t="str">
        <x:v>Large-Basket Occasional Shoppers</x:v>
      </x:c>
      <x:c r="D2188" s="60" t="n">
        <x:v>857.96</x:v>
      </x:c>
      <x:c r="E2188" s="50" t="n">
        <x:v>40</x:v>
      </x:c>
      <x:c r="F2188" s="46" t="n">
        <x:v>2.352941176470588</x:v>
      </x:c>
      <x:c r="G2188" s="46" t="n">
        <x:v>16</x:v>
      </x:c>
      <x:c r="H2188" s="61" t="n">
        <x:v>21.449</x:v>
      </x:c>
      <x:c r="I2188" s="52" t="n">
        <x:v>0.85</x:v>
      </x:c>
      <x:c r="J2188" s="52" t="n">
        <x:v>0.477761200988391</x:v>
      </x:c>
      <x:c r="K2188" s="60" t="n">
        <x:v>820.68</x:v>
      </x:c>
      <x:c r="L2188" s="60" t="n">
        <x:v>37.28</x:v>
      </x:c>
      <x:c r="M2188" s="50" t="n">
        <x:v>34</x:v>
      </x:c>
      <x:c r="N2188" s="50" t="n">
        <x:v>6</x:v>
      </x:c>
      <x:c r="O2188" s="50" t="n">
        <x:v>100</x:v>
      </x:c>
      <x:c r="P2188" s="50" t="n">
        <x:v>17</x:v>
      </x:c>
    </x:row>
    <x:row r="2189" ht="36" customHeight="1">
      <x:c r="A2189" s="53" t="n">
        <x:v>2170</x:v>
      </x:c>
      <x:c r="B2189" s="53" t="n">
        <x:v>1</x:v>
      </x:c>
      <x:c r="C2189" s="40" t="str">
        <x:v>High-Value Frequent Shoppers</x:v>
      </x:c>
      <x:c r="D2189" s="60" t="n">
        <x:v>6198.89</x:v>
      </x:c>
      <x:c r="E2189" s="50" t="n">
        <x:v>266</x:v>
      </x:c>
      <x:c r="F2189" s="46" t="n">
        <x:v>12.09090909090909</x:v>
      </x:c>
      <x:c r="G2189" s="46" t="n">
        <x:v>0</x:v>
      </x:c>
      <x:c r="H2189" s="61" t="n">
        <x:v>23.304097744360902</x:v>
      </x:c>
      <x:c r="I2189" s="52" t="n">
        <x:v>0.8684210526315789</x:v>
      </x:c>
      <x:c r="J2189" s="52" t="n">
        <x:v>0.5671902550295294</x:v>
      </x:c>
      <x:c r="K2189" s="60" t="n">
        <x:v>5890.82</x:v>
      </x:c>
      <x:c r="L2189" s="60" t="n">
        <x:v>308.07</x:v>
      </x:c>
      <x:c r="M2189" s="50" t="n">
        <x:v>231</x:v>
      </x:c>
      <x:c r="N2189" s="50" t="n">
        <x:v>35</x:v>
      </x:c>
      <x:c r="O2189" s="50" t="n">
        <x:v>163</x:v>
      </x:c>
      <x:c r="P2189" s="50" t="n">
        <x:v>22</x:v>
      </x:c>
    </x:row>
    <x:row r="2190" ht="36" customHeight="1">
      <x:c r="A2190" s="53" t="n">
        <x:v>2171</x:v>
      </x:c>
      <x:c r="B2190" s="53" t="n">
        <x:v>1</x:v>
      </x:c>
      <x:c r="C2190" s="40" t="str">
        <x:v>High-Value Frequent Shoppers</x:v>
      </x:c>
      <x:c r="D2190" s="60" t="n">
        <x:v>4031.08</x:v>
      </x:c>
      <x:c r="E2190" s="50" t="n">
        <x:v>107</x:v>
      </x:c>
      <x:c r="F2190" s="46" t="n">
        <x:v>5.095238095238095</x:v>
      </x:c>
      <x:c r="G2190" s="46" t="n">
        <x:v>2</x:v>
      </x:c>
      <x:c r="H2190" s="61" t="n">
        <x:v>37.67364485981309</x:v>
      </x:c>
      <x:c r="I2190" s="52" t="n">
        <x:v>0.9158878504672896</x:v>
      </x:c>
      <x:c r="J2190" s="52" t="n">
        <x:v>0.3959112694364785</x:v>
      </x:c>
      <x:c r="K2190" s="60" t="n">
        <x:v>3911.01</x:v>
      </x:c>
      <x:c r="L2190" s="60" t="n">
        <x:v>120.07</x:v>
      </x:c>
      <x:c r="M2190" s="50" t="n">
        <x:v>98</x:v>
      </x:c>
      <x:c r="N2190" s="50" t="n">
        <x:v>9</x:v>
      </x:c>
      <x:c r="O2190" s="50" t="n">
        <x:v>151</x:v>
      </x:c>
      <x:c r="P2190" s="50" t="n">
        <x:v>21</x:v>
      </x:c>
    </x:row>
    <x:row r="2191" ht="36" customHeight="1">
      <x:c r="A2191" s="53" t="n">
        <x:v>2172</x:v>
      </x:c>
      <x:c r="B2191" s="53" t="n">
        <x:v>1</x:v>
      </x:c>
      <x:c r="C2191" s="40" t="str">
        <x:v>High-Value Frequent Shoppers</x:v>
      </x:c>
      <x:c r="D2191" s="60" t="n">
        <x:v>2408.11</x:v>
      </x:c>
      <x:c r="E2191" s="50" t="n">
        <x:v>99</x:v>
      </x:c>
      <x:c r="F2191" s="46" t="n">
        <x:v>4.7142857142857135</x:v>
      </x:c>
      <x:c r="G2191" s="46" t="n">
        <x:v>6</x:v>
      </x:c>
      <x:c r="H2191" s="61" t="n">
        <x:v>24.32434343434344</x:v>
      </x:c>
      <x:c r="I2191" s="52" t="n">
        <x:v>0.808080808080808</x:v>
      </x:c>
      <x:c r="J2191" s="52" t="n">
        <x:v>0.298960595653853</x:v>
      </x:c>
      <x:c r="K2191" s="60" t="n">
        <x:v>2144.33</x:v>
      </x:c>
      <x:c r="L2191" s="60" t="n">
        <x:v>263.78</x:v>
      </x:c>
      <x:c r="M2191" s="50" t="n">
        <x:v>80</x:v>
      </x:c>
      <x:c r="N2191" s="50" t="n">
        <x:v>19</x:v>
      </x:c>
      <x:c r="O2191" s="50" t="n">
        <x:v>136</x:v>
      </x:c>
      <x:c r="P2191" s="50" t="n">
        <x:v>21</x:v>
      </x:c>
    </x:row>
    <x:row r="2192" ht="36" customHeight="1">
      <x:c r="A2192" s="53" t="n">
        <x:v>2173</x:v>
      </x:c>
      <x:c r="B2192" s="53" t="n">
        <x:v>1</x:v>
      </x:c>
      <x:c r="C2192" s="40" t="str">
        <x:v>High-Value Frequent Shoppers</x:v>
      </x:c>
      <x:c r="D2192" s="60" t="n">
        <x:v>2177.52</x:v>
      </x:c>
      <x:c r="E2192" s="50" t="n">
        <x:v>86</x:v>
      </x:c>
      <x:c r="F2192" s="46" t="n">
        <x:v>5.0588235294117645</x:v>
      </x:c>
      <x:c r="G2192" s="46" t="n">
        <x:v>1</x:v>
      </x:c>
      <x:c r="H2192" s="61" t="n">
        <x:v>25.32</x:v>
      </x:c>
      <x:c r="I2192" s="52" t="n">
        <x:v>0.9069767441860463</x:v>
      </x:c>
      <x:c r="J2192" s="52" t="n">
        <x:v>0.5030814871964436</x:v>
      </x:c>
      <x:c r="K2192" s="60" t="n">
        <x:v>2096.22</x:v>
      </x:c>
      <x:c r="L2192" s="60" t="n">
        <x:v>81.3</x:v>
      </x:c>
      <x:c r="M2192" s="50" t="n">
        <x:v>78</x:v>
      </x:c>
      <x:c r="N2192" s="50" t="n">
        <x:v>8</x:v>
      </x:c>
      <x:c r="O2192" s="50" t="n">
        <x:v>110</x:v>
      </x:c>
      <x:c r="P2192" s="50" t="n">
        <x:v>17</x:v>
      </x:c>
    </x:row>
    <x:row r="2193" ht="36" customHeight="1">
      <x:c r="A2193" s="53" t="n">
        <x:v>2174</x:v>
      </x:c>
      <x:c r="B2193" s="53" t="n">
        <x:v>3</x:v>
      </x:c>
      <x:c r="C2193" s="40" t="str">
        <x:v>Low-Value Low-Engagement Shoppers</x:v>
      </x:c>
      <x:c r="D2193" s="60" t="n">
        <x:v>644.33</x:v>
      </x:c>
      <x:c r="E2193" s="50" t="n">
        <x:v>39</x:v>
      </x:c>
      <x:c r="F2193" s="46" t="n">
        <x:v>1.95</x:v>
      </x:c>
      <x:c r="G2193" s="46" t="n">
        <x:v>31</x:v>
      </x:c>
      <x:c r="H2193" s="61" t="n">
        <x:v>16.521282051282054</x:v>
      </x:c>
      <x:c r="I2193" s="52" t="n">
        <x:v>0.8461538461538461</x:v>
      </x:c>
      <x:c r="J2193" s="52" t="n">
        <x:v>0.462790805953471</x:v>
      </x:c>
      <x:c r="K2193" s="60" t="n">
        <x:v>569.08</x:v>
      </x:c>
      <x:c r="L2193" s="60" t="n">
        <x:v>75.25</x:v>
      </x:c>
      <x:c r="M2193" s="50" t="n">
        <x:v>33</x:v>
      </x:c>
      <x:c r="N2193" s="50" t="n">
        <x:v>6</x:v>
      </x:c>
      <x:c r="O2193" s="50" t="n">
        <x:v>114</x:v>
      </x:c>
      <x:c r="P2193" s="50" t="n">
        <x:v>20</x:v>
      </x:c>
    </x:row>
    <x:row r="2194" ht="36" customHeight="1">
      <x:c r="A2194" s="53" t="n">
        <x:v>2175</x:v>
      </x:c>
      <x:c r="B2194" s="53" t="n">
        <x:v>2</x:v>
      </x:c>
      <x:c r="C2194" s="40" t="str">
        <x:v>Large-Basket Occasional Shoppers</x:v>
      </x:c>
      <x:c r="D2194" s="60" t="n">
        <x:v>610.22</x:v>
      </x:c>
      <x:c r="E2194" s="50" t="n">
        <x:v>17</x:v>
      </x:c>
      <x:c r="F2194" s="46" t="n">
        <x:v>1.7</x:v>
      </x:c>
      <x:c r="G2194" s="46" t="n">
        <x:v>40</x:v>
      </x:c>
      <x:c r="H2194" s="61" t="n">
        <x:v>35.895294117647055</x:v>
      </x:c>
      <x:c r="I2194" s="52" t="n">
        <x:v>0.8235294117647058</x:v>
      </x:c>
      <x:c r="J2194" s="52" t="n">
        <x:v>0.5036544197174789</x:v>
      </x:c>
      <x:c r="K2194" s="60" t="n">
        <x:v>592.55</x:v>
      </x:c>
      <x:c r="L2194" s="60" t="n">
        <x:v>17.67</x:v>
      </x:c>
      <x:c r="M2194" s="50" t="n">
        <x:v>14</x:v>
      </x:c>
      <x:c r="N2194" s="50" t="n">
        <x:v>3</x:v>
      </x:c>
      <x:c r="O2194" s="50" t="n">
        <x:v>63</x:v>
      </x:c>
      <x:c r="P2194" s="50" t="n">
        <x:v>10</x:v>
      </x:c>
    </x:row>
    <x:row r="2195" ht="36" customHeight="1">
      <x:c r="A2195" s="53" t="n">
        <x:v>2176</x:v>
      </x:c>
      <x:c r="B2195" s="53" t="n">
        <x:v>1</x:v>
      </x:c>
      <x:c r="C2195" s="40" t="str">
        <x:v>High-Value Frequent Shoppers</x:v>
      </x:c>
      <x:c r="D2195" s="60" t="n">
        <x:v>2601.56</x:v>
      </x:c>
      <x:c r="E2195" s="50" t="n">
        <x:v>195</x:v>
      </x:c>
      <x:c r="F2195" s="46" t="n">
        <x:v>11.470588235294116</x:v>
      </x:c>
      <x:c r="G2195" s="46" t="n">
        <x:v>29</x:v>
      </x:c>
      <x:c r="H2195" s="61" t="n">
        <x:v>13.341333333333331</x:v>
      </x:c>
      <x:c r="I2195" s="52" t="n">
        <x:v>0.7692307692307692</x:v>
      </x:c>
      <x:c r="J2195" s="52" t="n">
        <x:v>0.6465774381524931</x:v>
      </x:c>
      <x:c r="K2195" s="60" t="n">
        <x:v>2362.77</x:v>
      </x:c>
      <x:c r="L2195" s="60" t="n">
        <x:v>238.79</x:v>
      </x:c>
      <x:c r="M2195" s="50" t="n">
        <x:v>150</x:v>
      </x:c>
      <x:c r="N2195" s="50" t="n">
        <x:v>45</x:v>
      </x:c>
      <x:c r="O2195" s="50" t="n">
        <x:v>122</x:v>
      </x:c>
      <x:c r="P2195" s="50" t="n">
        <x:v>17</x:v>
      </x:c>
    </x:row>
    <x:row r="2196" ht="36" customHeight="1">
      <x:c r="A2196" s="53" t="n">
        <x:v>2177</x:v>
      </x:c>
      <x:c r="B2196" s="53" t="n">
        <x:v>2</x:v>
      </x:c>
      <x:c r="C2196" s="40" t="str">
        <x:v>Large-Basket Occasional Shoppers</x:v>
      </x:c>
      <x:c r="D2196" s="60" t="n">
        <x:v>133.5</x:v>
      </x:c>
      <x:c r="E2196" s="50" t="n">
        <x:v>3</x:v>
      </x:c>
      <x:c r="F2196" s="46" t="n">
        <x:v>1</x:v>
      </x:c>
      <x:c r="G2196" s="46" t="n">
        <x:v>103</x:v>
      </x:c>
      <x:c r="H2196" s="61" t="n">
        <x:v>44.5</x:v>
      </x:c>
      <x:c r="I2196" s="52" t="n">
        <x:v>1</x:v>
      </x:c>
      <x:c r="J2196" s="52" t="n">
        <x:v>0.4422471910112359</x:v>
      </x:c>
      <x:c r="K2196" s="60" t="n">
        <x:v>133.5</x:v>
      </x:c>
      <x:c r="L2196" s="60" t="n">
        <x:v>0</x:v>
      </x:c>
      <x:c r="M2196" s="50" t="n">
        <x:v>3</x:v>
      </x:c>
      <x:c r="N2196" s="50" t="n">
        <x:v>0</x:v>
      </x:c>
      <x:c r="O2196" s="50" t="n">
        <x:v>31</x:v>
      </x:c>
      <x:c r="P2196" s="50" t="n">
        <x:v>3</x:v>
      </x:c>
    </x:row>
    <x:row r="2197" ht="36" customHeight="1">
      <x:c r="A2197" s="53" t="n">
        <x:v>2178</x:v>
      </x:c>
      <x:c r="B2197" s="53" t="n">
        <x:v>1</x:v>
      </x:c>
      <x:c r="C2197" s="40" t="str">
        <x:v>High-Value Frequent Shoppers</x:v>
      </x:c>
      <x:c r="D2197" s="60" t="n">
        <x:v>3681.13</x:v>
      </x:c>
      <x:c r="E2197" s="50" t="n">
        <x:v>151</x:v>
      </x:c>
      <x:c r="F2197" s="46" t="n">
        <x:v>7.94736842105263</x:v>
      </x:c>
      <x:c r="G2197" s="46" t="n">
        <x:v>101</x:v>
      </x:c>
      <x:c r="H2197" s="61" t="n">
        <x:v>24.37834437086093</x:v>
      </x:c>
      <x:c r="I2197" s="52" t="n">
        <x:v>0.8410596026490066</x:v>
      </x:c>
      <x:c r="J2197" s="52" t="n">
        <x:v>0.4182329882400241</x:v>
      </x:c>
      <x:c r="K2197" s="60" t="n">
        <x:v>3456.13</x:v>
      </x:c>
      <x:c r="L2197" s="60" t="n">
        <x:v>225</x:v>
      </x:c>
      <x:c r="M2197" s="50" t="n">
        <x:v>127</x:v>
      </x:c>
      <x:c r="N2197" s="50" t="n">
        <x:v>24</x:v>
      </x:c>
      <x:c r="O2197" s="50" t="n">
        <x:v>168</x:v>
      </x:c>
      <x:c r="P2197" s="50" t="n">
        <x:v>19</x:v>
      </x:c>
    </x:row>
    <x:row r="2198" ht="36" customHeight="1">
      <x:c r="A2198" s="53" t="n">
        <x:v>2179</x:v>
      </x:c>
      <x:c r="B2198" s="53" t="n">
        <x:v>2</x:v>
      </x:c>
      <x:c r="C2198" s="40" t="str">
        <x:v>Large-Basket Occasional Shoppers</x:v>
      </x:c>
      <x:c r="D2198" s="60" t="n">
        <x:v>1452.29</x:v>
      </x:c>
      <x:c r="E2198" s="50" t="n">
        <x:v>46</x:v>
      </x:c>
      <x:c r="F2198" s="46" t="n">
        <x:v>2.555555555555556</x:v>
      </x:c>
      <x:c r="G2198" s="46" t="n">
        <x:v>0</x:v>
      </x:c>
      <x:c r="H2198" s="61" t="n">
        <x:v>31.57152173913044</x:v>
      </x:c>
      <x:c r="I2198" s="52" t="n">
        <x:v>0.8043478260869565</x:v>
      </x:c>
      <x:c r="J2198" s="52" t="n">
        <x:v>0.4329438335318703</x:v>
      </x:c>
      <x:c r="K2198" s="60" t="n">
        <x:v>1305.82</x:v>
      </x:c>
      <x:c r="L2198" s="60" t="n">
        <x:v>146.47</x:v>
      </x:c>
      <x:c r="M2198" s="50" t="n">
        <x:v>37</x:v>
      </x:c>
      <x:c r="N2198" s="50" t="n">
        <x:v>9</x:v>
      </x:c>
      <x:c r="O2198" s="50" t="n">
        <x:v>120</x:v>
      </x:c>
      <x:c r="P2198" s="50" t="n">
        <x:v>18</x:v>
      </x:c>
    </x:row>
    <x:row r="2199" ht="36" customHeight="1">
      <x:c r="A2199" s="53" t="n">
        <x:v>2180</x:v>
      </x:c>
      <x:c r="B2199" s="53" t="n">
        <x:v>3</x:v>
      </x:c>
      <x:c r="C2199" s="40" t="str">
        <x:v>Low-Value Low-Engagement Shoppers</x:v>
      </x:c>
      <x:c r="D2199" s="60" t="n">
        <x:v>936.39</x:v>
      </x:c>
      <x:c r="E2199" s="50" t="n">
        <x:v>44</x:v>
      </x:c>
      <x:c r="F2199" s="46" t="n">
        <x:v>2.75</x:v>
      </x:c>
      <x:c r="G2199" s="46" t="n">
        <x:v>83</x:v>
      </x:c>
      <x:c r="H2199" s="61" t="n">
        <x:v>21.28159090909091</x:v>
      </x:c>
      <x:c r="I2199" s="52" t="n">
        <x:v>0.8409090909090909</x:v>
      </x:c>
      <x:c r="J2199" s="52" t="n">
        <x:v>0.4678072170783541</x:v>
      </x:c>
      <x:c r="K2199" s="60" t="n">
        <x:v>874.54</x:v>
      </x:c>
      <x:c r="L2199" s="60" t="n">
        <x:v>61.85</x:v>
      </x:c>
      <x:c r="M2199" s="50" t="n">
        <x:v>37</x:v>
      </x:c>
      <x:c r="N2199" s="50" t="n">
        <x:v>7</x:v>
      </x:c>
      <x:c r="O2199" s="50" t="n">
        <x:v>88</x:v>
      </x:c>
      <x:c r="P2199" s="50" t="n">
        <x:v>16</x:v>
      </x:c>
    </x:row>
    <x:row r="2200" ht="36" customHeight="1">
      <x:c r="A2200" s="53" t="n">
        <x:v>2181</x:v>
      </x:c>
      <x:c r="B2200" s="53" t="n">
        <x:v>2</x:v>
      </x:c>
      <x:c r="C2200" s="40" t="str">
        <x:v>Large-Basket Occasional Shoppers</x:v>
      </x:c>
      <x:c r="D2200" s="60" t="n">
        <x:v>3074.45</x:v>
      </x:c>
      <x:c r="E2200" s="50" t="n">
        <x:v>55</x:v>
      </x:c>
      <x:c r="F2200" s="46" t="n">
        <x:v>3.055555555555556</x:v>
      </x:c>
      <x:c r="G2200" s="46" t="n">
        <x:v>9</x:v>
      </x:c>
      <x:c r="H2200" s="61" t="n">
        <x:v>55.8990909090909</x:v>
      </x:c>
      <x:c r="I2200" s="52" t="n">
        <x:v>0.8545454545454545</x:v>
      </x:c>
      <x:c r="J2200" s="52" t="n">
        <x:v>0.3757224869488851</x:v>
      </x:c>
      <x:c r="K2200" s="60" t="n">
        <x:v>2729.73</x:v>
      </x:c>
      <x:c r="L2200" s="60" t="n">
        <x:v>344.72</x:v>
      </x:c>
      <x:c r="M2200" s="50" t="n">
        <x:v>47</x:v>
      </x:c>
      <x:c r="N2200" s="50" t="n">
        <x:v>8</x:v>
      </x:c>
      <x:c r="O2200" s="50" t="n">
        <x:v>155</x:v>
      </x:c>
      <x:c r="P2200" s="50" t="n">
        <x:v>18</x:v>
      </x:c>
    </x:row>
    <x:row r="2201" ht="36" customHeight="1">
      <x:c r="A2201" s="53" t="n">
        <x:v>2182</x:v>
      </x:c>
      <x:c r="B2201" s="53" t="n">
        <x:v>2</x:v>
      </x:c>
      <x:c r="C2201" s="40" t="str">
        <x:v>Large-Basket Occasional Shoppers</x:v>
      </x:c>
      <x:c r="D2201" s="60" t="n">
        <x:v>1530.52</x:v>
      </x:c>
      <x:c r="E2201" s="50" t="n">
        <x:v>85</x:v>
      </x:c>
      <x:c r="F2201" s="46" t="n">
        <x:v>4.047619047619048</x:v>
      </x:c>
      <x:c r="G2201" s="46" t="n">
        <x:v>12</x:v>
      </x:c>
      <x:c r="H2201" s="61" t="n">
        <x:v>18.006117647058822</x:v>
      </x:c>
      <x:c r="I2201" s="52" t="n">
        <x:v>0.9176470588235294</x:v>
      </x:c>
      <x:c r="J2201" s="52" t="n">
        <x:v>0.3860060632987481</x:v>
      </x:c>
      <x:c r="K2201" s="60" t="n">
        <x:v>1450.78</x:v>
      </x:c>
      <x:c r="L2201" s="60" t="n">
        <x:v>79.74</x:v>
      </x:c>
      <x:c r="M2201" s="50" t="n">
        <x:v>78</x:v>
      </x:c>
      <x:c r="N2201" s="50" t="n">
        <x:v>7</x:v>
      </x:c>
      <x:c r="O2201" s="50" t="n">
        <x:v>89</x:v>
      </x:c>
      <x:c r="P2201" s="50" t="n">
        <x:v>21</x:v>
      </x:c>
    </x:row>
    <x:row r="2202" ht="36" customHeight="1">
      <x:c r="A2202" s="53" t="n">
        <x:v>2183</x:v>
      </x:c>
      <x:c r="B2202" s="53" t="n">
        <x:v>1</x:v>
      </x:c>
      <x:c r="C2202" s="40" t="str">
        <x:v>High-Value Frequent Shoppers</x:v>
      </x:c>
      <x:c r="D2202" s="60" t="n">
        <x:v>4093.12</x:v>
      </x:c>
      <x:c r="E2202" s="50" t="n">
        <x:v>173</x:v>
      </x:c>
      <x:c r="F2202" s="46" t="n">
        <x:v>8.238095238095239</x:v>
      </x:c>
      <x:c r="G2202" s="46" t="n">
        <x:v>5</x:v>
      </x:c>
      <x:c r="H2202" s="61" t="n">
        <x:v>23.65965317919075</x:v>
      </x:c>
      <x:c r="I2202" s="52" t="n">
        <x:v>0.9421965317919077</x:v>
      </x:c>
      <x:c r="J2202" s="52" t="n">
        <x:v>0.6665160073489172</x:v>
      </x:c>
      <x:c r="K2202" s="60" t="n">
        <x:v>3979.08</x:v>
      </x:c>
      <x:c r="L2202" s="60" t="n">
        <x:v>114.04</x:v>
      </x:c>
      <x:c r="M2202" s="50" t="n">
        <x:v>163</x:v>
      </x:c>
      <x:c r="N2202" s="50" t="n">
        <x:v>10</x:v>
      </x:c>
      <x:c r="O2202" s="50" t="n">
        <x:v>142</x:v>
      </x:c>
      <x:c r="P2202" s="50" t="n">
        <x:v>21</x:v>
      </x:c>
    </x:row>
    <x:row r="2203" ht="36" customHeight="1">
      <x:c r="A2203" s="53" t="n">
        <x:v>2184</x:v>
      </x:c>
      <x:c r="B2203" s="53" t="n">
        <x:v>1</x:v>
      </x:c>
      <x:c r="C2203" s="40" t="str">
        <x:v>High-Value Frequent Shoppers</x:v>
      </x:c>
      <x:c r="D2203" s="60" t="n">
        <x:v>5094.8</x:v>
      </x:c>
      <x:c r="E2203" s="50" t="n">
        <x:v>260</x:v>
      </x:c>
      <x:c r="F2203" s="46" t="n">
        <x:v>11.818181818181818</x:v>
      </x:c>
      <x:c r="G2203" s="46" t="n">
        <x:v>4</x:v>
      </x:c>
      <x:c r="H2203" s="61" t="n">
        <x:v>19.595384615384614</x:v>
      </x:c>
      <x:c r="I2203" s="52" t="n">
        <x:v>0.7961538461538461</x:v>
      </x:c>
      <x:c r="J2203" s="52" t="n">
        <x:v>0.5940704247468006</x:v>
      </x:c>
      <x:c r="K2203" s="60" t="n">
        <x:v>4560.84</x:v>
      </x:c>
      <x:c r="L2203" s="60" t="n">
        <x:v>533.96</x:v>
      </x:c>
      <x:c r="M2203" s="50" t="n">
        <x:v>207</x:v>
      </x:c>
      <x:c r="N2203" s="50" t="n">
        <x:v>53</x:v>
      </x:c>
      <x:c r="O2203" s="50" t="n">
        <x:v>170</x:v>
      </x:c>
      <x:c r="P2203" s="50" t="n">
        <x:v>22</x:v>
      </x:c>
    </x:row>
    <x:row r="2204" ht="36" customHeight="1">
      <x:c r="A2204" s="53" t="n">
        <x:v>2185</x:v>
      </x:c>
      <x:c r="B2204" s="53" t="n">
        <x:v>1</x:v>
      </x:c>
      <x:c r="C2204" s="40" t="str">
        <x:v>High-Value Frequent Shoppers</x:v>
      </x:c>
      <x:c r="D2204" s="60" t="n">
        <x:v>8550.73</x:v>
      </x:c>
      <x:c r="E2204" s="50" t="n">
        <x:v>105</x:v>
      </x:c>
      <x:c r="F2204" s="46" t="n">
        <x:v>4.375</x:v>
      </x:c>
      <x:c r="G2204" s="46" t="n">
        <x:v>1</x:v>
      </x:c>
      <x:c r="H2204" s="61" t="n">
        <x:v>81.43552380952383</x:v>
      </x:c>
      <x:c r="I2204" s="52" t="n">
        <x:v>0.9523809523809524</x:v>
      </x:c>
      <x:c r="J2204" s="52" t="n">
        <x:v>0.4037655264521274</x:v>
      </x:c>
      <x:c r="K2204" s="60" t="n">
        <x:v>8448.85</x:v>
      </x:c>
      <x:c r="L2204" s="60" t="n">
        <x:v>101.88</x:v>
      </x:c>
      <x:c r="M2204" s="50" t="n">
        <x:v>100</x:v>
      </x:c>
      <x:c r="N2204" s="50" t="n">
        <x:v>5</x:v>
      </x:c>
      <x:c r="O2204" s="50" t="n">
        <x:v>164</x:v>
      </x:c>
      <x:c r="P2204" s="50" t="n">
        <x:v>24</x:v>
      </x:c>
    </x:row>
    <x:row r="2205" ht="36" customHeight="1">
      <x:c r="A2205" s="53" t="n">
        <x:v>2186</x:v>
      </x:c>
      <x:c r="B2205" s="53" t="n">
        <x:v>1</x:v>
      </x:c>
      <x:c r="C2205" s="40" t="str">
        <x:v>High-Value Frequent Shoppers</x:v>
      </x:c>
      <x:c r="D2205" s="60" t="n">
        <x:v>5469.53</x:v>
      </x:c>
      <x:c r="E2205" s="50" t="n">
        <x:v>112</x:v>
      </x:c>
      <x:c r="F2205" s="46" t="n">
        <x:v>4.869565217391304</x:v>
      </x:c>
      <x:c r="G2205" s="46" t="n">
        <x:v>9</x:v>
      </x:c>
      <x:c r="H2205" s="61" t="n">
        <x:v>48.83508928571429</x:v>
      </x:c>
      <x:c r="I2205" s="52" t="n">
        <x:v>0.8839285714285714</x:v>
      </x:c>
      <x:c r="J2205" s="52" t="n">
        <x:v>0.3941106457044755</x:v>
      </x:c>
      <x:c r="K2205" s="60" t="n">
        <x:v>5249.01</x:v>
      </x:c>
      <x:c r="L2205" s="60" t="n">
        <x:v>220.52</x:v>
      </x:c>
      <x:c r="M2205" s="50" t="n">
        <x:v>99</x:v>
      </x:c>
      <x:c r="N2205" s="50" t="n">
        <x:v>13</x:v>
      </x:c>
      <x:c r="O2205" s="50" t="n">
        <x:v>161</x:v>
      </x:c>
      <x:c r="P2205" s="50" t="n">
        <x:v>23</x:v>
      </x:c>
    </x:row>
    <x:row r="2206" ht="36" customHeight="1">
      <x:c r="A2206" s="53" t="n">
        <x:v>2187</x:v>
      </x:c>
      <x:c r="B2206" s="53" t="n">
        <x:v>2</x:v>
      </x:c>
      <x:c r="C2206" s="40" t="str">
        <x:v>Large-Basket Occasional Shoppers</x:v>
      </x:c>
      <x:c r="D2206" s="60" t="n">
        <x:v>2667.13</x:v>
      </x:c>
      <x:c r="E2206" s="50" t="n">
        <x:v>46</x:v>
      </x:c>
      <x:c r="F2206" s="46" t="n">
        <x:v>2.555555555555556</x:v>
      </x:c>
      <x:c r="G2206" s="46" t="n">
        <x:v>20</x:v>
      </x:c>
      <x:c r="H2206" s="61" t="n">
        <x:v>57.981086956521736</x:v>
      </x:c>
      <x:c r="I2206" s="52" t="n">
        <x:v>0.934782608695652</x:v>
      </x:c>
      <x:c r="J2206" s="52" t="n">
        <x:v>0.6051486054298065</x:v>
      </x:c>
      <x:c r="K2206" s="60" t="n">
        <x:v>2601.77</x:v>
      </x:c>
      <x:c r="L2206" s="60" t="n">
        <x:v>65.36</x:v>
      </x:c>
      <x:c r="M2206" s="50" t="n">
        <x:v>43</x:v>
      </x:c>
      <x:c r="N2206" s="50" t="n">
        <x:v>3</x:v>
      </x:c>
      <x:c r="O2206" s="50" t="n">
        <x:v>103</x:v>
      </x:c>
      <x:c r="P2206" s="50" t="n">
        <x:v>18</x:v>
      </x:c>
    </x:row>
    <x:row r="2207" ht="36" customHeight="1">
      <x:c r="A2207" s="53" t="n">
        <x:v>2188</x:v>
      </x:c>
      <x:c r="B2207" s="53" t="n">
        <x:v>1</x:v>
      </x:c>
      <x:c r="C2207" s="40" t="str">
        <x:v>High-Value Frequent Shoppers</x:v>
      </x:c>
      <x:c r="D2207" s="60" t="n">
        <x:v>3917.34</x:v>
      </x:c>
      <x:c r="E2207" s="50" t="n">
        <x:v>129</x:v>
      </x:c>
      <x:c r="F2207" s="46" t="n">
        <x:v>6.142857142857143</x:v>
      </x:c>
      <x:c r="G2207" s="46" t="n">
        <x:v>2</x:v>
      </x:c>
      <x:c r="H2207" s="61" t="n">
        <x:v>30.366976744186047</x:v>
      </x:c>
      <x:c r="I2207" s="52" t="n">
        <x:v>0.9457364341085271</x:v>
      </x:c>
      <x:c r="J2207" s="52" t="n">
        <x:v>0.4785236920971883</x:v>
      </x:c>
      <x:c r="K2207" s="60" t="n">
        <x:v>3843.76</x:v>
      </x:c>
      <x:c r="L2207" s="60" t="n">
        <x:v>73.58</x:v>
      </x:c>
      <x:c r="M2207" s="50" t="n">
        <x:v>122</x:v>
      </x:c>
      <x:c r="N2207" s="50" t="n">
        <x:v>7</x:v>
      </x:c>
      <x:c r="O2207" s="50" t="n">
        <x:v>140</x:v>
      </x:c>
      <x:c r="P2207" s="50" t="n">
        <x:v>21</x:v>
      </x:c>
    </x:row>
    <x:row r="2208" ht="36" customHeight="1">
      <x:c r="A2208" s="53" t="n">
        <x:v>2189</x:v>
      </x:c>
      <x:c r="B2208" s="53" t="n">
        <x:v>3</x:v>
      </x:c>
      <x:c r="C2208" s="40" t="str">
        <x:v>Low-Value Low-Engagement Shoppers</x:v>
      </x:c>
      <x:c r="D2208" s="60" t="n">
        <x:v>1335.47</x:v>
      </x:c>
      <x:c r="E2208" s="50" t="n">
        <x:v>91</x:v>
      </x:c>
      <x:c r="F2208" s="46" t="n">
        <x:v>4.333333333333333</x:v>
      </x:c>
      <x:c r="G2208" s="46" t="n">
        <x:v>3</x:v>
      </x:c>
      <x:c r="H2208" s="61" t="n">
        <x:v>14.675494505494504</x:v>
      </x:c>
      <x:c r="I2208" s="52" t="n">
        <x:v>0.7582417582417582</x:v>
      </x:c>
      <x:c r="J2208" s="52" t="n">
        <x:v>0.4833279669329898</x:v>
      </x:c>
      <x:c r="K2208" s="60" t="n">
        <x:v>1085.93</x:v>
      </x:c>
      <x:c r="L2208" s="60" t="n">
        <x:v>249.54</x:v>
      </x:c>
      <x:c r="M2208" s="50" t="n">
        <x:v>69</x:v>
      </x:c>
      <x:c r="N2208" s="50" t="n">
        <x:v>22</x:v>
      </x:c>
      <x:c r="O2208" s="50" t="n">
        <x:v>58</x:v>
      </x:c>
      <x:c r="P2208" s="50" t="n">
        <x:v>21</x:v>
      </x:c>
    </x:row>
    <x:row r="2209" ht="36" customHeight="1">
      <x:c r="A2209" s="53" t="n">
        <x:v>2190</x:v>
      </x:c>
      <x:c r="B2209" s="53" t="n">
        <x:v>1</x:v>
      </x:c>
      <x:c r="C2209" s="40" t="str">
        <x:v>High-Value Frequent Shoppers</x:v>
      </x:c>
      <x:c r="D2209" s="60" t="n">
        <x:v>9520.85</x:v>
      </x:c>
      <x:c r="E2209" s="50" t="n">
        <x:v>225</x:v>
      </x:c>
      <x:c r="F2209" s="46" t="n">
        <x:v>10.227272727272728</x:v>
      </x:c>
      <x:c r="G2209" s="46" t="n">
        <x:v>0</x:v>
      </x:c>
      <x:c r="H2209" s="61" t="n">
        <x:v>42.31488888888889</x:v>
      </x:c>
      <x:c r="I2209" s="52" t="n">
        <x:v>0.9733333333333332</x:v>
      </x:c>
      <x:c r="J2209" s="52" t="n">
        <x:v>0.6935914335379719</x:v>
      </x:c>
      <x:c r="K2209" s="60" t="n">
        <x:v>9436.79</x:v>
      </x:c>
      <x:c r="L2209" s="60" t="n">
        <x:v>84.06</x:v>
      </x:c>
      <x:c r="M2209" s="50" t="n">
        <x:v>219</x:v>
      </x:c>
      <x:c r="N2209" s="50" t="n">
        <x:v>6</x:v>
      </x:c>
      <x:c r="O2209" s="50" t="n">
        <x:v>186</x:v>
      </x:c>
      <x:c r="P2209" s="50" t="n">
        <x:v>22</x:v>
      </x:c>
    </x:row>
    <x:row r="2210" ht="36" customHeight="1">
      <x:c r="A2210" s="53" t="n">
        <x:v>2191</x:v>
      </x:c>
      <x:c r="B2210" s="53" t="n">
        <x:v>2</x:v>
      </x:c>
      <x:c r="C2210" s="40" t="str">
        <x:v>Large-Basket Occasional Shoppers</x:v>
      </x:c>
      <x:c r="D2210" s="60" t="n">
        <x:v>780.92</x:v>
      </x:c>
      <x:c r="E2210" s="50" t="n">
        <x:v>15</x:v>
      </x:c>
      <x:c r="F2210" s="46" t="n">
        <x:v>1.1538461538461535</x:v>
      </x:c>
      <x:c r="G2210" s="46" t="n">
        <x:v>0</x:v>
      </x:c>
      <x:c r="H2210" s="61" t="n">
        <x:v>52.06133333333333</x:v>
      </x:c>
      <x:c r="I2210" s="52" t="n">
        <x:v>0.6666666666666666</x:v>
      </x:c>
      <x:c r="J2210" s="52" t="n">
        <x:v>0.2017492188700507</x:v>
      </x:c>
      <x:c r="K2210" s="60" t="n">
        <x:v>431.16</x:v>
      </x:c>
      <x:c r="L2210" s="60" t="n">
        <x:v>349.76</x:v>
      </x:c>
      <x:c r="M2210" s="50" t="n">
        <x:v>10</x:v>
      </x:c>
      <x:c r="N2210" s="50" t="n">
        <x:v>5</x:v>
      </x:c>
      <x:c r="O2210" s="50" t="n">
        <x:v>81</x:v>
      </x:c>
      <x:c r="P2210" s="50" t="n">
        <x:v>13</x:v>
      </x:c>
    </x:row>
    <x:row r="2211" ht="36" customHeight="1">
      <x:c r="A2211" s="53" t="n">
        <x:v>2192</x:v>
      </x:c>
      <x:c r="B2211" s="53" t="n">
        <x:v>3</x:v>
      </x:c>
      <x:c r="C2211" s="40" t="str">
        <x:v>Low-Value Low-Engagement Shoppers</x:v>
      </x:c>
      <x:c r="D2211" s="60" t="n">
        <x:v>492.03</x:v>
      </x:c>
      <x:c r="E2211" s="50" t="n">
        <x:v>29</x:v>
      </x:c>
      <x:c r="F2211" s="46" t="n">
        <x:v>1.933333333333333</x:v>
      </x:c>
      <x:c r="G2211" s="46" t="n">
        <x:v>4</x:v>
      </x:c>
      <x:c r="H2211" s="61" t="n">
        <x:v>16.966551724137933</x:v>
      </x:c>
      <x:c r="I2211" s="52" t="n">
        <x:v>0.4827586206896551</x:v>
      </x:c>
      <x:c r="J2211" s="52" t="n">
        <x:v>0.1962481962481962</x:v>
      </x:c>
      <x:c r="K2211" s="60" t="n">
        <x:v>293.92</x:v>
      </x:c>
      <x:c r="L2211" s="60" t="n">
        <x:v>198.11</x:v>
      </x:c>
      <x:c r="M2211" s="50" t="n">
        <x:v>14</x:v>
      </x:c>
      <x:c r="N2211" s="50" t="n">
        <x:v>15</x:v>
      </x:c>
      <x:c r="O2211" s="50" t="n">
        <x:v>48</x:v>
      </x:c>
      <x:c r="P2211" s="50" t="n">
        <x:v>15</x:v>
      </x:c>
    </x:row>
    <x:row r="2212" ht="36" customHeight="1">
      <x:c r="A2212" s="53" t="n">
        <x:v>2193</x:v>
      </x:c>
      <x:c r="B2212" s="53" t="n">
        <x:v>1</x:v>
      </x:c>
      <x:c r="C2212" s="40" t="str">
        <x:v>High-Value Frequent Shoppers</x:v>
      </x:c>
      <x:c r="D2212" s="60" t="n">
        <x:v>9155.01</x:v>
      </x:c>
      <x:c r="E2212" s="50" t="n">
        <x:v>116</x:v>
      </x:c>
      <x:c r="F2212" s="46" t="n">
        <x:v>4.833333333333333</x:v>
      </x:c>
      <x:c r="G2212" s="46" t="n">
        <x:v>8</x:v>
      </x:c>
      <x:c r="H2212" s="61" t="n">
        <x:v>78.9225</x:v>
      </x:c>
      <x:c r="I2212" s="52" t="n">
        <x:v>0.896551724137931</x:v>
      </x:c>
      <x:c r="J2212" s="52" t="n">
        <x:v>0.3926997348992518</x:v>
      </x:c>
      <x:c r="K2212" s="60" t="n">
        <x:v>8982.96</x:v>
      </x:c>
      <x:c r="L2212" s="60" t="n">
        <x:v>172.05</x:v>
      </x:c>
      <x:c r="M2212" s="50" t="n">
        <x:v>104</x:v>
      </x:c>
      <x:c r="N2212" s="50" t="n">
        <x:v>12</x:v>
      </x:c>
      <x:c r="O2212" s="50" t="n">
        <x:v>216</x:v>
      </x:c>
      <x:c r="P2212" s="50" t="n">
        <x:v>24</x:v>
      </x:c>
    </x:row>
    <x:row r="2213" ht="36" customHeight="1">
      <x:c r="A2213" s="53" t="n">
        <x:v>2194</x:v>
      </x:c>
      <x:c r="B2213" s="53" t="n">
        <x:v>1</x:v>
      </x:c>
      <x:c r="C2213" s="40" t="str">
        <x:v>High-Value Frequent Shoppers</x:v>
      </x:c>
      <x:c r="D2213" s="60" t="n">
        <x:v>7169.78</x:v>
      </x:c>
      <x:c r="E2213" s="50" t="n">
        <x:v>404</x:v>
      </x:c>
      <x:c r="F2213" s="46" t="n">
        <x:v>16.833333333333332</x:v>
      </x:c>
      <x:c r="G2213" s="46" t="n">
        <x:v>0</x:v>
      </x:c>
      <x:c r="H2213" s="61" t="n">
        <x:v>17.746980198019802</x:v>
      </x:c>
      <x:c r="I2213" s="52" t="n">
        <x:v>0.8217821782178217</x:v>
      </x:c>
      <x:c r="J2213" s="52" t="n">
        <x:v>0.5032497510383861</x:v>
      </x:c>
      <x:c r="K2213" s="60" t="n">
        <x:v>6687.69</x:v>
      </x:c>
      <x:c r="L2213" s="60" t="n">
        <x:v>482.09</x:v>
      </x:c>
      <x:c r="M2213" s="50" t="n">
        <x:v>332</x:v>
      </x:c>
      <x:c r="N2213" s="50" t="n">
        <x:v>72</x:v>
      </x:c>
      <x:c r="O2213" s="50" t="n">
        <x:v>160</x:v>
      </x:c>
      <x:c r="P2213" s="50" t="n">
        <x:v>24</x:v>
      </x:c>
    </x:row>
    <x:row r="2214" ht="36" customHeight="1">
      <x:c r="A2214" s="53" t="n">
        <x:v>2195</x:v>
      </x:c>
      <x:c r="B2214" s="53" t="n">
        <x:v>3</x:v>
      </x:c>
      <x:c r="C2214" s="40" t="str">
        <x:v>Low-Value Low-Engagement Shoppers</x:v>
      </x:c>
      <x:c r="D2214" s="60" t="n">
        <x:v>1180.72</x:v>
      </x:c>
      <x:c r="E2214" s="50" t="n">
        <x:v>84</x:v>
      </x:c>
      <x:c r="F2214" s="46" t="n">
        <x:v>4</x:v>
      </x:c>
      <x:c r="G2214" s="46" t="n">
        <x:v>6</x:v>
      </x:c>
      <x:c r="H2214" s="61" t="n">
        <x:v>14.056190476190476</x:v>
      </x:c>
      <x:c r="I2214" s="52" t="n">
        <x:v>0.869047619047619</x:v>
      </x:c>
      <x:c r="J2214" s="52" t="n">
        <x:v>0.6472067890778508</x:v>
      </x:c>
      <x:c r="K2214" s="60" t="n">
        <x:v>1133.55</x:v>
      </x:c>
      <x:c r="L2214" s="60" t="n">
        <x:v>47.17</x:v>
      </x:c>
      <x:c r="M2214" s="50" t="n">
        <x:v>73</x:v>
      </x:c>
      <x:c r="N2214" s="50" t="n">
        <x:v>11</x:v>
      </x:c>
      <x:c r="O2214" s="50" t="n">
        <x:v>93</x:v>
      </x:c>
      <x:c r="P2214" s="50" t="n">
        <x:v>21</x:v>
      </x:c>
    </x:row>
    <x:row r="2215" ht="36" customHeight="1">
      <x:c r="A2215" s="53" t="n">
        <x:v>2196</x:v>
      </x:c>
      <x:c r="B2215" s="53" t="n">
        <x:v>2</x:v>
      </x:c>
      <x:c r="C2215" s="40" t="str">
        <x:v>Large-Basket Occasional Shoppers</x:v>
      </x:c>
      <x:c r="D2215" s="60" t="n">
        <x:v>1153.05</x:v>
      </x:c>
      <x:c r="E2215" s="50" t="n">
        <x:v>65</x:v>
      </x:c>
      <x:c r="F2215" s="46" t="n">
        <x:v>3.095238095238096</x:v>
      </x:c>
      <x:c r="G2215" s="46" t="n">
        <x:v>2</x:v>
      </x:c>
      <x:c r="H2215" s="61" t="n">
        <x:v>17.73923076923077</x:v>
      </x:c>
      <x:c r="I2215" s="52" t="n">
        <x:v>0.9692307692307692</x:v>
      </x:c>
      <x:c r="J2215" s="52" t="n">
        <x:v>0.7134382724079614</x:v>
      </x:c>
      <x:c r="K2215" s="60" t="n">
        <x:v>1144.49</x:v>
      </x:c>
      <x:c r="L2215" s="60" t="n">
        <x:v>8.56</x:v>
      </x:c>
      <x:c r="M2215" s="50" t="n">
        <x:v>63</x:v>
      </x:c>
      <x:c r="N2215" s="50" t="n">
        <x:v>2</x:v>
      </x:c>
      <x:c r="O2215" s="50" t="n">
        <x:v>88</x:v>
      </x:c>
      <x:c r="P2215" s="50" t="n">
        <x:v>21</x:v>
      </x:c>
    </x:row>
    <x:row r="2216" ht="36" customHeight="1">
      <x:c r="A2216" s="53" t="n">
        <x:v>2197</x:v>
      </x:c>
      <x:c r="B2216" s="53" t="n">
        <x:v>3</x:v>
      </x:c>
      <x:c r="C2216" s="40" t="str">
        <x:v>Low-Value Low-Engagement Shoppers</x:v>
      </x:c>
      <x:c r="D2216" s="60" t="n">
        <x:v>670.43</x:v>
      </x:c>
      <x:c r="E2216" s="50" t="n">
        <x:v>48</x:v>
      </x:c>
      <x:c r="F2216" s="46" t="n">
        <x:v>2.4</x:v>
      </x:c>
      <x:c r="G2216" s="46" t="n">
        <x:v>10</x:v>
      </x:c>
      <x:c r="H2216" s="61" t="n">
        <x:v>13.967291666666666</x:v>
      </x:c>
      <x:c r="I2216" s="52" t="n">
        <x:v>0.8958333333333333</x:v>
      </x:c>
      <x:c r="J2216" s="52" t="n">
        <x:v>0.533403934788121</x:v>
      </x:c>
      <x:c r="K2216" s="60" t="n">
        <x:v>648.38</x:v>
      </x:c>
      <x:c r="L2216" s="60" t="n">
        <x:v>22.05</x:v>
      </x:c>
      <x:c r="M2216" s="50" t="n">
        <x:v>43</x:v>
      </x:c>
      <x:c r="N2216" s="50" t="n">
        <x:v>5</x:v>
      </x:c>
      <x:c r="O2216" s="50" t="n">
        <x:v>74</x:v>
      </x:c>
      <x:c r="P2216" s="50" t="n">
        <x:v>20</x:v>
      </x:c>
    </x:row>
    <x:row r="2217" ht="36" customHeight="1">
      <x:c r="A2217" s="53" t="n">
        <x:v>2198</x:v>
      </x:c>
      <x:c r="B2217" s="53" t="n">
        <x:v>1</x:v>
      </x:c>
      <x:c r="C2217" s="40" t="str">
        <x:v>High-Value Frequent Shoppers</x:v>
      </x:c>
      <x:c r="D2217" s="60" t="n">
        <x:v>7205.88</x:v>
      </x:c>
      <x:c r="E2217" s="50" t="n">
        <x:v>403</x:v>
      </x:c>
      <x:c r="F2217" s="46" t="n">
        <x:v>17.52173913043478</x:v>
      </x:c>
      <x:c r="G2217" s="46" t="n">
        <x:v>0</x:v>
      </x:c>
      <x:c r="H2217" s="61" t="n">
        <x:v>17.88059553349876</x:v>
      </x:c>
      <x:c r="I2217" s="52" t="n">
        <x:v>0.7692307692307692</x:v>
      </x:c>
      <x:c r="J2217" s="52" t="n">
        <x:v>0.4686103570972594</x:v>
      </x:c>
      <x:c r="K2217" s="60" t="n">
        <x:v>6401.1</x:v>
      </x:c>
      <x:c r="L2217" s="60" t="n">
        <x:v>804.78</x:v>
      </x:c>
      <x:c r="M2217" s="50" t="n">
        <x:v>310</x:v>
      </x:c>
      <x:c r="N2217" s="50" t="n">
        <x:v>93</x:v>
      </x:c>
      <x:c r="O2217" s="50" t="n">
        <x:v>179</x:v>
      </x:c>
      <x:c r="P2217" s="50" t="n">
        <x:v>23</x:v>
      </x:c>
    </x:row>
    <x:row r="2218" ht="36" customHeight="1">
      <x:c r="A2218" s="53" t="n">
        <x:v>2199</x:v>
      </x:c>
      <x:c r="B2218" s="53" t="n">
        <x:v>1</x:v>
      </x:c>
      <x:c r="C2218" s="40" t="str">
        <x:v>High-Value Frequent Shoppers</x:v>
      </x:c>
      <x:c r="D2218" s="60" t="n">
        <x:v>5639.17</x:v>
      </x:c>
      <x:c r="E2218" s="50" t="n">
        <x:v>155</x:v>
      </x:c>
      <x:c r="F2218" s="46" t="n">
        <x:v>7.3809523809523805</x:v>
      </x:c>
      <x:c r="G2218" s="46" t="n">
        <x:v>5</x:v>
      </x:c>
      <x:c r="H2218" s="61" t="n">
        <x:v>36.38174193548387</x:v>
      </x:c>
      <x:c r="I2218" s="52" t="n">
        <x:v>0.9677419354838708</x:v>
      </x:c>
      <x:c r="J2218" s="52" t="n">
        <x:v>0.6391632101887335</x:v>
      </x:c>
      <x:c r="K2218" s="60" t="n">
        <x:v>5533.87</x:v>
      </x:c>
      <x:c r="L2218" s="60" t="n">
        <x:v>105.3</x:v>
      </x:c>
      <x:c r="M2218" s="50" t="n">
        <x:v>150</x:v>
      </x:c>
      <x:c r="N2218" s="50" t="n">
        <x:v>5</x:v>
      </x:c>
      <x:c r="O2218" s="50" t="n">
        <x:v>116</x:v>
      </x:c>
      <x:c r="P2218" s="50" t="n">
        <x:v>21</x:v>
      </x:c>
    </x:row>
    <x:row r="2219" ht="36" customHeight="1">
      <x:c r="A2219" s="53" t="n">
        <x:v>2200</x:v>
      </x:c>
      <x:c r="B2219" s="53" t="n">
        <x:v>1</x:v>
      </x:c>
      <x:c r="C2219" s="40" t="str">
        <x:v>High-Value Frequent Shoppers</x:v>
      </x:c>
      <x:c r="D2219" s="60" t="n">
        <x:v>8673.11</x:v>
      </x:c>
      <x:c r="E2219" s="50" t="n">
        <x:v>196</x:v>
      </x:c>
      <x:c r="F2219" s="46" t="n">
        <x:v>8.166666666666666</x:v>
      </x:c>
      <x:c r="G2219" s="46" t="n">
        <x:v>5</x:v>
      </x:c>
      <x:c r="H2219" s="61" t="n">
        <x:v>44.2505612244898</x:v>
      </x:c>
      <x:c r="I2219" s="52" t="n">
        <x:v>0.9336734693877552</x:v>
      </x:c>
      <x:c r="J2219" s="52" t="n">
        <x:v>0.6601772605213124</x:v>
      </x:c>
      <x:c r="K2219" s="60" t="n">
        <x:v>8548.99</x:v>
      </x:c>
      <x:c r="L2219" s="60" t="n">
        <x:v>124.12</x:v>
      </x:c>
      <x:c r="M2219" s="50" t="n">
        <x:v>183</x:v>
      </x:c>
      <x:c r="N2219" s="50" t="n">
        <x:v>13</x:v>
      </x:c>
      <x:c r="O2219" s="50" t="n">
        <x:v>157</x:v>
      </x:c>
      <x:c r="P2219" s="50" t="n">
        <x:v>24</x:v>
      </x:c>
    </x:row>
    <x:row r="2220" ht="36" customHeight="1">
      <x:c r="A2220" s="53" t="n">
        <x:v>2201</x:v>
      </x:c>
      <x:c r="B2220" s="53" t="n">
        <x:v>3</x:v>
      </x:c>
      <x:c r="C2220" s="40" t="str">
        <x:v>Low-Value Low-Engagement Shoppers</x:v>
      </x:c>
      <x:c r="D2220" s="60" t="n">
        <x:v>27.51</x:v>
      </x:c>
      <x:c r="E2220" s="50" t="n">
        <x:v>2</x:v>
      </x:c>
      <x:c r="F2220" s="46" t="n">
        <x:v>1</x:v>
      </x:c>
      <x:c r="G2220" s="46" t="n">
        <x:v>639</x:v>
      </x:c>
      <x:c r="H2220" s="61" t="n">
        <x:v>13.755</x:v>
      </x:c>
      <x:c r="I2220" s="52" t="n">
        <x:v>1</x:v>
      </x:c>
      <x:c r="J2220" s="52" t="n">
        <x:v>0.6743002544529262</x:v>
      </x:c>
      <x:c r="K2220" s="60" t="n">
        <x:v>27.51</x:v>
      </x:c>
      <x:c r="L2220" s="60" t="n">
        <x:v>0</x:v>
      </x:c>
      <x:c r="M2220" s="50" t="n">
        <x:v>2</x:v>
      </x:c>
      <x:c r="N2220" s="50" t="n">
        <x:v>0</x:v>
      </x:c>
      <x:c r="O2220" s="50" t="n">
        <x:v>10</x:v>
      </x:c>
      <x:c r="P2220" s="50" t="n">
        <x:v>2</x:v>
      </x:c>
    </x:row>
    <x:row r="2221" ht="36" customHeight="1">
      <x:c r="A2221" s="53" t="n">
        <x:v>2202</x:v>
      </x:c>
      <x:c r="B2221" s="53" t="n">
        <x:v>3</x:v>
      </x:c>
      <x:c r="C2221" s="40" t="str">
        <x:v>Low-Value Low-Engagement Shoppers</x:v>
      </x:c>
      <x:c r="D2221" s="60" t="n">
        <x:v>319.9</x:v>
      </x:c>
      <x:c r="E2221" s="50" t="n">
        <x:v>18</x:v>
      </x:c>
      <x:c r="F2221" s="46" t="n">
        <x:v>1.6363636363636365</x:v>
      </x:c>
      <x:c r="G2221" s="46" t="n">
        <x:v>0</x:v>
      </x:c>
      <x:c r="H2221" s="61" t="n">
        <x:v>17.772222222222222</x:v>
      </x:c>
      <x:c r="I2221" s="52" t="n">
        <x:v>0.9444444444444444</x:v>
      </x:c>
      <x:c r="J2221" s="52" t="n">
        <x:v>0.5681775554860894</x:v>
      </x:c>
      <x:c r="K2221" s="60" t="n">
        <x:v>302.26</x:v>
      </x:c>
      <x:c r="L2221" s="60" t="n">
        <x:v>17.64</x:v>
      </x:c>
      <x:c r="M2221" s="50" t="n">
        <x:v>17</x:v>
      </x:c>
      <x:c r="N2221" s="50" t="n">
        <x:v>1</x:v>
      </x:c>
      <x:c r="O2221" s="50" t="n">
        <x:v>52</x:v>
      </x:c>
      <x:c r="P2221" s="50" t="n">
        <x:v>11</x:v>
      </x:c>
    </x:row>
    <x:row r="2222" ht="36" customHeight="1">
      <x:c r="A2222" s="53" t="n">
        <x:v>2203</x:v>
      </x:c>
      <x:c r="B2222" s="53" t="n">
        <x:v>1</x:v>
      </x:c>
      <x:c r="C2222" s="40" t="str">
        <x:v>High-Value Frequent Shoppers</x:v>
      </x:c>
      <x:c r="D2222" s="60" t="n">
        <x:v>5239.09</x:v>
      </x:c>
      <x:c r="E2222" s="50" t="n">
        <x:v>103</x:v>
      </x:c>
      <x:c r="F2222" s="46" t="n">
        <x:v>4.478260869565218</x:v>
      </x:c>
      <x:c r="G2222" s="46" t="n">
        <x:v>0</x:v>
      </x:c>
      <x:c r="H2222" s="61" t="n">
        <x:v>50.86495145631068</x:v>
      </x:c>
      <x:c r="I2222" s="52" t="n">
        <x:v>0.8155339805825242</x:v>
      </x:c>
      <x:c r="J2222" s="52" t="n">
        <x:v>0.3280283407996426</x:v>
      </x:c>
      <x:c r="K2222" s="60" t="n">
        <x:v>4878.01</x:v>
      </x:c>
      <x:c r="L2222" s="60" t="n">
        <x:v>361.08</x:v>
      </x:c>
      <x:c r="M2222" s="50" t="n">
        <x:v>84</x:v>
      </x:c>
      <x:c r="N2222" s="50" t="n">
        <x:v>19</x:v>
      </x:c>
      <x:c r="O2222" s="50" t="n">
        <x:v>155</x:v>
      </x:c>
      <x:c r="P2222" s="50" t="n">
        <x:v>23</x:v>
      </x:c>
    </x:row>
    <x:row r="2223" ht="36" customHeight="1">
      <x:c r="A2223" s="53" t="n">
        <x:v>2204</x:v>
      </x:c>
      <x:c r="B2223" s="53" t="n">
        <x:v>1</x:v>
      </x:c>
      <x:c r="C2223" s="40" t="str">
        <x:v>High-Value Frequent Shoppers</x:v>
      </x:c>
      <x:c r="D2223" s="60" t="n">
        <x:v>2646.05</x:v>
      </x:c>
      <x:c r="E2223" s="50" t="n">
        <x:v>190</x:v>
      </x:c>
      <x:c r="F2223" s="46" t="n">
        <x:v>9.047619047619047</x:v>
      </x:c>
      <x:c r="G2223" s="46" t="n">
        <x:v>10</x:v>
      </x:c>
      <x:c r="H2223" s="61" t="n">
        <x:v>13.92657894736842</x:v>
      </x:c>
      <x:c r="I2223" s="52" t="n">
        <x:v>0.8157894736842105</x:v>
      </x:c>
      <x:c r="J2223" s="52" t="n">
        <x:v>0.537567317322046</x:v>
      </x:c>
      <x:c r="K2223" s="60" t="n">
        <x:v>2361.87</x:v>
      </x:c>
      <x:c r="L2223" s="60" t="n">
        <x:v>284.18</x:v>
      </x:c>
      <x:c r="M2223" s="50" t="n">
        <x:v>155</x:v>
      </x:c>
      <x:c r="N2223" s="50" t="n">
        <x:v>35</x:v>
      </x:c>
      <x:c r="O2223" s="50" t="n">
        <x:v>127</x:v>
      </x:c>
      <x:c r="P2223" s="50" t="n">
        <x:v>21</x:v>
      </x:c>
    </x:row>
    <x:row r="2224" ht="36" customHeight="1">
      <x:c r="A2224" s="53" t="n">
        <x:v>2205</x:v>
      </x:c>
      <x:c r="B2224" s="53" t="n">
        <x:v>1</x:v>
      </x:c>
      <x:c r="C2224" s="40" t="str">
        <x:v>High-Value Frequent Shoppers</x:v>
      </x:c>
      <x:c r="D2224" s="60" t="n">
        <x:v>1978.76</x:v>
      </x:c>
      <x:c r="E2224" s="50" t="n">
        <x:v>107</x:v>
      </x:c>
      <x:c r="F2224" s="46" t="n">
        <x:v>5.095238095238095</x:v>
      </x:c>
      <x:c r="G2224" s="46" t="n">
        <x:v>3</x:v>
      </x:c>
      <x:c r="H2224" s="61" t="n">
        <x:v>18.49308411214953</x:v>
      </x:c>
      <x:c r="I2224" s="52" t="n">
        <x:v>0.9158878504672896</x:v>
      </x:c>
      <x:c r="J2224" s="52" t="n">
        <x:v>0.5735612201580788</x:v>
      </x:c>
      <x:c r="K2224" s="60" t="n">
        <x:v>1937.9</x:v>
      </x:c>
      <x:c r="L2224" s="60" t="n">
        <x:v>40.86</x:v>
      </x:c>
      <x:c r="M2224" s="50" t="n">
        <x:v>98</x:v>
      </x:c>
      <x:c r="N2224" s="50" t="n">
        <x:v>9</x:v>
      </x:c>
      <x:c r="O2224" s="50" t="n">
        <x:v>127</x:v>
      </x:c>
      <x:c r="P2224" s="50" t="n">
        <x:v>21</x:v>
      </x:c>
    </x:row>
    <x:row r="2225" ht="36" customHeight="1">
      <x:c r="A2225" s="53" t="n">
        <x:v>2206</x:v>
      </x:c>
      <x:c r="B2225" s="53" t="n">
        <x:v>3</x:v>
      </x:c>
      <x:c r="C2225" s="40" t="str">
        <x:v>Low-Value Low-Engagement Shoppers</x:v>
      </x:c>
      <x:c r="D2225" s="60" t="n">
        <x:v>502.25</x:v>
      </x:c>
      <x:c r="E2225" s="50" t="n">
        <x:v>41</x:v>
      </x:c>
      <x:c r="F2225" s="46" t="n">
        <x:v>2.05</x:v>
      </x:c>
      <x:c r="G2225" s="46" t="n">
        <x:v>0</x:v>
      </x:c>
      <x:c r="H2225" s="61" t="n">
        <x:v>12.25</x:v>
      </x:c>
      <x:c r="I2225" s="52" t="n">
        <x:v>0.902439024390244</x:v>
      </x:c>
      <x:c r="J2225" s="52" t="n">
        <x:v>0.4160079641612742</x:v>
      </x:c>
      <x:c r="K2225" s="60" t="n">
        <x:v>492.38</x:v>
      </x:c>
      <x:c r="L2225" s="60" t="n">
        <x:v>9.87</x:v>
      </x:c>
      <x:c r="M2225" s="50" t="n">
        <x:v>37</x:v>
      </x:c>
      <x:c r="N2225" s="50" t="n">
        <x:v>4</x:v>
      </x:c>
      <x:c r="O2225" s="50" t="n">
        <x:v>65</x:v>
      </x:c>
      <x:c r="P2225" s="50" t="n">
        <x:v>20</x:v>
      </x:c>
    </x:row>
    <x:row r="2226" ht="36" customHeight="1">
      <x:c r="A2226" s="53" t="n">
        <x:v>2207</x:v>
      </x:c>
      <x:c r="B2226" s="53" t="n">
        <x:v>1</x:v>
      </x:c>
      <x:c r="C2226" s="40" t="str">
        <x:v>High-Value Frequent Shoppers</x:v>
      </x:c>
      <x:c r="D2226" s="60" t="n">
        <x:v>4866.06</x:v>
      </x:c>
      <x:c r="E2226" s="50" t="n">
        <x:v>371</x:v>
      </x:c>
      <x:c r="F2226" s="46" t="n">
        <x:v>16.863636363636363</x:v>
      </x:c>
      <x:c r="G2226" s="46" t="n">
        <x:v>17</x:v>
      </x:c>
      <x:c r="H2226" s="61" t="n">
        <x:v>13.116064690026954</x:v>
      </x:c>
      <x:c r="I2226" s="52" t="n">
        <x:v>0.8571428571428571</x:v>
      </x:c>
      <x:c r="J2226" s="52" t="n">
        <x:v>0.4788185924546758</x:v>
      </x:c>
      <x:c r="K2226" s="60" t="n">
        <x:v>4675.84</x:v>
      </x:c>
      <x:c r="L2226" s="60" t="n">
        <x:v>190.22</x:v>
      </x:c>
      <x:c r="M2226" s="50" t="n">
        <x:v>318</x:v>
      </x:c>
      <x:c r="N2226" s="50" t="n">
        <x:v>53</x:v>
      </x:c>
      <x:c r="O2226" s="50" t="n">
        <x:v>189</x:v>
      </x:c>
      <x:c r="P2226" s="50" t="n">
        <x:v>22</x:v>
      </x:c>
    </x:row>
    <x:row r="2227" ht="36" customHeight="1">
      <x:c r="A2227" s="53" t="n">
        <x:v>2208</x:v>
      </x:c>
      <x:c r="B2227" s="53" t="n">
        <x:v>1</x:v>
      </x:c>
      <x:c r="C2227" s="40" t="str">
        <x:v>High-Value Frequent Shoppers</x:v>
      </x:c>
      <x:c r="D2227" s="60" t="n">
        <x:v>9456.83</x:v>
      </x:c>
      <x:c r="E2227" s="50" t="n">
        <x:v>193</x:v>
      </x:c>
      <x:c r="F2227" s="46" t="n">
        <x:v>8.391304347826086</x:v>
      </x:c>
      <x:c r="G2227" s="46" t="n">
        <x:v>13</x:v>
      </x:c>
      <x:c r="H2227" s="61" t="n">
        <x:v>48.99911917098446</x:v>
      </x:c>
      <x:c r="I2227" s="52" t="n">
        <x:v>0.8860103626943004</x:v>
      </x:c>
      <x:c r="J2227" s="52" t="n">
        <x:v>0.4405746957489983</x:v>
      </x:c>
      <x:c r="K2227" s="60" t="n">
        <x:v>9248.21</x:v>
      </x:c>
      <x:c r="L2227" s="60" t="n">
        <x:v>208.62</x:v>
      </x:c>
      <x:c r="M2227" s="50" t="n">
        <x:v>171</x:v>
      </x:c>
      <x:c r="N2227" s="50" t="n">
        <x:v>22</x:v>
      </x:c>
      <x:c r="O2227" s="50" t="n">
        <x:v>182</x:v>
      </x:c>
      <x:c r="P2227" s="50" t="n">
        <x:v>23</x:v>
      </x:c>
    </x:row>
    <x:row r="2228" ht="36" customHeight="1">
      <x:c r="A2228" s="53" t="n">
        <x:v>2209</x:v>
      </x:c>
      <x:c r="B2228" s="53" t="n">
        <x:v>1</x:v>
      </x:c>
      <x:c r="C2228" s="40" t="str">
        <x:v>High-Value Frequent Shoppers</x:v>
      </x:c>
      <x:c r="D2228" s="60" t="n">
        <x:v>6996.68</x:v>
      </x:c>
      <x:c r="E2228" s="50" t="n">
        <x:v>232</x:v>
      </x:c>
      <x:c r="F2228" s="46" t="n">
        <x:v>10.545454545454543</x:v>
      </x:c>
      <x:c r="G2228" s="46" t="n">
        <x:v>2</x:v>
      </x:c>
      <x:c r="H2228" s="61" t="n">
        <x:v>30.158103448275863</x:v>
      </x:c>
      <x:c r="I2228" s="52" t="n">
        <x:v>0.8275862068965517</x:v>
      </x:c>
      <x:c r="J2228" s="52" t="n">
        <x:v>0.5273701241160093</x:v>
      </x:c>
      <x:c r="K2228" s="60" t="n">
        <x:v>6593.51</x:v>
      </x:c>
      <x:c r="L2228" s="60" t="n">
        <x:v>403.17</x:v>
      </x:c>
      <x:c r="M2228" s="50" t="n">
        <x:v>192</x:v>
      </x:c>
      <x:c r="N2228" s="50" t="n">
        <x:v>40</x:v>
      </x:c>
      <x:c r="O2228" s="50" t="n">
        <x:v>191</x:v>
      </x:c>
      <x:c r="P2228" s="50" t="n">
        <x:v>22</x:v>
      </x:c>
    </x:row>
    <x:row r="2229" ht="36" customHeight="1">
      <x:c r="A2229" s="53" t="n">
        <x:v>2210</x:v>
      </x:c>
      <x:c r="B2229" s="53" t="n">
        <x:v>2</x:v>
      </x:c>
      <x:c r="C2229" s="40" t="str">
        <x:v>Large-Basket Occasional Shoppers</x:v>
      </x:c>
      <x:c r="D2229" s="60" t="n">
        <x:v>1727.97</x:v>
      </x:c>
      <x:c r="E2229" s="50" t="n">
        <x:v>34</x:v>
      </x:c>
      <x:c r="F2229" s="46" t="n">
        <x:v>2.833333333333333</x:v>
      </x:c>
      <x:c r="G2229" s="46" t="n">
        <x:v>63</x:v>
      </x:c>
      <x:c r="H2229" s="61" t="n">
        <x:v>50.82264705882353</x:v>
      </x:c>
      <x:c r="I2229" s="52" t="n">
        <x:v>0.7647058823529411</x:v>
      </x:c>
      <x:c r="J2229" s="52" t="n">
        <x:v>0.4746494441454423</x:v>
      </x:c>
      <x:c r="K2229" s="60" t="n">
        <x:v>1629.53</x:v>
      </x:c>
      <x:c r="L2229" s="60" t="n">
        <x:v>98.44</x:v>
      </x:c>
      <x:c r="M2229" s="50" t="n">
        <x:v>26</x:v>
      </x:c>
      <x:c r="N2229" s="50" t="n">
        <x:v>8</x:v>
      </x:c>
      <x:c r="O2229" s="50" t="n">
        <x:v>101</x:v>
      </x:c>
      <x:c r="P2229" s="50" t="n">
        <x:v>12</x:v>
      </x:c>
    </x:row>
    <x:row r="2230" ht="36" customHeight="1">
      <x:c r="A2230" s="53" t="n">
        <x:v>2211</x:v>
      </x:c>
      <x:c r="B2230" s="53" t="n">
        <x:v>2</x:v>
      </x:c>
      <x:c r="C2230" s="40" t="str">
        <x:v>Large-Basket Occasional Shoppers</x:v>
      </x:c>
      <x:c r="D2230" s="60" t="n">
        <x:v>2292.52</x:v>
      </x:c>
      <x:c r="E2230" s="50" t="n">
        <x:v>78</x:v>
      </x:c>
      <x:c r="F2230" s="46" t="n">
        <x:v>4.105263157894737</x:v>
      </x:c>
      <x:c r="G2230" s="46" t="n">
        <x:v>4</x:v>
      </x:c>
      <x:c r="H2230" s="61" t="n">
        <x:v>29.391282051282047</x:v>
      </x:c>
      <x:c r="I2230" s="52" t="n">
        <x:v>0.8461538461538461</x:v>
      </x:c>
      <x:c r="J2230" s="52" t="n">
        <x:v>0.5349397169926543</x:v>
      </x:c>
      <x:c r="K2230" s="60" t="n">
        <x:v>2241.46</x:v>
      </x:c>
      <x:c r="L2230" s="60" t="n">
        <x:v>51.06</x:v>
      </x:c>
      <x:c r="M2230" s="50" t="n">
        <x:v>66</x:v>
      </x:c>
      <x:c r="N2230" s="50" t="n">
        <x:v>12</x:v>
      </x:c>
      <x:c r="O2230" s="50" t="n">
        <x:v>132</x:v>
      </x:c>
      <x:c r="P2230" s="50" t="n">
        <x:v>19</x:v>
      </x:c>
    </x:row>
    <x:row r="2231" ht="36" customHeight="1">
      <x:c r="A2231" s="53" t="n">
        <x:v>2212</x:v>
      </x:c>
      <x:c r="B2231" s="53" t="n">
        <x:v>3</x:v>
      </x:c>
      <x:c r="C2231" s="40" t="str">
        <x:v>Low-Value Low-Engagement Shoppers</x:v>
      </x:c>
      <x:c r="D2231" s="60" t="n">
        <x:v>251.33</x:v>
      </x:c>
      <x:c r="E2231" s="50" t="n">
        <x:v>46</x:v>
      </x:c>
      <x:c r="F2231" s="46" t="n">
        <x:v>3.8333333333333326</x:v>
      </x:c>
      <x:c r="G2231" s="46" t="n">
        <x:v>32</x:v>
      </x:c>
      <x:c r="H2231" s="61" t="n">
        <x:v>5.463695652173913</x:v>
      </x:c>
      <x:c r="I2231" s="52" t="n">
        <x:v>0.8043478260869565</x:v>
      </x:c>
      <x:c r="J2231" s="52" t="n">
        <x:v>0.4654040504515975</x:v>
      </x:c>
      <x:c r="K2231" s="60" t="n">
        <x:v>197.97</x:v>
      </x:c>
      <x:c r="L2231" s="60" t="n">
        <x:v>53.36</x:v>
      </x:c>
      <x:c r="M2231" s="50" t="n">
        <x:v>37</x:v>
      </x:c>
      <x:c r="N2231" s="50" t="n">
        <x:v>9</x:v>
      </x:c>
      <x:c r="O2231" s="50" t="n">
        <x:v>14</x:v>
      </x:c>
      <x:c r="P2231" s="50" t="n">
        <x:v>12</x:v>
      </x:c>
    </x:row>
    <x:row r="2232" ht="36" customHeight="1">
      <x:c r="A2232" s="53" t="n">
        <x:v>2213</x:v>
      </x:c>
      <x:c r="B2232" s="53" t="n">
        <x:v>2</x:v>
      </x:c>
      <x:c r="C2232" s="40" t="str">
        <x:v>Large-Basket Occasional Shoppers</x:v>
      </x:c>
      <x:c r="D2232" s="60" t="n">
        <x:v>3505.21</x:v>
      </x:c>
      <x:c r="E2232" s="50" t="n">
        <x:v>55</x:v>
      </x:c>
      <x:c r="F2232" s="46" t="n">
        <x:v>2.619047619047619</x:v>
      </x:c>
      <x:c r="G2232" s="46" t="n">
        <x:v>19</x:v>
      </x:c>
      <x:c r="H2232" s="61" t="n">
        <x:v>63.7310909090909</x:v>
      </x:c>
      <x:c r="I2232" s="52" t="n">
        <x:v>0.8</x:v>
      </x:c>
      <x:c r="J2232" s="52" t="n">
        <x:v>0.4307045797541374</x:v>
      </x:c>
      <x:c r="K2232" s="60" t="n">
        <x:v>3382.74</x:v>
      </x:c>
      <x:c r="L2232" s="60" t="n">
        <x:v>122.47</x:v>
      </x:c>
      <x:c r="M2232" s="50" t="n">
        <x:v>44</x:v>
      </x:c>
      <x:c r="N2232" s="50" t="n">
        <x:v>11</x:v>
      </x:c>
      <x:c r="O2232" s="50" t="n">
        <x:v>158</x:v>
      </x:c>
      <x:c r="P2232" s="50" t="n">
        <x:v>21</x:v>
      </x:c>
    </x:row>
    <x:row r="2233" ht="36" customHeight="1">
      <x:c r="A2233" s="53" t="n">
        <x:v>2214</x:v>
      </x:c>
      <x:c r="B2233" s="53" t="n">
        <x:v>3</x:v>
      </x:c>
      <x:c r="C2233" s="40" t="str">
        <x:v>Low-Value Low-Engagement Shoppers</x:v>
      </x:c>
      <x:c r="D2233" s="60" t="n">
        <x:v>450.87</x:v>
      </x:c>
      <x:c r="E2233" s="50" t="n">
        <x:v>15</x:v>
      </x:c>
      <x:c r="F2233" s="46" t="n">
        <x:v>1.3636363636363635</x:v>
      </x:c>
      <x:c r="G2233" s="46" t="n">
        <x:v>0</x:v>
      </x:c>
      <x:c r="H2233" s="61" t="n">
        <x:v>30.058</x:v>
      </x:c>
      <x:c r="I2233" s="52" t="n">
        <x:v>0.6666666666666666</x:v>
      </x:c>
      <x:c r="J2233" s="52" t="n">
        <x:v>0.41116064497527</x:v>
      </x:c>
      <x:c r="K2233" s="60" t="n">
        <x:v>407.36</x:v>
      </x:c>
      <x:c r="L2233" s="60" t="n">
        <x:v>43.51</x:v>
      </x:c>
      <x:c r="M2233" s="50" t="n">
        <x:v>10</x:v>
      </x:c>
      <x:c r="N2233" s="50" t="n">
        <x:v>5</x:v>
      </x:c>
      <x:c r="O2233" s="50" t="n">
        <x:v>55</x:v>
      </x:c>
      <x:c r="P2233" s="50" t="n">
        <x:v>11</x:v>
      </x:c>
    </x:row>
    <x:row r="2234" ht="36" customHeight="1">
      <x:c r="A2234" s="53" t="n">
        <x:v>2215</x:v>
      </x:c>
      <x:c r="B2234" s="53" t="n">
        <x:v>1</x:v>
      </x:c>
      <x:c r="C2234" s="40" t="str">
        <x:v>High-Value Frequent Shoppers</x:v>
      </x:c>
      <x:c r="D2234" s="60" t="n">
        <x:v>2402.11</x:v>
      </x:c>
      <x:c r="E2234" s="50" t="n">
        <x:v>132</x:v>
      </x:c>
      <x:c r="F2234" s="46" t="n">
        <x:v>5.739130434782608</x:v>
      </x:c>
      <x:c r="G2234" s="46" t="n">
        <x:v>0</x:v>
      </x:c>
      <x:c r="H2234" s="61" t="n">
        <x:v>18.19780303030303</x:v>
      </x:c>
      <x:c r="I2234" s="52" t="n">
        <x:v>0.9166666666666666</x:v>
      </x:c>
      <x:c r="J2234" s="52" t="n">
        <x:v>0.4523190028766376</x:v>
      </x:c>
      <x:c r="K2234" s="60" t="n">
        <x:v>2269.84</x:v>
      </x:c>
      <x:c r="L2234" s="60" t="n">
        <x:v>132.27</x:v>
      </x:c>
      <x:c r="M2234" s="50" t="n">
        <x:v>121</x:v>
      </x:c>
      <x:c r="N2234" s="50" t="n">
        <x:v>11</x:v>
      </x:c>
      <x:c r="O2234" s="50" t="n">
        <x:v>108</x:v>
      </x:c>
      <x:c r="P2234" s="50" t="n">
        <x:v>23</x:v>
      </x:c>
    </x:row>
    <x:row r="2235" ht="36" customHeight="1">
      <x:c r="A2235" s="53" t="n">
        <x:v>2216</x:v>
      </x:c>
      <x:c r="B2235" s="53" t="n">
        <x:v>3</x:v>
      </x:c>
      <x:c r="C2235" s="40" t="str">
        <x:v>Low-Value Low-Engagement Shoppers</x:v>
      </x:c>
      <x:c r="D2235" s="60" t="n">
        <x:v>454.57</x:v>
      </x:c>
      <x:c r="E2235" s="50" t="n">
        <x:v>34</x:v>
      </x:c>
      <x:c r="F2235" s="46" t="n">
        <x:v>2</x:v>
      </x:c>
      <x:c r="G2235" s="46" t="n">
        <x:v>2</x:v>
      </x:c>
      <x:c r="H2235" s="61" t="n">
        <x:v>13.36970588235294</x:v>
      </x:c>
      <x:c r="I2235" s="52" t="n">
        <x:v>0.6176470588235294</x:v>
      </x:c>
      <x:c r="J2235" s="52" t="n">
        <x:v>0.4302087687264887</x:v>
      </x:c>
      <x:c r="K2235" s="60" t="n">
        <x:v>332.45</x:v>
      </x:c>
      <x:c r="L2235" s="60" t="n">
        <x:v>122.12</x:v>
      </x:c>
      <x:c r="M2235" s="50" t="n">
        <x:v>21</x:v>
      </x:c>
      <x:c r="N2235" s="50" t="n">
        <x:v>13</x:v>
      </x:c>
      <x:c r="O2235" s="50" t="n">
        <x:v>62</x:v>
      </x:c>
      <x:c r="P2235" s="50" t="n">
        <x:v>17</x:v>
      </x:c>
    </x:row>
    <x:row r="2236" ht="36" customHeight="1">
      <x:c r="A2236" s="53" t="n">
        <x:v>2217</x:v>
      </x:c>
      <x:c r="B2236" s="53" t="n">
        <x:v>1</x:v>
      </x:c>
      <x:c r="C2236" s="40" t="str">
        <x:v>High-Value Frequent Shoppers</x:v>
      </x:c>
      <x:c r="D2236" s="60" t="n">
        <x:v>4430.01</x:v>
      </x:c>
      <x:c r="E2236" s="50" t="n">
        <x:v>192</x:v>
      </x:c>
      <x:c r="F2236" s="46" t="n">
        <x:v>9.142857142857144</x:v>
      </x:c>
      <x:c r="G2236" s="46" t="n">
        <x:v>3</x:v>
      </x:c>
      <x:c r="H2236" s="61" t="n">
        <x:v>23.07296875</x:v>
      </x:c>
      <x:c r="I2236" s="52" t="n">
        <x:v>0.9166666666666666</x:v>
      </x:c>
      <x:c r="J2236" s="52" t="n">
        <x:v>0.5628520025914162</x:v>
      </x:c>
      <x:c r="K2236" s="60" t="n">
        <x:v>4302.86</x:v>
      </x:c>
      <x:c r="L2236" s="60" t="n">
        <x:v>127.15</x:v>
      </x:c>
      <x:c r="M2236" s="50" t="n">
        <x:v>176</x:v>
      </x:c>
      <x:c r="N2236" s="50" t="n">
        <x:v>16</x:v>
      </x:c>
      <x:c r="O2236" s="50" t="n">
        <x:v>178</x:v>
      </x:c>
      <x:c r="P2236" s="50" t="n">
        <x:v>21</x:v>
      </x:c>
    </x:row>
    <x:row r="2237" ht="36" customHeight="1">
      <x:c r="A2237" s="53" t="n">
        <x:v>2218</x:v>
      </x:c>
      <x:c r="B2237" s="53" t="n">
        <x:v>2</x:v>
      </x:c>
      <x:c r="C2237" s="40" t="str">
        <x:v>Large-Basket Occasional Shoppers</x:v>
      </x:c>
      <x:c r="D2237" s="60" t="n">
        <x:v>975.25</x:v>
      </x:c>
      <x:c r="E2237" s="50" t="n">
        <x:v>19</x:v>
      </x:c>
      <x:c r="F2237" s="46" t="n">
        <x:v>1.3571428571428572</x:v>
      </x:c>
      <x:c r="G2237" s="46" t="n">
        <x:v>2</x:v>
      </x:c>
      <x:c r="H2237" s="61" t="n">
        <x:v>51.32894736842105</x:v>
      </x:c>
      <x:c r="I2237" s="52" t="n">
        <x:v>1</x:v>
      </x:c>
      <x:c r="J2237" s="52" t="n">
        <x:v>0.6586618815688285</x:v>
      </x:c>
      <x:c r="K2237" s="60" t="n">
        <x:v>975.25</x:v>
      </x:c>
      <x:c r="L2237" s="60" t="n">
        <x:v>0</x:v>
      </x:c>
      <x:c r="M2237" s="50" t="n">
        <x:v>19</x:v>
      </x:c>
      <x:c r="N2237" s="50" t="n">
        <x:v>0</x:v>
      </x:c>
      <x:c r="O2237" s="50" t="n">
        <x:v>101</x:v>
      </x:c>
      <x:c r="P2237" s="50" t="n">
        <x:v>14</x:v>
      </x:c>
    </x:row>
    <x:row r="2238" ht="36" customHeight="1">
      <x:c r="A2238" s="53" t="n">
        <x:v>2219</x:v>
      </x:c>
      <x:c r="B2238" s="53" t="n">
        <x:v>2</x:v>
      </x:c>
      <x:c r="C2238" s="40" t="str">
        <x:v>Large-Basket Occasional Shoppers</x:v>
      </x:c>
      <x:c r="D2238" s="60" t="n">
        <x:v>1077.42</x:v>
      </x:c>
      <x:c r="E2238" s="50" t="n">
        <x:v>23</x:v>
      </x:c>
      <x:c r="F2238" s="46" t="n">
        <x:v>1.9166666666666667</x:v>
      </x:c>
      <x:c r="G2238" s="46" t="n">
        <x:v>9</x:v>
      </x:c>
      <x:c r="H2238" s="61" t="n">
        <x:v>46.84434782608696</x:v>
      </x:c>
      <x:c r="I2238" s="52" t="n">
        <x:v>0.8695652173913043</x:v>
      </x:c>
      <x:c r="J2238" s="52" t="n">
        <x:v>0.8868686306175864</x:v>
      </x:c>
      <x:c r="K2238" s="60" t="n">
        <x:v>998.73</x:v>
      </x:c>
      <x:c r="L2238" s="60" t="n">
        <x:v>78.69</x:v>
      </x:c>
      <x:c r="M2238" s="50" t="n">
        <x:v>20</x:v>
      </x:c>
      <x:c r="N2238" s="50" t="n">
        <x:v>3</x:v>
      </x:c>
      <x:c r="O2238" s="50" t="n">
        <x:v>23</x:v>
      </x:c>
      <x:c r="P2238" s="50" t="n">
        <x:v>12</x:v>
      </x:c>
    </x:row>
    <x:row r="2239" ht="36" customHeight="1">
      <x:c r="A2239" s="53" t="n">
        <x:v>2220</x:v>
      </x:c>
      <x:c r="B2239" s="53" t="n">
        <x:v>3</x:v>
      </x:c>
      <x:c r="C2239" s="40" t="str">
        <x:v>Low-Value Low-Engagement Shoppers</x:v>
      </x:c>
      <x:c r="D2239" s="60" t="n">
        <x:v>215.58</x:v>
      </x:c>
      <x:c r="E2239" s="50" t="n">
        <x:v>12</x:v>
      </x:c>
      <x:c r="F2239" s="46" t="n">
        <x:v>1.3333333333333333</x:v>
      </x:c>
      <x:c r="G2239" s="46" t="n">
        <x:v>67</x:v>
      </x:c>
      <x:c r="H2239" s="61" t="n">
        <x:v>17.965</x:v>
      </x:c>
      <x:c r="I2239" s="52" t="n">
        <x:v>0.75</x:v>
      </x:c>
      <x:c r="J2239" s="52" t="n">
        <x:v>0.5944892847202894</x:v>
      </x:c>
      <x:c r="K2239" s="60" t="n">
        <x:v>180.36</x:v>
      </x:c>
      <x:c r="L2239" s="60" t="n">
        <x:v>35.22</x:v>
      </x:c>
      <x:c r="M2239" s="50" t="n">
        <x:v>9</x:v>
      </x:c>
      <x:c r="N2239" s="50" t="n">
        <x:v>3</x:v>
      </x:c>
      <x:c r="O2239" s="50" t="n">
        <x:v>27</x:v>
      </x:c>
      <x:c r="P2239" s="50" t="n">
        <x:v>9</x:v>
      </x:c>
    </x:row>
    <x:row r="2240" ht="36" customHeight="1">
      <x:c r="A2240" s="53" t="n">
        <x:v>2221</x:v>
      </x:c>
      <x:c r="B2240" s="53" t="n">
        <x:v>1</x:v>
      </x:c>
      <x:c r="C2240" s="40" t="str">
        <x:v>High-Value Frequent Shoppers</x:v>
      </x:c>
      <x:c r="D2240" s="60" t="n">
        <x:v>2301.4</x:v>
      </x:c>
      <x:c r="E2240" s="50" t="n">
        <x:v>113</x:v>
      </x:c>
      <x:c r="F2240" s="46" t="n">
        <x:v>5.3809523809523805</x:v>
      </x:c>
      <x:c r="G2240" s="46" t="n">
        <x:v>2</x:v>
      </x:c>
      <x:c r="H2240" s="61" t="n">
        <x:v>20.366371681415927</x:v>
      </x:c>
      <x:c r="I2240" s="52" t="n">
        <x:v>0.991150442477876</x:v>
      </x:c>
      <x:c r="J2240" s="52" t="n">
        <x:v>0.6062614061006343</x:v>
      </x:c>
      <x:c r="K2240" s="60" t="n">
        <x:v>2298.71</x:v>
      </x:c>
      <x:c r="L2240" s="60" t="n">
        <x:v>2.69</x:v>
      </x:c>
      <x:c r="M2240" s="50" t="n">
        <x:v>112</x:v>
      </x:c>
      <x:c r="N2240" s="50" t="n">
        <x:v>1</x:v>
      </x:c>
      <x:c r="O2240" s="50" t="n">
        <x:v>116</x:v>
      </x:c>
      <x:c r="P2240" s="50" t="n">
        <x:v>21</x:v>
      </x:c>
    </x:row>
    <x:row r="2241" ht="36" customHeight="1">
      <x:c r="A2241" s="53" t="n">
        <x:v>2222</x:v>
      </x:c>
      <x:c r="B2241" s="53" t="n">
        <x:v>2</x:v>
      </x:c>
      <x:c r="C2241" s="40" t="str">
        <x:v>Large-Basket Occasional Shoppers</x:v>
      </x:c>
      <x:c r="D2241" s="60" t="n">
        <x:v>3076.27</x:v>
      </x:c>
      <x:c r="E2241" s="50" t="n">
        <x:v>40</x:v>
      </x:c>
      <x:c r="F2241" s="46" t="n">
        <x:v>1.9047619047619049</x:v>
      </x:c>
      <x:c r="G2241" s="46" t="n">
        <x:v>4</x:v>
      </x:c>
      <x:c r="H2241" s="61" t="n">
        <x:v>76.90675</x:v>
      </x:c>
      <x:c r="I2241" s="52" t="n">
        <x:v>1</x:v>
      </x:c>
      <x:c r="J2241" s="52" t="n">
        <x:v>0.5426214213966915</x:v>
      </x:c>
      <x:c r="K2241" s="60" t="n">
        <x:v>3076.27</x:v>
      </x:c>
      <x:c r="L2241" s="60" t="n">
        <x:v>0</x:v>
      </x:c>
      <x:c r="M2241" s="50" t="n">
        <x:v>40</x:v>
      </x:c>
      <x:c r="N2241" s="50" t="n">
        <x:v>0</x:v>
      </x:c>
      <x:c r="O2241" s="50" t="n">
        <x:v>133</x:v>
      </x:c>
      <x:c r="P2241" s="50" t="n">
        <x:v>21</x:v>
      </x:c>
    </x:row>
    <x:row r="2242" ht="36" customHeight="1">
      <x:c r="A2242" s="53" t="n">
        <x:v>2223</x:v>
      </x:c>
      <x:c r="B2242" s="53" t="n">
        <x:v>3</x:v>
      </x:c>
      <x:c r="C2242" s="40" t="str">
        <x:v>Low-Value Low-Engagement Shoppers</x:v>
      </x:c>
      <x:c r="D2242" s="60" t="n">
        <x:v>2059.76</x:v>
      </x:c>
      <x:c r="E2242" s="50" t="n">
        <x:v>298</x:v>
      </x:c>
      <x:c r="F2242" s="46" t="n">
        <x:v>15.684210526315788</x:v>
      </x:c>
      <x:c r="G2242" s="46" t="n">
        <x:v>30</x:v>
      </x:c>
      <x:c r="H2242" s="61" t="n">
        <x:v>6.911946308724832</x:v>
      </x:c>
      <x:c r="I2242" s="52" t="n">
        <x:v>0.674496644295302</x:v>
      </x:c>
      <x:c r="J2242" s="52" t="n">
        <x:v>0.4108828212995688</x:v>
      </x:c>
      <x:c r="K2242" s="60" t="n">
        <x:v>1575.56</x:v>
      </x:c>
      <x:c r="L2242" s="60" t="n">
        <x:v>484.2</x:v>
      </x:c>
      <x:c r="M2242" s="50" t="n">
        <x:v>201</x:v>
      </x:c>
      <x:c r="N2242" s="50" t="n">
        <x:v>97</x:v>
      </x:c>
      <x:c r="O2242" s="50" t="n">
        <x:v>117</x:v>
      </x:c>
      <x:c r="P2242" s="50" t="n">
        <x:v>19</x:v>
      </x:c>
    </x:row>
    <x:row r="2243" ht="36" customHeight="1">
      <x:c r="A2243" s="53" t="n">
        <x:v>2224</x:v>
      </x:c>
      <x:c r="B2243" s="53" t="n">
        <x:v>1</x:v>
      </x:c>
      <x:c r="C2243" s="40" t="str">
        <x:v>High-Value Frequent Shoppers</x:v>
      </x:c>
      <x:c r="D2243" s="60" t="n">
        <x:v>3984.1</x:v>
      </x:c>
      <x:c r="E2243" s="50" t="n">
        <x:v>106</x:v>
      </x:c>
      <x:c r="F2243" s="46" t="n">
        <x:v>4.416666666666666</x:v>
      </x:c>
      <x:c r="G2243" s="46" t="n">
        <x:v>0</x:v>
      </x:c>
      <x:c r="H2243" s="61" t="n">
        <x:v>37.58584905660377</x:v>
      </x:c>
      <x:c r="I2243" s="52" t="n">
        <x:v>0.9622641509433962</x:v>
      </x:c>
      <x:c r="J2243" s="52" t="n">
        <x:v>0.5686052056926281</x:v>
      </x:c>
      <x:c r="K2243" s="60" t="n">
        <x:v>3962.54</x:v>
      </x:c>
      <x:c r="L2243" s="60" t="n">
        <x:v>21.56</x:v>
      </x:c>
      <x:c r="M2243" s="50" t="n">
        <x:v>102</x:v>
      </x:c>
      <x:c r="N2243" s="50" t="n">
        <x:v>4</x:v>
      </x:c>
      <x:c r="O2243" s="50" t="n">
        <x:v>136</x:v>
      </x:c>
      <x:c r="P2243" s="50" t="n">
        <x:v>24</x:v>
      </x:c>
    </x:row>
    <x:row r="2244" ht="36" customHeight="1">
      <x:c r="A2244" s="53" t="n">
        <x:v>2225</x:v>
      </x:c>
      <x:c r="B2244" s="53" t="n">
        <x:v>1</x:v>
      </x:c>
      <x:c r="C2244" s="40" t="str">
        <x:v>High-Value Frequent Shoppers</x:v>
      </x:c>
      <x:c r="D2244" s="60" t="n">
        <x:v>3352.07</x:v>
      </x:c>
      <x:c r="E2244" s="50" t="n">
        <x:v>98</x:v>
      </x:c>
      <x:c r="F2244" s="46" t="n">
        <x:v>4.260869565217392</x:v>
      </x:c>
      <x:c r="G2244" s="46" t="n">
        <x:v>0</x:v>
      </x:c>
      <x:c r="H2244" s="61" t="n">
        <x:v>34.204795918367346</x:v>
      </x:c>
      <x:c r="I2244" s="52" t="n">
        <x:v>0.8673469387755102</x:v>
      </x:c>
      <x:c r="J2244" s="52" t="n">
        <x:v>0.4067934142186768</x:v>
      </x:c>
      <x:c r="K2244" s="60" t="n">
        <x:v>3130.97</x:v>
      </x:c>
      <x:c r="L2244" s="60" t="n">
        <x:v>221.1</x:v>
      </x:c>
      <x:c r="M2244" s="50" t="n">
        <x:v>85</x:v>
      </x:c>
      <x:c r="N2244" s="50" t="n">
        <x:v>13</x:v>
      </x:c>
      <x:c r="O2244" s="50" t="n">
        <x:v>145</x:v>
      </x:c>
      <x:c r="P2244" s="50" t="n">
        <x:v>23</x:v>
      </x:c>
    </x:row>
    <x:row r="2245" ht="36" customHeight="1">
      <x:c r="A2245" s="53" t="n">
        <x:v>2226</x:v>
      </x:c>
      <x:c r="B2245" s="53" t="n">
        <x:v>1</x:v>
      </x:c>
      <x:c r="C2245" s="40" t="str">
        <x:v>High-Value Frequent Shoppers</x:v>
      </x:c>
      <x:c r="D2245" s="60" t="n">
        <x:v>8917.54</x:v>
      </x:c>
      <x:c r="E2245" s="50" t="n">
        <x:v>640</x:v>
      </x:c>
      <x:c r="F2245" s="46" t="n">
        <x:v>30.47619047619048</x:v>
      </x:c>
      <x:c r="G2245" s="46" t="n">
        <x:v>1</x:v>
      </x:c>
      <x:c r="H2245" s="61" t="n">
        <x:v>13.93365625</x:v>
      </x:c>
      <x:c r="I2245" s="52" t="n">
        <x:v>0.771875</x:v>
      </x:c>
      <x:c r="J2245" s="52" t="n">
        <x:v>0.609952969092373</x:v>
      </x:c>
      <x:c r="K2245" s="60" t="n">
        <x:v>7938.55</x:v>
      </x:c>
      <x:c r="L2245" s="60" t="n">
        <x:v>978.99</x:v>
      </x:c>
      <x:c r="M2245" s="50" t="n">
        <x:v>494</x:v>
      </x:c>
      <x:c r="N2245" s="50" t="n">
        <x:v>146</x:v>
      </x:c>
      <x:c r="O2245" s="50" t="n">
        <x:v>206</x:v>
      </x:c>
      <x:c r="P2245" s="50" t="n">
        <x:v>21</x:v>
      </x:c>
    </x:row>
    <x:row r="2246" ht="36" customHeight="1">
      <x:c r="A2246" s="53" t="n">
        <x:v>2227</x:v>
      </x:c>
      <x:c r="B2246" s="53" t="n">
        <x:v>1</x:v>
      </x:c>
      <x:c r="C2246" s="40" t="str">
        <x:v>High-Value Frequent Shoppers</x:v>
      </x:c>
      <x:c r="D2246" s="60" t="n">
        <x:v>4893.9</x:v>
      </x:c>
      <x:c r="E2246" s="50" t="n">
        <x:v>173</x:v>
      </x:c>
      <x:c r="F2246" s="46" t="n">
        <x:v>9.105263157894736</x:v>
      </x:c>
      <x:c r="G2246" s="46" t="n">
        <x:v>61</x:v>
      </x:c>
      <x:c r="H2246" s="61" t="n">
        <x:v>28.28843930635838</x:v>
      </x:c>
      <x:c r="I2246" s="52" t="n">
        <x:v>0.9190751445086704</x:v>
      </x:c>
      <x:c r="J2246" s="52" t="n">
        <x:v>0.5137926806841169</x:v>
      </x:c>
      <x:c r="K2246" s="60" t="n">
        <x:v>4738.42</x:v>
      </x:c>
      <x:c r="L2246" s="60" t="n">
        <x:v>155.48</x:v>
      </x:c>
      <x:c r="M2246" s="50" t="n">
        <x:v>159</x:v>
      </x:c>
      <x:c r="N2246" s="50" t="n">
        <x:v>14</x:v>
      </x:c>
      <x:c r="O2246" s="50" t="n">
        <x:v>156</x:v>
      </x:c>
      <x:c r="P2246" s="50" t="n">
        <x:v>19</x:v>
      </x:c>
    </x:row>
    <x:row r="2247" ht="36" customHeight="1">
      <x:c r="A2247" s="53" t="n">
        <x:v>2228</x:v>
      </x:c>
      <x:c r="B2247" s="53" t="n">
        <x:v>1</x:v>
      </x:c>
      <x:c r="C2247" s="40" t="str">
        <x:v>High-Value Frequent Shoppers</x:v>
      </x:c>
      <x:c r="D2247" s="60" t="n">
        <x:v>5298.05</x:v>
      </x:c>
      <x:c r="E2247" s="50" t="n">
        <x:v>202</x:v>
      </x:c>
      <x:c r="F2247" s="46" t="n">
        <x:v>11.22222222222222</x:v>
      </x:c>
      <x:c r="G2247" s="46" t="n">
        <x:v>11</x:v>
      </x:c>
      <x:c r="H2247" s="61" t="n">
        <x:v>26.227970297029703</x:v>
      </x:c>
      <x:c r="I2247" s="52" t="n">
        <x:v>0.7821782178217821</x:v>
      </x:c>
      <x:c r="J2247" s="52" t="n">
        <x:v>0.4507696227857419</x:v>
      </x:c>
      <x:c r="K2247" s="60" t="n">
        <x:v>4793.59</x:v>
      </x:c>
      <x:c r="L2247" s="60" t="n">
        <x:v>504.46</x:v>
      </x:c>
      <x:c r="M2247" s="50" t="n">
        <x:v>158</x:v>
      </x:c>
      <x:c r="N2247" s="50" t="n">
        <x:v>44</x:v>
      </x:c>
      <x:c r="O2247" s="50" t="n">
        <x:v>177</x:v>
      </x:c>
      <x:c r="P2247" s="50" t="n">
        <x:v>18</x:v>
      </x:c>
    </x:row>
    <x:row r="2248" ht="36" customHeight="1">
      <x:c r="A2248" s="53" t="n">
        <x:v>2229</x:v>
      </x:c>
      <x:c r="B2248" s="53" t="n">
        <x:v>2</x:v>
      </x:c>
      <x:c r="C2248" s="40" t="str">
        <x:v>Large-Basket Occasional Shoppers</x:v>
      </x:c>
      <x:c r="D2248" s="60" t="n">
        <x:v>2415.49</x:v>
      </x:c>
      <x:c r="E2248" s="50" t="n">
        <x:v>56</x:v>
      </x:c>
      <x:c r="F2248" s="46" t="n">
        <x:v>3.294117647058824</x:v>
      </x:c>
      <x:c r="G2248" s="46" t="n">
        <x:v>4</x:v>
      </x:c>
      <x:c r="H2248" s="61" t="n">
        <x:v>43.13375</x:v>
      </x:c>
      <x:c r="I2248" s="52" t="n">
        <x:v>0.875</x:v>
      </x:c>
      <x:c r="J2248" s="52" t="n">
        <x:v>0.5431817146831491</x:v>
      </x:c>
      <x:c r="K2248" s="60" t="n">
        <x:v>2338.3</x:v>
      </x:c>
      <x:c r="L2248" s="60" t="n">
        <x:v>77.19</x:v>
      </x:c>
      <x:c r="M2248" s="50" t="n">
        <x:v>49</x:v>
      </x:c>
      <x:c r="N2248" s="50" t="n">
        <x:v>7</x:v>
      </x:c>
      <x:c r="O2248" s="50" t="n">
        <x:v>137</x:v>
      </x:c>
      <x:c r="P2248" s="50" t="n">
        <x:v>17</x:v>
      </x:c>
    </x:row>
    <x:row r="2249" ht="36" customHeight="1">
      <x:c r="A2249" s="53" t="n">
        <x:v>2230</x:v>
      </x:c>
      <x:c r="B2249" s="53" t="n">
        <x:v>2</x:v>
      </x:c>
      <x:c r="C2249" s="40" t="str">
        <x:v>Large-Basket Occasional Shoppers</x:v>
      </x:c>
      <x:c r="D2249" s="60" t="n">
        <x:v>1195.65</x:v>
      </x:c>
      <x:c r="E2249" s="50" t="n">
        <x:v>38</x:v>
      </x:c>
      <x:c r="F2249" s="46" t="n">
        <x:v>2.533333333333333</x:v>
      </x:c>
      <x:c r="G2249" s="46" t="n">
        <x:v>49</x:v>
      </x:c>
      <x:c r="H2249" s="61" t="n">
        <x:v>31.464473684210528</x:v>
      </x:c>
      <x:c r="I2249" s="52" t="n">
        <x:v>0.7631578947368421</x:v>
      </x:c>
      <x:c r="J2249" s="52" t="n">
        <x:v>0.2965667210304018</x:v>
      </x:c>
      <x:c r="K2249" s="60" t="n">
        <x:v>1120.17</x:v>
      </x:c>
      <x:c r="L2249" s="60" t="n">
        <x:v>75.48</x:v>
      </x:c>
      <x:c r="M2249" s="50" t="n">
        <x:v>29</x:v>
      </x:c>
      <x:c r="N2249" s="50" t="n">
        <x:v>9</x:v>
      </x:c>
      <x:c r="O2249" s="50" t="n">
        <x:v>107</x:v>
      </x:c>
      <x:c r="P2249" s="50" t="n">
        <x:v>15</x:v>
      </x:c>
    </x:row>
    <x:row r="2250" ht="36" customHeight="1">
      <x:c r="A2250" s="53" t="n">
        <x:v>2231</x:v>
      </x:c>
      <x:c r="B2250" s="53" t="n">
        <x:v>1</x:v>
      </x:c>
      <x:c r="C2250" s="40" t="str">
        <x:v>High-Value Frequent Shoppers</x:v>
      </x:c>
      <x:c r="D2250" s="60" t="n">
        <x:v>4400.26</x:v>
      </x:c>
      <x:c r="E2250" s="50" t="n">
        <x:v>94</x:v>
      </x:c>
      <x:c r="F2250" s="46" t="n">
        <x:v>4.08695652173913</x:v>
      </x:c>
      <x:c r="G2250" s="46" t="n">
        <x:v>2</x:v>
      </x:c>
      <x:c r="H2250" s="61" t="n">
        <x:v>46.81127659574468</x:v>
      </x:c>
      <x:c r="I2250" s="52" t="n">
        <x:v>0.925531914893617</x:v>
      </x:c>
      <x:c r="J2250" s="52" t="n">
        <x:v>0.4721107389108825</x:v>
      </x:c>
      <x:c r="K2250" s="60" t="n">
        <x:v>4208.94</x:v>
      </x:c>
      <x:c r="L2250" s="60" t="n">
        <x:v>191.32</x:v>
      </x:c>
      <x:c r="M2250" s="50" t="n">
        <x:v>87</x:v>
      </x:c>
      <x:c r="N2250" s="50" t="n">
        <x:v>7</x:v>
      </x:c>
      <x:c r="O2250" s="50" t="n">
        <x:v>175</x:v>
      </x:c>
      <x:c r="P2250" s="50" t="n">
        <x:v>23</x:v>
      </x:c>
    </x:row>
    <x:row r="2251" ht="36" customHeight="1">
      <x:c r="A2251" s="53" t="n">
        <x:v>2232</x:v>
      </x:c>
      <x:c r="B2251" s="53" t="n">
        <x:v>2</x:v>
      </x:c>
      <x:c r="C2251" s="40" t="str">
        <x:v>Large-Basket Occasional Shoppers</x:v>
      </x:c>
      <x:c r="D2251" s="60" t="n">
        <x:v>1131.65</x:v>
      </x:c>
      <x:c r="E2251" s="50" t="n">
        <x:v>37</x:v>
      </x:c>
      <x:c r="F2251" s="46" t="n">
        <x:v>2.176470588235294</x:v>
      </x:c>
      <x:c r="G2251" s="46" t="n">
        <x:v>1</x:v>
      </x:c>
      <x:c r="H2251" s="61" t="n">
        <x:v>30.585135135135133</x:v>
      </x:c>
      <x:c r="I2251" s="52" t="n">
        <x:v>0.8108108108108107</x:v>
      </x:c>
      <x:c r="J2251" s="52" t="n">
        <x:v>0.6413201961737286</x:v>
      </x:c>
      <x:c r="K2251" s="60" t="n">
        <x:v>1064.16</x:v>
      </x:c>
      <x:c r="L2251" s="60" t="n">
        <x:v>67.49</x:v>
      </x:c>
      <x:c r="M2251" s="50" t="n">
        <x:v>30</x:v>
      </x:c>
      <x:c r="N2251" s="50" t="n">
        <x:v>7</x:v>
      </x:c>
      <x:c r="O2251" s="50" t="n">
        <x:v>88</x:v>
      </x:c>
      <x:c r="P2251" s="50" t="n">
        <x:v>17</x:v>
      </x:c>
    </x:row>
    <x:row r="2252" ht="36" customHeight="1">
      <x:c r="A2252" s="53" t="n">
        <x:v>2233</x:v>
      </x:c>
      <x:c r="B2252" s="53" t="n">
        <x:v>1</x:v>
      </x:c>
      <x:c r="C2252" s="40" t="str">
        <x:v>High-Value Frequent Shoppers</x:v>
      </x:c>
      <x:c r="D2252" s="60" t="n">
        <x:v>8440.77</x:v>
      </x:c>
      <x:c r="E2252" s="50" t="n">
        <x:v>273</x:v>
      </x:c>
      <x:c r="F2252" s="46" t="n">
        <x:v>12.409090909090908</x:v>
      </x:c>
      <x:c r="G2252" s="46" t="n">
        <x:v>2</x:v>
      </x:c>
      <x:c r="H2252" s="61" t="n">
        <x:v>30.91857142857143</x:v>
      </x:c>
      <x:c r="I2252" s="52" t="n">
        <x:v>0.8571428571428571</x:v>
      </x:c>
      <x:c r="J2252" s="52" t="n">
        <x:v>0.4582638787693539</x:v>
      </x:c>
      <x:c r="K2252" s="60" t="n">
        <x:v>8029.16</x:v>
      </x:c>
      <x:c r="L2252" s="60" t="n">
        <x:v>411.61</x:v>
      </x:c>
      <x:c r="M2252" s="50" t="n">
        <x:v>234</x:v>
      </x:c>
      <x:c r="N2252" s="50" t="n">
        <x:v>39</x:v>
      </x:c>
      <x:c r="O2252" s="50" t="n">
        <x:v>203</x:v>
      </x:c>
      <x:c r="P2252" s="50" t="n">
        <x:v>22</x:v>
      </x:c>
    </x:row>
    <x:row r="2253" ht="36" customHeight="1">
      <x:c r="A2253" s="53" t="n">
        <x:v>2234</x:v>
      </x:c>
      <x:c r="B2253" s="53" t="n">
        <x:v>1</x:v>
      </x:c>
      <x:c r="C2253" s="40" t="str">
        <x:v>High-Value Frequent Shoppers</x:v>
      </x:c>
      <x:c r="D2253" s="60" t="n">
        <x:v>7971.57</x:v>
      </x:c>
      <x:c r="E2253" s="50" t="n">
        <x:v>189</x:v>
      </x:c>
      <x:c r="F2253" s="46" t="n">
        <x:v>8.590909090909092</x:v>
      </x:c>
      <x:c r="G2253" s="46" t="n">
        <x:v>1</x:v>
      </x:c>
      <x:c r="H2253" s="61" t="n">
        <x:v>42.17761904761905</x:v>
      </x:c>
      <x:c r="I2253" s="52" t="n">
        <x:v>0.9576719576719576</x:v>
      </x:c>
      <x:c r="J2253" s="52" t="n">
        <x:v>0.4932779866450398</x:v>
      </x:c>
      <x:c r="K2253" s="60" t="n">
        <x:v>7825.44</x:v>
      </x:c>
      <x:c r="L2253" s="60" t="n">
        <x:v>146.13</x:v>
      </x:c>
      <x:c r="M2253" s="50" t="n">
        <x:v>181</x:v>
      </x:c>
      <x:c r="N2253" s="50" t="n">
        <x:v>8</x:v>
      </x:c>
      <x:c r="O2253" s="50" t="n">
        <x:v>154</x:v>
      </x:c>
      <x:c r="P2253" s="50" t="n">
        <x:v>22</x:v>
      </x:c>
    </x:row>
    <x:row r="2254" ht="36" customHeight="1">
      <x:c r="A2254" s="53" t="n">
        <x:v>2235</x:v>
      </x:c>
      <x:c r="B2254" s="53" t="n">
        <x:v>1</x:v>
      </x:c>
      <x:c r="C2254" s="40" t="str">
        <x:v>High-Value Frequent Shoppers</x:v>
      </x:c>
      <x:c r="D2254" s="60" t="n">
        <x:v>3824.87</x:v>
      </x:c>
      <x:c r="E2254" s="50" t="n">
        <x:v>89</x:v>
      </x:c>
      <x:c r="F2254" s="46" t="n">
        <x:v>4.684210526315789</x:v>
      </x:c>
      <x:c r="G2254" s="46" t="n">
        <x:v>6</x:v>
      </x:c>
      <x:c r="H2254" s="61" t="n">
        <x:v>42.976067415730334</x:v>
      </x:c>
      <x:c r="I2254" s="52" t="n">
        <x:v>0.8651685393258426</x:v>
      </x:c>
      <x:c r="J2254" s="52" t="n">
        <x:v>0.4195593575729371</x:v>
      </x:c>
      <x:c r="K2254" s="60" t="n">
        <x:v>3486.21</x:v>
      </x:c>
      <x:c r="L2254" s="60" t="n">
        <x:v>338.66</x:v>
      </x:c>
      <x:c r="M2254" s="50" t="n">
        <x:v>77</x:v>
      </x:c>
      <x:c r="N2254" s="50" t="n">
        <x:v>12</x:v>
      </x:c>
      <x:c r="O2254" s="50" t="n">
        <x:v>156</x:v>
      </x:c>
      <x:c r="P2254" s="50" t="n">
        <x:v>19</x:v>
      </x:c>
    </x:row>
    <x:row r="2255" ht="36" customHeight="1">
      <x:c r="A2255" s="53" t="n">
        <x:v>2236</x:v>
      </x:c>
      <x:c r="B2255" s="53" t="n">
        <x:v>1</x:v>
      </x:c>
      <x:c r="C2255" s="40" t="str">
        <x:v>High-Value Frequent Shoppers</x:v>
      </x:c>
      <x:c r="D2255" s="60" t="n">
        <x:v>2880.5</x:v>
      </x:c>
      <x:c r="E2255" s="50" t="n">
        <x:v>219</x:v>
      </x:c>
      <x:c r="F2255" s="46" t="n">
        <x:v>10.95</x:v>
      </x:c>
      <x:c r="G2255" s="46" t="n">
        <x:v>23</x:v>
      </x:c>
      <x:c r="H2255" s="61" t="n">
        <x:v>13.15296803652968</x:v>
      </x:c>
      <x:c r="I2255" s="52" t="n">
        <x:v>0.7260273972602739</x:v>
      </x:c>
      <x:c r="J2255" s="52" t="n">
        <x:v>0.5284047908349244</x:v>
      </x:c>
      <x:c r="K2255" s="60" t="n">
        <x:v>2445.75</x:v>
      </x:c>
      <x:c r="L2255" s="60" t="n">
        <x:v>434.75</x:v>
      </x:c>
      <x:c r="M2255" s="50" t="n">
        <x:v>159</x:v>
      </x:c>
      <x:c r="N2255" s="50" t="n">
        <x:v>60</x:v>
      </x:c>
      <x:c r="O2255" s="50" t="n">
        <x:v>125</x:v>
      </x:c>
      <x:c r="P2255" s="50" t="n">
        <x:v>20</x:v>
      </x:c>
    </x:row>
    <x:row r="2256" ht="36" customHeight="1">
      <x:c r="A2256" s="53" t="n">
        <x:v>2237</x:v>
      </x:c>
      <x:c r="B2256" s="53" t="n">
        <x:v>1</x:v>
      </x:c>
      <x:c r="C2256" s="40" t="str">
        <x:v>High-Value Frequent Shoppers</x:v>
      </x:c>
      <x:c r="D2256" s="60" t="n">
        <x:v>4941.52</x:v>
      </x:c>
      <x:c r="E2256" s="50" t="n">
        <x:v>158</x:v>
      </x:c>
      <x:c r="F2256" s="46" t="n">
        <x:v>7.181818181818182</x:v>
      </x:c>
      <x:c r="G2256" s="46" t="n">
        <x:v>6</x:v>
      </x:c>
      <x:c r="H2256" s="61" t="n">
        <x:v>31.27544303797469</x:v>
      </x:c>
      <x:c r="I2256" s="52" t="n">
        <x:v>0.9113924050632912</x:v>
      </x:c>
      <x:c r="J2256" s="52" t="n">
        <x:v>0.5504804189803946</x:v>
      </x:c>
      <x:c r="K2256" s="60" t="n">
        <x:v>4741.33</x:v>
      </x:c>
      <x:c r="L2256" s="60" t="n">
        <x:v>200.19</x:v>
      </x:c>
      <x:c r="M2256" s="50" t="n">
        <x:v>144</x:v>
      </x:c>
      <x:c r="N2256" s="50" t="n">
        <x:v>14</x:v>
      </x:c>
      <x:c r="O2256" s="50" t="n">
        <x:v>132</x:v>
      </x:c>
      <x:c r="P2256" s="50" t="n">
        <x:v>22</x:v>
      </x:c>
    </x:row>
    <x:row r="2257" ht="36" customHeight="1">
      <x:c r="A2257" s="53" t="n">
        <x:v>2238</x:v>
      </x:c>
      <x:c r="B2257" s="53" t="n">
        <x:v>1</x:v>
      </x:c>
      <x:c r="C2257" s="40" t="str">
        <x:v>High-Value Frequent Shoppers</x:v>
      </x:c>
      <x:c r="D2257" s="60" t="n">
        <x:v>2479.46</x:v>
      </x:c>
      <x:c r="E2257" s="50" t="n">
        <x:v>180</x:v>
      </x:c>
      <x:c r="F2257" s="46" t="n">
        <x:v>9</x:v>
      </x:c>
      <x:c r="G2257" s="46" t="n">
        <x:v>8</x:v>
      </x:c>
      <x:c r="H2257" s="61" t="n">
        <x:v>13.774777777777777</x:v>
      </x:c>
      <x:c r="I2257" s="52" t="n">
        <x:v>0.8555555555555555</x:v>
      </x:c>
      <x:c r="J2257" s="52" t="n">
        <x:v>0.4858154598178635</x:v>
      </x:c>
      <x:c r="K2257" s="60" t="n">
        <x:v>2346.85</x:v>
      </x:c>
      <x:c r="L2257" s="60" t="n">
        <x:v>132.61</x:v>
      </x:c>
      <x:c r="M2257" s="50" t="n">
        <x:v>154</x:v>
      </x:c>
      <x:c r="N2257" s="50" t="n">
        <x:v>26</x:v>
      </x:c>
      <x:c r="O2257" s="50" t="n">
        <x:v>127</x:v>
      </x:c>
      <x:c r="P2257" s="50" t="n">
        <x:v>20</x:v>
      </x:c>
    </x:row>
    <x:row r="2258" ht="36" customHeight="1">
      <x:c r="A2258" s="53" t="n">
        <x:v>2239</x:v>
      </x:c>
      <x:c r="B2258" s="53" t="n">
        <x:v>2</x:v>
      </x:c>
      <x:c r="C2258" s="40" t="str">
        <x:v>Large-Basket Occasional Shoppers</x:v>
      </x:c>
      <x:c r="D2258" s="60" t="n">
        <x:v>1787.48</x:v>
      </x:c>
      <x:c r="E2258" s="50" t="n">
        <x:v>43</x:v>
      </x:c>
      <x:c r="F2258" s="46" t="n">
        <x:v>3.071428571428572</x:v>
      </x:c>
      <x:c r="G2258" s="46" t="n">
        <x:v>20</x:v>
      </x:c>
      <x:c r="H2258" s="61" t="n">
        <x:v>41.5693023255814</x:v>
      </x:c>
      <x:c r="I2258" s="52" t="n">
        <x:v>0.7906976744186046</x:v>
      </x:c>
      <x:c r="J2258" s="52" t="n">
        <x:v>0.5633573522500951</x:v>
      </x:c>
      <x:c r="K2258" s="60" t="n">
        <x:v>1687.86</x:v>
      </x:c>
      <x:c r="L2258" s="60" t="n">
        <x:v>99.62</x:v>
      </x:c>
      <x:c r="M2258" s="50" t="n">
        <x:v>34</x:v>
      </x:c>
      <x:c r="N2258" s="50" t="n">
        <x:v>9</x:v>
      </x:c>
      <x:c r="O2258" s="50" t="n">
        <x:v>110</x:v>
      </x:c>
      <x:c r="P2258" s="50" t="n">
        <x:v>14</x:v>
      </x:c>
    </x:row>
    <x:row r="2259" ht="36" customHeight="1">
      <x:c r="A2259" s="53" t="n">
        <x:v>2240</x:v>
      </x:c>
      <x:c r="B2259" s="53" t="n">
        <x:v>1</x:v>
      </x:c>
      <x:c r="C2259" s="40" t="str">
        <x:v>High-Value Frequent Shoppers</x:v>
      </x:c>
      <x:c r="D2259" s="60" t="n">
        <x:v>5413.2</x:v>
      </x:c>
      <x:c r="E2259" s="50" t="n">
        <x:v>216</x:v>
      </x:c>
      <x:c r="F2259" s="46" t="n">
        <x:v>9</x:v>
      </x:c>
      <x:c r="G2259" s="46" t="n">
        <x:v>0</x:v>
      </x:c>
      <x:c r="H2259" s="61" t="n">
        <x:v>25.061111111111117</x:v>
      </x:c>
      <x:c r="I2259" s="52" t="n">
        <x:v>0.8425925925925924</x:v>
      </x:c>
      <x:c r="J2259" s="52" t="n">
        <x:v>0.5429210079065986</x:v>
      </x:c>
      <x:c r="K2259" s="60" t="n">
        <x:v>5229.73</x:v>
      </x:c>
      <x:c r="L2259" s="60" t="n">
        <x:v>183.47</x:v>
      </x:c>
      <x:c r="M2259" s="50" t="n">
        <x:v>182</x:v>
      </x:c>
      <x:c r="N2259" s="50" t="n">
        <x:v>34</x:v>
      </x:c>
      <x:c r="O2259" s="50" t="n">
        <x:v>132</x:v>
      </x:c>
      <x:c r="P2259" s="50" t="n">
        <x:v>24</x:v>
      </x:c>
    </x:row>
    <x:row r="2260" ht="36" customHeight="1">
      <x:c r="A2260" s="53" t="n">
        <x:v>2241</x:v>
      </x:c>
      <x:c r="B2260" s="53" t="n">
        <x:v>2</x:v>
      </x:c>
      <x:c r="C2260" s="40" t="str">
        <x:v>Large-Basket Occasional Shoppers</x:v>
      </x:c>
      <x:c r="D2260" s="60" t="n">
        <x:v>1505.67</x:v>
      </x:c>
      <x:c r="E2260" s="50" t="n">
        <x:v>78</x:v>
      </x:c>
      <x:c r="F2260" s="46" t="n">
        <x:v>3.5454545454545454</x:v>
      </x:c>
      <x:c r="G2260" s="46" t="n">
        <x:v>0</x:v>
      </x:c>
      <x:c r="H2260" s="61" t="n">
        <x:v>19.303461538461537</x:v>
      </x:c>
      <x:c r="I2260" s="52" t="n">
        <x:v>0.9358974358974358</x:v>
      </x:c>
      <x:c r="J2260" s="52" t="n">
        <x:v>0.6417475276787078</x:v>
      </x:c>
      <x:c r="K2260" s="60" t="n">
        <x:v>1477.68</x:v>
      </x:c>
      <x:c r="L2260" s="60" t="n">
        <x:v>27.99</x:v>
      </x:c>
      <x:c r="M2260" s="50" t="n">
        <x:v>73</x:v>
      </x:c>
      <x:c r="N2260" s="50" t="n">
        <x:v>5</x:v>
      </x:c>
      <x:c r="O2260" s="50" t="n">
        <x:v>108</x:v>
      </x:c>
      <x:c r="P2260" s="50" t="n">
        <x:v>22</x:v>
      </x:c>
    </x:row>
    <x:row r="2261" ht="36" customHeight="1">
      <x:c r="A2261" s="53" t="n">
        <x:v>2242</x:v>
      </x:c>
      <x:c r="B2261" s="53" t="n">
        <x:v>3</x:v>
      </x:c>
      <x:c r="C2261" s="40" t="str">
        <x:v>Low-Value Low-Engagement Shoppers</x:v>
      </x:c>
      <x:c r="D2261" s="60" t="n">
        <x:v>1239.07</x:v>
      </x:c>
      <x:c r="E2261" s="50" t="n">
        <x:v>118</x:v>
      </x:c>
      <x:c r="F2261" s="46" t="n">
        <x:v>5.9</x:v>
      </x:c>
      <x:c r="G2261" s="46" t="n">
        <x:v>2</x:v>
      </x:c>
      <x:c r="H2261" s="61" t="n">
        <x:v>10.500593220338985</x:v>
      </x:c>
      <x:c r="I2261" s="52" t="n">
        <x:v>0.6949152542372881</x:v>
      </x:c>
      <x:c r="J2261" s="52" t="n">
        <x:v>0.5454978330522084</x:v>
      </x:c>
      <x:c r="K2261" s="60" t="n">
        <x:v>1076.01</x:v>
      </x:c>
      <x:c r="L2261" s="60" t="n">
        <x:v>163.06</x:v>
      </x:c>
      <x:c r="M2261" s="50" t="n">
        <x:v>82</x:v>
      </x:c>
      <x:c r="N2261" s="50" t="n">
        <x:v>36</x:v>
      </x:c>
      <x:c r="O2261" s="50" t="n">
        <x:v>138</x:v>
      </x:c>
      <x:c r="P2261" s="50" t="n">
        <x:v>20</x:v>
      </x:c>
    </x:row>
    <x:row r="2262" ht="36" customHeight="1">
      <x:c r="A2262" s="53" t="n">
        <x:v>2243</x:v>
      </x:c>
      <x:c r="B2262" s="53" t="n">
        <x:v>2</x:v>
      </x:c>
      <x:c r="C2262" s="40" t="str">
        <x:v>Large-Basket Occasional Shoppers</x:v>
      </x:c>
      <x:c r="D2262" s="60" t="n">
        <x:v>4019.71</x:v>
      </x:c>
      <x:c r="E2262" s="50" t="n">
        <x:v>44</x:v>
      </x:c>
      <x:c r="F2262" s="46" t="n">
        <x:v>2.2</x:v>
      </x:c>
      <x:c r="G2262" s="46" t="n">
        <x:v>4</x:v>
      </x:c>
      <x:c r="H2262" s="61" t="n">
        <x:v>91.35704545454544</x:v>
      </x:c>
      <x:c r="I2262" s="52" t="n">
        <x:v>0.9545454545454544</x:v>
      </x:c>
      <x:c r="J2262" s="52" t="n">
        <x:v>0.5564257123026287</x:v>
      </x:c>
      <x:c r="K2262" s="60" t="n">
        <x:v>3996.66</x:v>
      </x:c>
      <x:c r="L2262" s="60" t="n">
        <x:v>23.05</x:v>
      </x:c>
      <x:c r="M2262" s="50" t="n">
        <x:v>42</x:v>
      </x:c>
      <x:c r="N2262" s="50" t="n">
        <x:v>2</x:v>
      </x:c>
      <x:c r="O2262" s="50" t="n">
        <x:v>125</x:v>
      </x:c>
      <x:c r="P2262" s="50" t="n">
        <x:v>20</x:v>
      </x:c>
    </x:row>
    <x:row r="2263" ht="36" customHeight="1">
      <x:c r="A2263" s="53" t="n">
        <x:v>2244</x:v>
      </x:c>
      <x:c r="B2263" s="53" t="n">
        <x:v>1</x:v>
      </x:c>
      <x:c r="C2263" s="40" t="str">
        <x:v>High-Value Frequent Shoppers</x:v>
      </x:c>
      <x:c r="D2263" s="60" t="n">
        <x:v>5477.2</x:v>
      </x:c>
      <x:c r="E2263" s="50" t="n">
        <x:v>324</x:v>
      </x:c>
      <x:c r="F2263" s="46" t="n">
        <x:v>14.08695652173913</x:v>
      </x:c>
      <x:c r="G2263" s="46" t="n">
        <x:v>0</x:v>
      </x:c>
      <x:c r="H2263" s="61" t="n">
        <x:v>16.904938271604937</x:v>
      </x:c>
      <x:c r="I2263" s="52" t="n">
        <x:v>0.8950617283950617</x:v>
      </x:c>
      <x:c r="J2263" s="52" t="n">
        <x:v>0.5689458117286204</x:v>
      </x:c>
      <x:c r="K2263" s="60" t="n">
        <x:v>5279.21</x:v>
      </x:c>
      <x:c r="L2263" s="60" t="n">
        <x:v>197.99</x:v>
      </x:c>
      <x:c r="M2263" s="50" t="n">
        <x:v>290</x:v>
      </x:c>
      <x:c r="N2263" s="50" t="n">
        <x:v>34</x:v>
      </x:c>
      <x:c r="O2263" s="50" t="n">
        <x:v>156</x:v>
      </x:c>
      <x:c r="P2263" s="50" t="n">
        <x:v>23</x:v>
      </x:c>
    </x:row>
    <x:row r="2264" ht="36" customHeight="1">
      <x:c r="A2264" s="53" t="n">
        <x:v>2245</x:v>
      </x:c>
      <x:c r="B2264" s="53" t="n">
        <x:v>1</x:v>
      </x:c>
      <x:c r="C2264" s="40" t="str">
        <x:v>High-Value Frequent Shoppers</x:v>
      </x:c>
      <x:c r="D2264" s="60" t="n">
        <x:v>4614.02</x:v>
      </x:c>
      <x:c r="E2264" s="50" t="n">
        <x:v>178</x:v>
      </x:c>
      <x:c r="F2264" s="46" t="n">
        <x:v>8.090909090909092</x:v>
      </x:c>
      <x:c r="G2264" s="46" t="n">
        <x:v>0</x:v>
      </x:c>
      <x:c r="H2264" s="61" t="n">
        <x:v>25.921460674157306</x:v>
      </x:c>
      <x:c r="I2264" s="52" t="n">
        <x:v>0.797752808988764</x:v>
      </x:c>
      <x:c r="J2264" s="52" t="n">
        <x:v>0.4704357588393635</x:v>
      </x:c>
      <x:c r="K2264" s="60" t="n">
        <x:v>4222.05</x:v>
      </x:c>
      <x:c r="L2264" s="60" t="n">
        <x:v>391.97</x:v>
      </x:c>
      <x:c r="M2264" s="50" t="n">
        <x:v>142</x:v>
      </x:c>
      <x:c r="N2264" s="50" t="n">
        <x:v>36</x:v>
      </x:c>
      <x:c r="O2264" s="50" t="n">
        <x:v>161</x:v>
      </x:c>
      <x:c r="P2264" s="50" t="n">
        <x:v>22</x:v>
      </x:c>
    </x:row>
    <x:row r="2265" ht="36" customHeight="1">
      <x:c r="A2265" s="53" t="n">
        <x:v>2246</x:v>
      </x:c>
      <x:c r="B2265" s="53" t="n">
        <x:v>2</x:v>
      </x:c>
      <x:c r="C2265" s="40" t="str">
        <x:v>Large-Basket Occasional Shoppers</x:v>
      </x:c>
      <x:c r="D2265" s="60" t="n">
        <x:v>321.35</x:v>
      </x:c>
      <x:c r="E2265" s="50" t="n">
        <x:v>5</x:v>
      </x:c>
      <x:c r="F2265" s="46" t="n">
        <x:v>1.25</x:v>
      </x:c>
      <x:c r="G2265" s="46" t="n">
        <x:v>259</x:v>
      </x:c>
      <x:c r="H2265" s="61" t="n">
        <x:v>64.27</x:v>
      </x:c>
      <x:c r="I2265" s="52" t="n">
        <x:v>1</x:v>
      </x:c>
      <x:c r="J2265" s="52" t="n">
        <x:v>0.37199315388206</x:v>
      </x:c>
      <x:c r="K2265" s="60" t="n">
        <x:v>321.35</x:v>
      </x:c>
      <x:c r="L2265" s="60" t="n">
        <x:v>0</x:v>
      </x:c>
      <x:c r="M2265" s="50" t="n">
        <x:v>5</x:v>
      </x:c>
      <x:c r="N2265" s="50" t="n">
        <x:v>0</x:v>
      </x:c>
      <x:c r="O2265" s="50" t="n">
        <x:v>39</x:v>
      </x:c>
      <x:c r="P2265" s="50" t="n">
        <x:v>4</x:v>
      </x:c>
    </x:row>
    <x:row r="2266" ht="36" customHeight="1">
      <x:c r="A2266" s="53" t="n">
        <x:v>2247</x:v>
      </x:c>
      <x:c r="B2266" s="53" t="n">
        <x:v>1</x:v>
      </x:c>
      <x:c r="C2266" s="40" t="str">
        <x:v>High-Value Frequent Shoppers</x:v>
      </x:c>
      <x:c r="D2266" s="60" t="n">
        <x:v>3992.67</x:v>
      </x:c>
      <x:c r="E2266" s="50" t="n">
        <x:v>90</x:v>
      </x:c>
      <x:c r="F2266" s="46" t="n">
        <x:v>4.285714285714286</x:v>
      </x:c>
      <x:c r="G2266" s="46" t="n">
        <x:v>0</x:v>
      </x:c>
      <x:c r="H2266" s="61" t="n">
        <x:v>44.363</x:v>
      </x:c>
      <x:c r="I2266" s="52" t="n">
        <x:v>0.7666666666666666</x:v>
      </x:c>
      <x:c r="J2266" s="52" t="n">
        <x:v>0.4800271497519203</x:v>
      </x:c>
      <x:c r="K2266" s="60" t="n">
        <x:v>3723.59</x:v>
      </x:c>
      <x:c r="L2266" s="60" t="n">
        <x:v>269.08</x:v>
      </x:c>
      <x:c r="M2266" s="50" t="n">
        <x:v>69</x:v>
      </x:c>
      <x:c r="N2266" s="50" t="n">
        <x:v>21</x:v>
      </x:c>
      <x:c r="O2266" s="50" t="n">
        <x:v>134</x:v>
      </x:c>
      <x:c r="P2266" s="50" t="n">
        <x:v>21</x:v>
      </x:c>
    </x:row>
    <x:row r="2267" ht="36" customHeight="1">
      <x:c r="A2267" s="53" t="n">
        <x:v>2248</x:v>
      </x:c>
      <x:c r="B2267" s="53" t="n">
        <x:v>2</x:v>
      </x:c>
      <x:c r="C2267" s="40" t="str">
        <x:v>Large-Basket Occasional Shoppers</x:v>
      </x:c>
      <x:c r="D2267" s="60" t="n">
        <x:v>937.23</x:v>
      </x:c>
      <x:c r="E2267" s="50" t="n">
        <x:v>26</x:v>
      </x:c>
      <x:c r="F2267" s="46" t="n">
        <x:v>1.8571428571428568</x:v>
      </x:c>
      <x:c r="G2267" s="46" t="n">
        <x:v>8</x:v>
      </x:c>
      <x:c r="H2267" s="61" t="n">
        <x:v>36.04730769230769</x:v>
      </x:c>
      <x:c r="I2267" s="52" t="n">
        <x:v>0.7692307692307692</x:v>
      </x:c>
      <x:c r="J2267" s="52" t="n">
        <x:v>0.4918749933314127</x:v>
      </x:c>
      <x:c r="K2267" s="60" t="n">
        <x:v>858.7</x:v>
      </x:c>
      <x:c r="L2267" s="60" t="n">
        <x:v>78.53</x:v>
      </x:c>
      <x:c r="M2267" s="50" t="n">
        <x:v>20</x:v>
      </x:c>
      <x:c r="N2267" s="50" t="n">
        <x:v>6</x:v>
      </x:c>
      <x:c r="O2267" s="50" t="n">
        <x:v>101</x:v>
      </x:c>
      <x:c r="P2267" s="50" t="n">
        <x:v>14</x:v>
      </x:c>
    </x:row>
    <x:row r="2268" ht="36" customHeight="1">
      <x:c r="A2268" s="53" t="n">
        <x:v>2249</x:v>
      </x:c>
      <x:c r="B2268" s="53" t="n">
        <x:v>3</x:v>
      </x:c>
      <x:c r="C2268" s="40" t="str">
        <x:v>Low-Value Low-Engagement Shoppers</x:v>
      </x:c>
      <x:c r="D2268" s="60" t="n">
        <x:v>181.51</x:v>
      </x:c>
      <x:c r="E2268" s="50" t="n">
        <x:v>3</x:v>
      </x:c>
      <x:c r="F2268" s="46" t="n">
        <x:v>1.5</x:v>
      </x:c>
      <x:c r="G2268" s="46" t="n">
        <x:v>406</x:v>
      </x:c>
      <x:c r="H2268" s="61" t="n">
        <x:v>60.50333333333333</x:v>
      </x:c>
      <x:c r="I2268" s="52" t="n">
        <x:v>0.6666666666666666</x:v>
      </x:c>
      <x:c r="J2268" s="52" t="n">
        <x:v>0.6009035314858685</x:v>
      </x:c>
      <x:c r="K2268" s="60" t="n">
        <x:v>167.26</x:v>
      </x:c>
      <x:c r="L2268" s="60" t="n">
        <x:v>14.25</x:v>
      </x:c>
      <x:c r="M2268" s="50" t="n">
        <x:v>2</x:v>
      </x:c>
      <x:c r="N2268" s="50" t="n">
        <x:v>1</x:v>
      </x:c>
      <x:c r="O2268" s="50" t="n">
        <x:v>44</x:v>
      </x:c>
      <x:c r="P2268" s="50" t="n">
        <x:v>2</x:v>
      </x:c>
    </x:row>
    <x:row r="2269" ht="36" customHeight="1">
      <x:c r="A2269" s="53" t="n">
        <x:v>2250</x:v>
      </x:c>
      <x:c r="B2269" s="53" t="n">
        <x:v>2</x:v>
      </x:c>
      <x:c r="C2269" s="40" t="str">
        <x:v>Large-Basket Occasional Shoppers</x:v>
      </x:c>
      <x:c r="D2269" s="60" t="n">
        <x:v>2333.16</x:v>
      </x:c>
      <x:c r="E2269" s="50" t="n">
        <x:v>68</x:v>
      </x:c>
      <x:c r="F2269" s="46" t="n">
        <x:v>3.238095238095238</x:v>
      </x:c>
      <x:c r="G2269" s="46" t="n">
        <x:v>2</x:v>
      </x:c>
      <x:c r="H2269" s="61" t="n">
        <x:v>34.31117647058824</x:v>
      </x:c>
      <x:c r="I2269" s="52" t="n">
        <x:v>0.9705882352941176</x:v>
      </x:c>
      <x:c r="J2269" s="52" t="n">
        <x:v>0.690535582643282</x:v>
      </x:c>
      <x:c r="K2269" s="60" t="n">
        <x:v>2300.52</x:v>
      </x:c>
      <x:c r="L2269" s="60" t="n">
        <x:v>32.64</x:v>
      </x:c>
      <x:c r="M2269" s="50" t="n">
        <x:v>66</x:v>
      </x:c>
      <x:c r="N2269" s="50" t="n">
        <x:v>2</x:v>
      </x:c>
      <x:c r="O2269" s="50" t="n">
        <x:v>95</x:v>
      </x:c>
      <x:c r="P2269" s="50" t="n">
        <x:v>21</x:v>
      </x:c>
    </x:row>
    <x:row r="2270" ht="36" customHeight="1">
      <x:c r="A2270" s="53" t="n">
        <x:v>2251</x:v>
      </x:c>
      <x:c r="B2270" s="53" t="n">
        <x:v>2</x:v>
      </x:c>
      <x:c r="C2270" s="40" t="str">
        <x:v>Large-Basket Occasional Shoppers</x:v>
      </x:c>
      <x:c r="D2270" s="60" t="n">
        <x:v>2022.54</x:v>
      </x:c>
      <x:c r="E2270" s="50" t="n">
        <x:v>26</x:v>
      </x:c>
      <x:c r="F2270" s="46" t="n">
        <x:v>2.363636363636364</x:v>
      </x:c>
      <x:c r="G2270" s="46" t="n">
        <x:v>49</x:v>
      </x:c>
      <x:c r="H2270" s="61" t="n">
        <x:v>77.79</x:v>
      </x:c>
      <x:c r="I2270" s="52" t="n">
        <x:v>0.9615384615384616</x:v>
      </x:c>
      <x:c r="J2270" s="52" t="n">
        <x:v>0.5364244959308592</x:v>
      </x:c>
      <x:c r="K2270" s="60" t="n">
        <x:v>1995.76</x:v>
      </x:c>
      <x:c r="L2270" s="60" t="n">
        <x:v>26.78</x:v>
      </x:c>
      <x:c r="M2270" s="50" t="n">
        <x:v>25</x:v>
      </x:c>
      <x:c r="N2270" s="50" t="n">
        <x:v>1</x:v>
      </x:c>
      <x:c r="O2270" s="50" t="n">
        <x:v>104</x:v>
      </x:c>
      <x:c r="P2270" s="50" t="n">
        <x:v>11</x:v>
      </x:c>
    </x:row>
    <x:row r="2271" ht="36" customHeight="1">
      <x:c r="A2271" s="53" t="n">
        <x:v>2252</x:v>
      </x:c>
      <x:c r="B2271" s="53" t="n">
        <x:v>1</x:v>
      </x:c>
      <x:c r="C2271" s="40" t="str">
        <x:v>High-Value Frequent Shoppers</x:v>
      </x:c>
      <x:c r="D2271" s="60" t="n">
        <x:v>9489.82</x:v>
      </x:c>
      <x:c r="E2271" s="50" t="n">
        <x:v>346</x:v>
      </x:c>
      <x:c r="F2271" s="46" t="n">
        <x:v>14.416666666666666</x:v>
      </x:c>
      <x:c r="G2271" s="46" t="n">
        <x:v>0</x:v>
      </x:c>
      <x:c r="H2271" s="61" t="n">
        <x:v>27.427225433526008</x:v>
      </x:c>
      <x:c r="I2271" s="52" t="n">
        <x:v>0.930635838150289</x:v>
      </x:c>
      <x:c r="J2271" s="52" t="n">
        <x:v>0.7848852770653184</x:v>
      </x:c>
      <x:c r="K2271" s="60" t="n">
        <x:v>9378.95</x:v>
      </x:c>
      <x:c r="L2271" s="60" t="n">
        <x:v>110.87</x:v>
      </x:c>
      <x:c r="M2271" s="50" t="n">
        <x:v>322</x:v>
      </x:c>
      <x:c r="N2271" s="50" t="n">
        <x:v>24</x:v>
      </x:c>
      <x:c r="O2271" s="50" t="n">
        <x:v>193</x:v>
      </x:c>
      <x:c r="P2271" s="50" t="n">
        <x:v>24</x:v>
      </x:c>
    </x:row>
    <x:row r="2272" ht="36" customHeight="1">
      <x:c r="A2272" s="53" t="n">
        <x:v>2253</x:v>
      </x:c>
      <x:c r="B2272" s="53" t="n">
        <x:v>3</x:v>
      </x:c>
      <x:c r="C2272" s="40" t="str">
        <x:v>Low-Value Low-Engagement Shoppers</x:v>
      </x:c>
      <x:c r="D2272" s="60" t="n">
        <x:v>450.33</x:v>
      </x:c>
      <x:c r="E2272" s="50" t="n">
        <x:v>28</x:v>
      </x:c>
      <x:c r="F2272" s="46" t="n">
        <x:v>2.8</x:v>
      </x:c>
      <x:c r="G2272" s="46" t="n">
        <x:v>19</x:v>
      </x:c>
      <x:c r="H2272" s="61" t="n">
        <x:v>16.083214285714284</x:v>
      </x:c>
      <x:c r="I2272" s="52" t="n">
        <x:v>0.9285714285714284</x:v>
      </x:c>
      <x:c r="J2272" s="52" t="n">
        <x:v>0.6132169742189061</x:v>
      </x:c>
      <x:c r="K2272" s="60" t="n">
        <x:v>446.58</x:v>
      </x:c>
      <x:c r="L2272" s="60" t="n">
        <x:v>3.75</x:v>
      </x:c>
      <x:c r="M2272" s="50" t="n">
        <x:v>26</x:v>
      </x:c>
      <x:c r="N2272" s="50" t="n">
        <x:v>2</x:v>
      </x:c>
      <x:c r="O2272" s="50" t="n">
        <x:v>68</x:v>
      </x:c>
      <x:c r="P2272" s="50" t="n">
        <x:v>10</x:v>
      </x:c>
    </x:row>
    <x:row r="2273" ht="36" customHeight="1">
      <x:c r="A2273" s="53" t="n">
        <x:v>2254</x:v>
      </x:c>
      <x:c r="B2273" s="53" t="n">
        <x:v>3</x:v>
      </x:c>
      <x:c r="C2273" s="40" t="str">
        <x:v>Low-Value Low-Engagement Shoppers</x:v>
      </x:c>
      <x:c r="D2273" s="60" t="n">
        <x:v>1270.35</x:v>
      </x:c>
      <x:c r="E2273" s="50" t="n">
        <x:v>80</x:v>
      </x:c>
      <x:c r="F2273" s="46" t="n">
        <x:v>4.444444444444445</x:v>
      </x:c>
      <x:c r="G2273" s="46" t="n">
        <x:v>142</x:v>
      </x:c>
      <x:c r="H2273" s="61" t="n">
        <x:v>15.879375</x:v>
      </x:c>
      <x:c r="I2273" s="52" t="n">
        <x:v>0.825</x:v>
      </x:c>
      <x:c r="J2273" s="52" t="n">
        <x:v>0.57370016137285</x:v>
      </x:c>
      <x:c r="K2273" s="60" t="n">
        <x:v>1214.83</x:v>
      </x:c>
      <x:c r="L2273" s="60" t="n">
        <x:v>55.52</x:v>
      </x:c>
      <x:c r="M2273" s="50" t="n">
        <x:v>66</x:v>
      </x:c>
      <x:c r="N2273" s="50" t="n">
        <x:v>14</x:v>
      </x:c>
      <x:c r="O2273" s="50" t="n">
        <x:v>125</x:v>
      </x:c>
      <x:c r="P2273" s="50" t="n">
        <x:v>18</x:v>
      </x:c>
    </x:row>
    <x:row r="2274" ht="36" customHeight="1">
      <x:c r="A2274" s="53" t="n">
        <x:v>2255</x:v>
      </x:c>
      <x:c r="B2274" s="53" t="n">
        <x:v>2</x:v>
      </x:c>
      <x:c r="C2274" s="40" t="str">
        <x:v>Large-Basket Occasional Shoppers</x:v>
      </x:c>
      <x:c r="D2274" s="60" t="n">
        <x:v>570.03</x:v>
      </x:c>
      <x:c r="E2274" s="50" t="n">
        <x:v>21</x:v>
      </x:c>
      <x:c r="F2274" s="46" t="n">
        <x:v>1.75</x:v>
      </x:c>
      <x:c r="G2274" s="46" t="n">
        <x:v>62</x:v>
      </x:c>
      <x:c r="H2274" s="61" t="n">
        <x:v>27.144285714285715</x:v>
      </x:c>
      <x:c r="I2274" s="52" t="n">
        <x:v>0.9047619047619048</x:v>
      </x:c>
      <x:c r="J2274" s="52" t="n">
        <x:v>0.5870217356981211</x:v>
      </x:c>
      <x:c r="K2274" s="60" t="n">
        <x:v>517.54</x:v>
      </x:c>
      <x:c r="L2274" s="60" t="n">
        <x:v>52.49</x:v>
      </x:c>
      <x:c r="M2274" s="50" t="n">
        <x:v>19</x:v>
      </x:c>
      <x:c r="N2274" s="50" t="n">
        <x:v>2</x:v>
      </x:c>
      <x:c r="O2274" s="50" t="n">
        <x:v>60</x:v>
      </x:c>
      <x:c r="P2274" s="50" t="n">
        <x:v>12</x:v>
      </x:c>
    </x:row>
    <x:row r="2275" ht="36" customHeight="1">
      <x:c r="A2275" s="53" t="n">
        <x:v>2256</x:v>
      </x:c>
      <x:c r="B2275" s="53" t="n">
        <x:v>2</x:v>
      </x:c>
      <x:c r="C2275" s="40" t="str">
        <x:v>Large-Basket Occasional Shoppers</x:v>
      </x:c>
      <x:c r="D2275" s="60" t="n">
        <x:v>1497.56</x:v>
      </x:c>
      <x:c r="E2275" s="50" t="n">
        <x:v>30</x:v>
      </x:c>
      <x:c r="F2275" s="46" t="n">
        <x:v>2.142857142857143</x:v>
      </x:c>
      <x:c r="G2275" s="46" t="n">
        <x:v>1</x:v>
      </x:c>
      <x:c r="H2275" s="61" t="n">
        <x:v>49.91866666666667</x:v>
      </x:c>
      <x:c r="I2275" s="52" t="n">
        <x:v>0.8666666666666666</x:v>
      </x:c>
      <x:c r="J2275" s="52" t="n">
        <x:v>0.5053620556104595</x:v>
      </x:c>
      <x:c r="K2275" s="60" t="n">
        <x:v>1438.71</x:v>
      </x:c>
      <x:c r="L2275" s="60" t="n">
        <x:v>58.85</x:v>
      </x:c>
      <x:c r="M2275" s="50" t="n">
        <x:v>26</x:v>
      </x:c>
      <x:c r="N2275" s="50" t="n">
        <x:v>4</x:v>
      </x:c>
      <x:c r="O2275" s="50" t="n">
        <x:v>106</x:v>
      </x:c>
      <x:c r="P2275" s="50" t="n">
        <x:v>14</x:v>
      </x:c>
    </x:row>
    <x:row r="2276" ht="36" customHeight="1">
      <x:c r="A2276" s="53" t="n">
        <x:v>2257</x:v>
      </x:c>
      <x:c r="B2276" s="53" t="n">
        <x:v>3</x:v>
      </x:c>
      <x:c r="C2276" s="40" t="str">
        <x:v>Low-Value Low-Engagement Shoppers</x:v>
      </x:c>
      <x:c r="D2276" s="60" t="n">
        <x:v>791.54</x:v>
      </x:c>
      <x:c r="E2276" s="50" t="n">
        <x:v>74</x:v>
      </x:c>
      <x:c r="F2276" s="46" t="n">
        <x:v>3.083333333333333</x:v>
      </x:c>
      <x:c r="G2276" s="46" t="n">
        <x:v>7</x:v>
      </x:c>
      <x:c r="H2276" s="61" t="n">
        <x:v>10.696486486486489</x:v>
      </x:c>
      <x:c r="I2276" s="52" t="n">
        <x:v>0.3783783783783783</x:v>
      </x:c>
      <x:c r="J2276" s="52" t="n">
        <x:v>0.1309851681532203</x:v>
      </x:c>
      <x:c r="K2276" s="60" t="n">
        <x:v>392.43</x:v>
      </x:c>
      <x:c r="L2276" s="60" t="n">
        <x:v>399.11</x:v>
      </x:c>
      <x:c r="M2276" s="50" t="n">
        <x:v>28</x:v>
      </x:c>
      <x:c r="N2276" s="50" t="n">
        <x:v>46</x:v>
      </x:c>
      <x:c r="O2276" s="50" t="n">
        <x:v>36</x:v>
      </x:c>
      <x:c r="P2276" s="50" t="n">
        <x:v>24</x:v>
      </x:c>
    </x:row>
    <x:row r="2277" ht="36" customHeight="1">
      <x:c r="A2277" s="53" t="n">
        <x:v>2258</x:v>
      </x:c>
      <x:c r="B2277" s="53" t="n">
        <x:v>2</x:v>
      </x:c>
      <x:c r="C2277" s="40" t="str">
        <x:v>Large-Basket Occasional Shoppers</x:v>
      </x:c>
      <x:c r="D2277" s="60" t="n">
        <x:v>1574.94</x:v>
      </x:c>
      <x:c r="E2277" s="50" t="n">
        <x:v>48</x:v>
      </x:c>
      <x:c r="F2277" s="46" t="n">
        <x:v>2.4</x:v>
      </x:c>
      <x:c r="G2277" s="46" t="n">
        <x:v>0</x:v>
      </x:c>
      <x:c r="H2277" s="61" t="n">
        <x:v>32.81125</x:v>
      </x:c>
      <x:c r="I2277" s="52" t="n">
        <x:v>0.8541666666666666</x:v>
      </x:c>
      <x:c r="J2277" s="52" t="n">
        <x:v>0.4016597457680927</x:v>
      </x:c>
      <x:c r="K2277" s="60" t="n">
        <x:v>1526.66</x:v>
      </x:c>
      <x:c r="L2277" s="60" t="n">
        <x:v>48.28</x:v>
      </x:c>
      <x:c r="M2277" s="50" t="n">
        <x:v>41</x:v>
      </x:c>
      <x:c r="N2277" s="50" t="n">
        <x:v>7</x:v>
      </x:c>
      <x:c r="O2277" s="50" t="n">
        <x:v>128</x:v>
      </x:c>
      <x:c r="P2277" s="50" t="n">
        <x:v>20</x:v>
      </x:c>
    </x:row>
    <x:row r="2278" ht="36" customHeight="1">
      <x:c r="A2278" s="53" t="n">
        <x:v>2259</x:v>
      </x:c>
      <x:c r="B2278" s="53" t="n">
        <x:v>2</x:v>
      </x:c>
      <x:c r="C2278" s="40" t="str">
        <x:v>Large-Basket Occasional Shoppers</x:v>
      </x:c>
      <x:c r="D2278" s="60" t="n">
        <x:v>589.17</x:v>
      </x:c>
      <x:c r="E2278" s="50" t="n">
        <x:v>16</x:v>
      </x:c>
      <x:c r="F2278" s="46" t="n">
        <x:v>4</x:v>
      </x:c>
      <x:c r="G2278" s="46" t="n">
        <x:v>0</x:v>
      </x:c>
      <x:c r="H2278" s="61" t="n">
        <x:v>36.823125</x:v>
      </x:c>
      <x:c r="I2278" s="52" t="n">
        <x:v>0.875</x:v>
      </x:c>
      <x:c r="J2278" s="52" t="n">
        <x:v>0.575793064820001</x:v>
      </x:c>
      <x:c r="K2278" s="60" t="n">
        <x:v>554.17</x:v>
      </x:c>
      <x:c r="L2278" s="60" t="n">
        <x:v>35</x:v>
      </x:c>
      <x:c r="M2278" s="50" t="n">
        <x:v>14</x:v>
      </x:c>
      <x:c r="N2278" s="50" t="n">
        <x:v>2</x:v>
      </x:c>
      <x:c r="O2278" s="50" t="n">
        <x:v>72</x:v>
      </x:c>
      <x:c r="P2278" s="50" t="n">
        <x:v>4</x:v>
      </x:c>
    </x:row>
    <x:row r="2279" ht="36" customHeight="1">
      <x:c r="A2279" s="53" t="n">
        <x:v>2260</x:v>
      </x:c>
      <x:c r="B2279" s="53" t="n">
        <x:v>1</x:v>
      </x:c>
      <x:c r="C2279" s="40" t="str">
        <x:v>High-Value Frequent Shoppers</x:v>
      </x:c>
      <x:c r="D2279" s="60" t="n">
        <x:v>7456.64</x:v>
      </x:c>
      <x:c r="E2279" s="50" t="n">
        <x:v>133</x:v>
      </x:c>
      <x:c r="F2279" s="46" t="n">
        <x:v>5.782608695652174</x:v>
      </x:c>
      <x:c r="G2279" s="46" t="n">
        <x:v>4</x:v>
      </x:c>
      <x:c r="H2279" s="61" t="n">
        <x:v>56.06496240601504</x:v>
      </x:c>
      <x:c r="I2279" s="52" t="n">
        <x:v>0.924812030075188</x:v>
      </x:c>
      <x:c r="J2279" s="52" t="n">
        <x:v>0.5553667603639172</x:v>
      </x:c>
      <x:c r="K2279" s="60" t="n">
        <x:v>7322.98</x:v>
      </x:c>
      <x:c r="L2279" s="60" t="n">
        <x:v>133.66</x:v>
      </x:c>
      <x:c r="M2279" s="50" t="n">
        <x:v>123</x:v>
      </x:c>
      <x:c r="N2279" s="50" t="n">
        <x:v>10</x:v>
      </x:c>
      <x:c r="O2279" s="50" t="n">
        <x:v>143</x:v>
      </x:c>
      <x:c r="P2279" s="50" t="n">
        <x:v>23</x:v>
      </x:c>
    </x:row>
    <x:row r="2280" ht="36" customHeight="1">
      <x:c r="A2280" s="53" t="n">
        <x:v>2261</x:v>
      </x:c>
      <x:c r="B2280" s="53" t="n">
        <x:v>1</x:v>
      </x:c>
      <x:c r="C2280" s="40" t="str">
        <x:v>High-Value Frequent Shoppers</x:v>
      </x:c>
      <x:c r="D2280" s="60" t="n">
        <x:v>13379.78</x:v>
      </x:c>
      <x:c r="E2280" s="50" t="n">
        <x:v>428</x:v>
      </x:c>
      <x:c r="F2280" s="46" t="n">
        <x:v>20.38095238095238</x:v>
      </x:c>
      <x:c r="G2280" s="46" t="n">
        <x:v>0</x:v>
      </x:c>
      <x:c r="H2280" s="61" t="n">
        <x:v>31.261168224299063</x:v>
      </x:c>
      <x:c r="I2280" s="52" t="n">
        <x:v>0.77803738317757</x:v>
      </x:c>
      <x:c r="J2280" s="52" t="n">
        <x:v>0.5699503280322994</x:v>
      </x:c>
      <x:c r="K2280" s="60" t="n">
        <x:v>12861.75</x:v>
      </x:c>
      <x:c r="L2280" s="60" t="n">
        <x:v>518.03</x:v>
      </x:c>
      <x:c r="M2280" s="50" t="n">
        <x:v>333</x:v>
      </x:c>
      <x:c r="N2280" s="50" t="n">
        <x:v>95</x:v>
      </x:c>
      <x:c r="O2280" s="50" t="n">
        <x:v>176</x:v>
      </x:c>
      <x:c r="P2280" s="50" t="n">
        <x:v>21</x:v>
      </x:c>
    </x:row>
    <x:row r="2281" ht="36" customHeight="1">
      <x:c r="A2281" s="53" t="n">
        <x:v>2262</x:v>
      </x:c>
      <x:c r="B2281" s="53" t="n">
        <x:v>1</x:v>
      </x:c>
      <x:c r="C2281" s="40" t="str">
        <x:v>High-Value Frequent Shoppers</x:v>
      </x:c>
      <x:c r="D2281" s="60" t="n">
        <x:v>1491</x:v>
      </x:c>
      <x:c r="E2281" s="50" t="n">
        <x:v>151</x:v>
      </x:c>
      <x:c r="F2281" s="46" t="n">
        <x:v>6.565217391304348</x:v>
      </x:c>
      <x:c r="G2281" s="46" t="n">
        <x:v>0</x:v>
      </x:c>
      <x:c r="H2281" s="61" t="n">
        <x:v>9.874172185430464</x:v>
      </x:c>
      <x:c r="I2281" s="52" t="n">
        <x:v>0.7814569536423841</x:v>
      </x:c>
      <x:c r="J2281" s="52" t="n">
        <x:v>0.4360160965794768</x:v>
      </x:c>
      <x:c r="K2281" s="60" t="n">
        <x:v>1280.06</x:v>
      </x:c>
      <x:c r="L2281" s="60" t="n">
        <x:v>210.94</x:v>
      </x:c>
      <x:c r="M2281" s="50" t="n">
        <x:v>118</x:v>
      </x:c>
      <x:c r="N2281" s="50" t="n">
        <x:v>33</x:v>
      </x:c>
      <x:c r="O2281" s="50" t="n">
        <x:v>109</x:v>
      </x:c>
      <x:c r="P2281" s="50" t="n">
        <x:v>23</x:v>
      </x:c>
    </x:row>
    <x:row r="2282" ht="36" customHeight="1">
      <x:c r="A2282" s="53" t="n">
        <x:v>2263</x:v>
      </x:c>
      <x:c r="B2282" s="53" t="n">
        <x:v>1</x:v>
      </x:c>
      <x:c r="C2282" s="40" t="str">
        <x:v>High-Value Frequent Shoppers</x:v>
      </x:c>
      <x:c r="D2282" s="60" t="n">
        <x:v>5763.9</x:v>
      </x:c>
      <x:c r="E2282" s="50" t="n">
        <x:v>458</x:v>
      </x:c>
      <x:c r="F2282" s="46" t="n">
        <x:v>19.08333333333333</x:v>
      </x:c>
      <x:c r="G2282" s="46" t="n">
        <x:v>2</x:v>
      </x:c>
      <x:c r="H2282" s="61" t="n">
        <x:v>12.584934497816592</x:v>
      </x:c>
      <x:c r="I2282" s="52" t="n">
        <x:v>0.8253275109170305</x:v>
      </x:c>
      <x:c r="J2282" s="52" t="n">
        <x:v>0.518751192768785</x:v>
      </x:c>
      <x:c r="K2282" s="60" t="n">
        <x:v>5359.04</x:v>
      </x:c>
      <x:c r="L2282" s="60" t="n">
        <x:v>404.86</x:v>
      </x:c>
      <x:c r="M2282" s="50" t="n">
        <x:v>378</x:v>
      </x:c>
      <x:c r="N2282" s="50" t="n">
        <x:v>80</x:v>
      </x:c>
      <x:c r="O2282" s="50" t="n">
        <x:v>187</x:v>
      </x:c>
      <x:c r="P2282" s="50" t="n">
        <x:v>24</x:v>
      </x:c>
    </x:row>
    <x:row r="2283" ht="36" customHeight="1">
      <x:c r="A2283" s="53" t="n">
        <x:v>2264</x:v>
      </x:c>
      <x:c r="B2283" s="53" t="n">
        <x:v>1</x:v>
      </x:c>
      <x:c r="C2283" s="40" t="str">
        <x:v>High-Value Frequent Shoppers</x:v>
      </x:c>
      <x:c r="D2283" s="60" t="n">
        <x:v>16960.59</x:v>
      </x:c>
      <x:c r="E2283" s="50" t="n">
        <x:v>315</x:v>
      </x:c>
      <x:c r="F2283" s="46" t="n">
        <x:v>15</x:v>
      </x:c>
      <x:c r="G2283" s="46" t="n">
        <x:v>1</x:v>
      </x:c>
      <x:c r="H2283" s="61" t="n">
        <x:v>53.84314285714286</x:v>
      </x:c>
      <x:c r="I2283" s="52" t="n">
        <x:v>0.892063492063492</x:v>
      </x:c>
      <x:c r="J2283" s="52" t="n">
        <x:v>0.3826506035462209</x:v>
      </x:c>
      <x:c r="K2283" s="60" t="n">
        <x:v>15999.97</x:v>
      </x:c>
      <x:c r="L2283" s="60" t="n">
        <x:v>960.62</x:v>
      </x:c>
      <x:c r="M2283" s="50" t="n">
        <x:v>281</x:v>
      </x:c>
      <x:c r="N2283" s="50" t="n">
        <x:v>34</x:v>
      </x:c>
      <x:c r="O2283" s="50" t="n">
        <x:v>217</x:v>
      </x:c>
      <x:c r="P2283" s="50" t="n">
        <x:v>21</x:v>
      </x:c>
    </x:row>
    <x:row r="2284" ht="36" customHeight="1">
      <x:c r="A2284" s="53" t="n">
        <x:v>2265</x:v>
      </x:c>
      <x:c r="B2284" s="53" t="n">
        <x:v>3</x:v>
      </x:c>
      <x:c r="C2284" s="40" t="str">
        <x:v>Low-Value Low-Engagement Shoppers</x:v>
      </x:c>
      <x:c r="D2284" s="60" t="n">
        <x:v>77.44</x:v>
      </x:c>
      <x:c r="E2284" s="50" t="n">
        <x:v>3</x:v>
      </x:c>
      <x:c r="F2284" s="46" t="n">
        <x:v>1.5</x:v>
      </x:c>
      <x:c r="G2284" s="46" t="n">
        <x:v>639</x:v>
      </x:c>
      <x:c r="H2284" s="61" t="n">
        <x:v>25.813333333333333</x:v>
      </x:c>
      <x:c r="I2284" s="52" t="n">
        <x:v>1</x:v>
      </x:c>
      <x:c r="J2284" s="52" t="n">
        <x:v>0.4363378099173553</x:v>
      </x:c>
      <x:c r="K2284" s="60" t="n">
        <x:v>77.44</x:v>
      </x:c>
      <x:c r="L2284" s="60" t="n">
        <x:v>0</x:v>
      </x:c>
      <x:c r="M2284" s="50" t="n">
        <x:v>3</x:v>
      </x:c>
      <x:c r="N2284" s="50" t="n">
        <x:v>0</x:v>
      </x:c>
      <x:c r="O2284" s="50" t="n">
        <x:v>17</x:v>
      </x:c>
      <x:c r="P2284" s="50" t="n">
        <x:v>2</x:v>
      </x:c>
    </x:row>
    <x:row r="2285" ht="36" customHeight="1">
      <x:c r="A2285" s="53" t="n">
        <x:v>2266</x:v>
      </x:c>
      <x:c r="B2285" s="53" t="n">
        <x:v>1</x:v>
      </x:c>
      <x:c r="C2285" s="40" t="str">
        <x:v>High-Value Frequent Shoppers</x:v>
      </x:c>
      <x:c r="D2285" s="60" t="n">
        <x:v>8754.12</x:v>
      </x:c>
      <x:c r="E2285" s="50" t="n">
        <x:v>148</x:v>
      </x:c>
      <x:c r="F2285" s="46" t="n">
        <x:v>6.727272727272728</x:v>
      </x:c>
      <x:c r="G2285" s="46" t="n">
        <x:v>7</x:v>
      </x:c>
      <x:c r="H2285" s="61" t="n">
        <x:v>59.14945945945946</x:v>
      </x:c>
      <x:c r="I2285" s="52" t="n">
        <x:v>0.912162162162162</x:v>
      </x:c>
      <x:c r="J2285" s="52" t="n">
        <x:v>0.4202169949692259</x:v>
      </x:c>
      <x:c r="K2285" s="60" t="n">
        <x:v>8383.38</x:v>
      </x:c>
      <x:c r="L2285" s="60" t="n">
        <x:v>370.74</x:v>
      </x:c>
      <x:c r="M2285" s="50" t="n">
        <x:v>135</x:v>
      </x:c>
      <x:c r="N2285" s="50" t="n">
        <x:v>13</x:v>
      </x:c>
      <x:c r="O2285" s="50" t="n">
        <x:v>194</x:v>
      </x:c>
      <x:c r="P2285" s="50" t="n">
        <x:v>22</x:v>
      </x:c>
    </x:row>
    <x:row r="2286" ht="36" customHeight="1">
      <x:c r="A2286" s="53" t="n">
        <x:v>2267</x:v>
      </x:c>
      <x:c r="B2286" s="53" t="n">
        <x:v>2</x:v>
      </x:c>
      <x:c r="C2286" s="40" t="str">
        <x:v>Large-Basket Occasional Shoppers</x:v>
      </x:c>
      <x:c r="D2286" s="60" t="n">
        <x:v>2304.15</x:v>
      </x:c>
      <x:c r="E2286" s="50" t="n">
        <x:v>67</x:v>
      </x:c>
      <x:c r="F2286" s="46" t="n">
        <x:v>3.35</x:v>
      </x:c>
      <x:c r="G2286" s="46" t="n">
        <x:v>2</x:v>
      </x:c>
      <x:c r="H2286" s="61" t="n">
        <x:v>34.39029850746269</x:v>
      </x:c>
      <x:c r="I2286" s="52" t="n">
        <x:v>0.9402985074626864</x:v>
      </x:c>
      <x:c r="J2286" s="52" t="n">
        <x:v>0.5826052991341709</x:v>
      </x:c>
      <x:c r="K2286" s="60" t="n">
        <x:v>2275.93</x:v>
      </x:c>
      <x:c r="L2286" s="60" t="n">
        <x:v>28.22</x:v>
      </x:c>
      <x:c r="M2286" s="50" t="n">
        <x:v>63</x:v>
      </x:c>
      <x:c r="N2286" s="50" t="n">
        <x:v>4</x:v>
      </x:c>
      <x:c r="O2286" s="50" t="n">
        <x:v>114</x:v>
      </x:c>
      <x:c r="P2286" s="50" t="n">
        <x:v>20</x:v>
      </x:c>
    </x:row>
    <x:row r="2287" ht="36" customHeight="1">
      <x:c r="A2287" s="53" t="n">
        <x:v>2268</x:v>
      </x:c>
      <x:c r="B2287" s="53" t="n">
        <x:v>2</x:v>
      </x:c>
      <x:c r="C2287" s="40" t="str">
        <x:v>Large-Basket Occasional Shoppers</x:v>
      </x:c>
      <x:c r="D2287" s="60" t="n">
        <x:v>668.96</x:v>
      </x:c>
      <x:c r="E2287" s="50" t="n">
        <x:v>23</x:v>
      </x:c>
      <x:c r="F2287" s="46" t="n">
        <x:v>1.7692307692307692</x:v>
      </x:c>
      <x:c r="G2287" s="46" t="n">
        <x:v>53</x:v>
      </x:c>
      <x:c r="H2287" s="61" t="n">
        <x:v>29.085217391304347</x:v>
      </x:c>
      <x:c r="I2287" s="52" t="n">
        <x:v>0.9130434782608696</x:v>
      </x:c>
      <x:c r="J2287" s="52" t="n">
        <x:v>0.4695198517101171</x:v>
      </x:c>
      <x:c r="K2287" s="60" t="n">
        <x:v>643.13</x:v>
      </x:c>
      <x:c r="L2287" s="60" t="n">
        <x:v>25.83</x:v>
      </x:c>
      <x:c r="M2287" s="50" t="n">
        <x:v>21</x:v>
      </x:c>
      <x:c r="N2287" s="50" t="n">
        <x:v>2</x:v>
      </x:c>
      <x:c r="O2287" s="50" t="n">
        <x:v>76</x:v>
      </x:c>
      <x:c r="P2287" s="50" t="n">
        <x:v>13</x:v>
      </x:c>
    </x:row>
    <x:row r="2288" ht="36" customHeight="1">
      <x:c r="A2288" s="53" t="n">
        <x:v>2269</x:v>
      </x:c>
      <x:c r="B2288" s="53" t="n">
        <x:v>1</x:v>
      </x:c>
      <x:c r="C2288" s="40" t="str">
        <x:v>High-Value Frequent Shoppers</x:v>
      </x:c>
      <x:c r="D2288" s="60" t="n">
        <x:v>3273.95</x:v>
      </x:c>
      <x:c r="E2288" s="50" t="n">
        <x:v>209</x:v>
      </x:c>
      <x:c r="F2288" s="46" t="n">
        <x:v>9.952380952380953</x:v>
      </x:c>
      <x:c r="G2288" s="46" t="n">
        <x:v>4</x:v>
      </x:c>
      <x:c r="H2288" s="61" t="n">
        <x:v>15.664832535885168</x:v>
      </x:c>
      <x:c r="I2288" s="52" t="n">
        <x:v>0.8564593301435406</x:v>
      </x:c>
      <x:c r="J2288" s="52" t="n">
        <x:v>0.6546709632095786</x:v>
      </x:c>
      <x:c r="K2288" s="60" t="n">
        <x:v>3145.22</x:v>
      </x:c>
      <x:c r="L2288" s="60" t="n">
        <x:v>128.73</x:v>
      </x:c>
      <x:c r="M2288" s="50" t="n">
        <x:v>179</x:v>
      </x:c>
      <x:c r="N2288" s="50" t="n">
        <x:v>30</x:v>
      </x:c>
      <x:c r="O2288" s="50" t="n">
        <x:v>110</x:v>
      </x:c>
      <x:c r="P2288" s="50" t="n">
        <x:v>21</x:v>
      </x:c>
    </x:row>
    <x:row r="2289" ht="36" customHeight="1">
      <x:c r="A2289" s="53" t="n">
        <x:v>2270</x:v>
      </x:c>
      <x:c r="B2289" s="53" t="n">
        <x:v>1</x:v>
      </x:c>
      <x:c r="C2289" s="40" t="str">
        <x:v>High-Value Frequent Shoppers</x:v>
      </x:c>
      <x:c r="D2289" s="60" t="n">
        <x:v>4728.67</x:v>
      </x:c>
      <x:c r="E2289" s="50" t="n">
        <x:v>312</x:v>
      </x:c>
      <x:c r="F2289" s="46" t="n">
        <x:v>14.18181818181818</x:v>
      </x:c>
      <x:c r="G2289" s="46" t="n">
        <x:v>0</x:v>
      </x:c>
      <x:c r="H2289" s="61" t="n">
        <x:v>15.155993589743588</x:v>
      </x:c>
      <x:c r="I2289" s="52" t="n">
        <x:v>0.8846153846153846</x:v>
      </x:c>
      <x:c r="J2289" s="52" t="n">
        <x:v>0.5812247418407289</x:v>
      </x:c>
      <x:c r="K2289" s="60" t="n">
        <x:v>4549.4</x:v>
      </x:c>
      <x:c r="L2289" s="60" t="n">
        <x:v>179.27</x:v>
      </x:c>
      <x:c r="M2289" s="50" t="n">
        <x:v>276</x:v>
      </x:c>
      <x:c r="N2289" s="50" t="n">
        <x:v>36</x:v>
      </x:c>
      <x:c r="O2289" s="50" t="n">
        <x:v>166</x:v>
      </x:c>
      <x:c r="P2289" s="50" t="n">
        <x:v>22</x:v>
      </x:c>
    </x:row>
    <x:row r="2290" ht="36" customHeight="1">
      <x:c r="A2290" s="53" t="n">
        <x:v>2271</x:v>
      </x:c>
      <x:c r="B2290" s="53" t="n">
        <x:v>3</x:v>
      </x:c>
      <x:c r="C2290" s="40" t="str">
        <x:v>Low-Value Low-Engagement Shoppers</x:v>
      </x:c>
      <x:c r="D2290" s="60" t="n">
        <x:v>361.88</x:v>
      </x:c>
      <x:c r="E2290" s="50" t="n">
        <x:v>46</x:v>
      </x:c>
      <x:c r="F2290" s="46" t="n">
        <x:v>2.705882352941176</x:v>
      </x:c>
      <x:c r="G2290" s="46" t="n">
        <x:v>33</x:v>
      </x:c>
      <x:c r="H2290" s="61" t="n">
        <x:v>7.866956521739129</x:v>
      </x:c>
      <x:c r="I2290" s="52" t="n">
        <x:v>0.8478260869565217</x:v>
      </x:c>
      <x:c r="J2290" s="52" t="n">
        <x:v>0.697109539073726</x:v>
      </x:c>
      <x:c r="K2290" s="60" t="n">
        <x:v>328.34</x:v>
      </x:c>
      <x:c r="L2290" s="60" t="n">
        <x:v>33.54</x:v>
      </x:c>
      <x:c r="M2290" s="50" t="n">
        <x:v>39</x:v>
      </x:c>
      <x:c r="N2290" s="50" t="n">
        <x:v>7</x:v>
      </x:c>
      <x:c r="O2290" s="50" t="n">
        <x:v>51</x:v>
      </x:c>
      <x:c r="P2290" s="50" t="n">
        <x:v>17</x:v>
      </x:c>
    </x:row>
    <x:row r="2291" ht="36" customHeight="1">
      <x:c r="A2291" s="53" t="n">
        <x:v>2272</x:v>
      </x:c>
      <x:c r="B2291" s="53" t="n">
        <x:v>2</x:v>
      </x:c>
      <x:c r="C2291" s="40" t="str">
        <x:v>Large-Basket Occasional Shoppers</x:v>
      </x:c>
      <x:c r="D2291" s="60" t="n">
        <x:v>2244.17</x:v>
      </x:c>
      <x:c r="E2291" s="50" t="n">
        <x:v>70</x:v>
      </x:c>
      <x:c r="F2291" s="46" t="n">
        <x:v>5.833333333333333</x:v>
      </x:c>
      <x:c r="G2291" s="46" t="n">
        <x:v>12</x:v>
      </x:c>
      <x:c r="H2291" s="61" t="n">
        <x:v>32.05957142857143</x:v>
      </x:c>
      <x:c r="I2291" s="52" t="n">
        <x:v>0.7285714285714285</x:v>
      </x:c>
      <x:c r="J2291" s="52" t="n">
        <x:v>0.3442519951697063</x:v>
      </x:c>
      <x:c r="K2291" s="60" t="n">
        <x:v>1997.8</x:v>
      </x:c>
      <x:c r="L2291" s="60" t="n">
        <x:v>246.37</x:v>
      </x:c>
      <x:c r="M2291" s="50" t="n">
        <x:v>51</x:v>
      </x:c>
      <x:c r="N2291" s="50" t="n">
        <x:v>19</x:v>
      </x:c>
      <x:c r="O2291" s="50" t="n">
        <x:v>99</x:v>
      </x:c>
      <x:c r="P2291" s="50" t="n">
        <x:v>12</x:v>
      </x:c>
    </x:row>
    <x:row r="2292" ht="36" customHeight="1">
      <x:c r="A2292" s="53" t="n">
        <x:v>2273</x:v>
      </x:c>
      <x:c r="B2292" s="53" t="n">
        <x:v>2</x:v>
      </x:c>
      <x:c r="C2292" s="40" t="str">
        <x:v>Large-Basket Occasional Shoppers</x:v>
      </x:c>
      <x:c r="D2292" s="60" t="n">
        <x:v>1594.87</x:v>
      </x:c>
      <x:c r="E2292" s="50" t="n">
        <x:v>52</x:v>
      </x:c>
      <x:c r="F2292" s="46" t="n">
        <x:v>2.736842105263157</x:v>
      </x:c>
      <x:c r="G2292" s="46" t="n">
        <x:v>7</x:v>
      </x:c>
      <x:c r="H2292" s="61" t="n">
        <x:v>30.67057692307693</x:v>
      </x:c>
      <x:c r="I2292" s="52" t="n">
        <x:v>0.903846153846154</x:v>
      </x:c>
      <x:c r="J2292" s="52" t="n">
        <x:v>0.4762394427131991</x:v>
      </x:c>
      <x:c r="K2292" s="60" t="n">
        <x:v>1526.56</x:v>
      </x:c>
      <x:c r="L2292" s="60" t="n">
        <x:v>68.31</x:v>
      </x:c>
      <x:c r="M2292" s="50" t="n">
        <x:v>47</x:v>
      </x:c>
      <x:c r="N2292" s="50" t="n">
        <x:v>5</x:v>
      </x:c>
      <x:c r="O2292" s="50" t="n">
        <x:v>106</x:v>
      </x:c>
      <x:c r="P2292" s="50" t="n">
        <x:v>19</x:v>
      </x:c>
    </x:row>
    <x:row r="2293" ht="36" customHeight="1">
      <x:c r="A2293" s="53" t="n">
        <x:v>2274</x:v>
      </x:c>
      <x:c r="B2293" s="53" t="n">
        <x:v>1</x:v>
      </x:c>
      <x:c r="C2293" s="40" t="str">
        <x:v>High-Value Frequent Shoppers</x:v>
      </x:c>
      <x:c r="D2293" s="60" t="n">
        <x:v>6974.46</x:v>
      </x:c>
      <x:c r="E2293" s="50" t="n">
        <x:v>70</x:v>
      </x:c>
      <x:c r="F2293" s="46" t="n">
        <x:v>3.5</x:v>
      </x:c>
      <x:c r="G2293" s="46" t="n">
        <x:v>2</x:v>
      </x:c>
      <x:c r="H2293" s="61" t="n">
        <x:v>99.63514285714284</x:v>
      </x:c>
      <x:c r="I2293" s="52" t="n">
        <x:v>0.914285714285714</x:v>
      </x:c>
      <x:c r="J2293" s="52" t="n">
        <x:v>0.4180395328097085</x:v>
      </x:c>
      <x:c r="K2293" s="60" t="n">
        <x:v>6860.99</x:v>
      </x:c>
      <x:c r="L2293" s="60" t="n">
        <x:v>113.47</x:v>
      </x:c>
      <x:c r="M2293" s="50" t="n">
        <x:v>64</x:v>
      </x:c>
      <x:c r="N2293" s="50" t="n">
        <x:v>6</x:v>
      </x:c>
      <x:c r="O2293" s="50" t="n">
        <x:v>166</x:v>
      </x:c>
      <x:c r="P2293" s="50" t="n">
        <x:v>20</x:v>
      </x:c>
    </x:row>
    <x:row r="2294" ht="36" customHeight="1">
      <x:c r="A2294" s="53" t="n">
        <x:v>2275</x:v>
      </x:c>
      <x:c r="B2294" s="53" t="n">
        <x:v>1</x:v>
      </x:c>
      <x:c r="C2294" s="40" t="str">
        <x:v>High-Value Frequent Shoppers</x:v>
      </x:c>
      <x:c r="D2294" s="60" t="n">
        <x:v>2789.51</x:v>
      </x:c>
      <x:c r="E2294" s="50" t="n">
        <x:v>134</x:v>
      </x:c>
      <x:c r="F2294" s="46" t="n">
        <x:v>6.090909090909091</x:v>
      </x:c>
      <x:c r="G2294" s="46" t="n">
        <x:v>5</x:v>
      </x:c>
      <x:c r="H2294" s="61" t="n">
        <x:v>20.81723880597015</x:v>
      </x:c>
      <x:c r="I2294" s="52" t="n">
        <x:v>0.917910447761194</x:v>
      </x:c>
      <x:c r="J2294" s="52" t="n">
        <x:v>0.6092826338675968</x:v>
      </x:c>
      <x:c r="K2294" s="60" t="n">
        <x:v>2731.93</x:v>
      </x:c>
      <x:c r="L2294" s="60" t="n">
        <x:v>57.58</x:v>
      </x:c>
      <x:c r="M2294" s="50" t="n">
        <x:v>123</x:v>
      </x:c>
      <x:c r="N2294" s="50" t="n">
        <x:v>11</x:v>
      </x:c>
      <x:c r="O2294" s="50" t="n">
        <x:v>151</x:v>
      </x:c>
      <x:c r="P2294" s="50" t="n">
        <x:v>22</x:v>
      </x:c>
    </x:row>
    <x:row r="2295" ht="36" customHeight="1">
      <x:c r="A2295" s="53" t="n">
        <x:v>2276</x:v>
      </x:c>
      <x:c r="B2295" s="53" t="n">
        <x:v>2</x:v>
      </x:c>
      <x:c r="C2295" s="40" t="str">
        <x:v>Large-Basket Occasional Shoppers</x:v>
      </x:c>
      <x:c r="D2295" s="60" t="n">
        <x:v>1007.97</x:v>
      </x:c>
      <x:c r="E2295" s="50" t="n">
        <x:v>31</x:v>
      </x:c>
      <x:c r="F2295" s="46" t="n">
        <x:v>2.066666666666667</x:v>
      </x:c>
      <x:c r="G2295" s="46" t="n">
        <x:v>37</x:v>
      </x:c>
      <x:c r="H2295" s="61" t="n">
        <x:v>32.51516129032258</x:v>
      </x:c>
      <x:c r="I2295" s="52" t="n">
        <x:v>0.9032258064516128</x:v>
      </x:c>
      <x:c r="J2295" s="52" t="n">
        <x:v>0.553786323005645</x:v>
      </x:c>
      <x:c r="K2295" s="60" t="n">
        <x:v>988.92</x:v>
      </x:c>
      <x:c r="L2295" s="60" t="n">
        <x:v>19.05</x:v>
      </x:c>
      <x:c r="M2295" s="50" t="n">
        <x:v>28</x:v>
      </x:c>
      <x:c r="N2295" s="50" t="n">
        <x:v>3</x:v>
      </x:c>
      <x:c r="O2295" s="50" t="n">
        <x:v>103</x:v>
      </x:c>
      <x:c r="P2295" s="50" t="n">
        <x:v>15</x:v>
      </x:c>
    </x:row>
    <x:row r="2296" ht="36" customHeight="1">
      <x:c r="A2296" s="53" t="n">
        <x:v>2277</x:v>
      </x:c>
      <x:c r="B2296" s="53" t="n">
        <x:v>1</x:v>
      </x:c>
      <x:c r="C2296" s="40" t="str">
        <x:v>High-Value Frequent Shoppers</x:v>
      </x:c>
      <x:c r="D2296" s="60" t="n">
        <x:v>3888.44</x:v>
      </x:c>
      <x:c r="E2296" s="50" t="n">
        <x:v>126</x:v>
      </x:c>
      <x:c r="F2296" s="46" t="n">
        <x:v>6</x:v>
      </x:c>
      <x:c r="G2296" s="46" t="n">
        <x:v>3</x:v>
      </x:c>
      <x:c r="H2296" s="61" t="n">
        <x:v>30.86063492063492</x:v>
      </x:c>
      <x:c r="I2296" s="52" t="n">
        <x:v>0.873015873015873</x:v>
      </x:c>
      <x:c r="J2296" s="52" t="n">
        <x:v>0.5887682463918692</x:v>
      </x:c>
      <x:c r="K2296" s="60" t="n">
        <x:v>3739.63</x:v>
      </x:c>
      <x:c r="L2296" s="60" t="n">
        <x:v>148.81</x:v>
      </x:c>
      <x:c r="M2296" s="50" t="n">
        <x:v>110</x:v>
      </x:c>
      <x:c r="N2296" s="50" t="n">
        <x:v>16</x:v>
      </x:c>
      <x:c r="O2296" s="50" t="n">
        <x:v>154</x:v>
      </x:c>
      <x:c r="P2296" s="50" t="n">
        <x:v>21</x:v>
      </x:c>
    </x:row>
    <x:row r="2297" ht="36" customHeight="1">
      <x:c r="A2297" s="53" t="n">
        <x:v>2278</x:v>
      </x:c>
      <x:c r="B2297" s="53" t="n">
        <x:v>2</x:v>
      </x:c>
      <x:c r="C2297" s="40" t="str">
        <x:v>Large-Basket Occasional Shoppers</x:v>
      </x:c>
      <x:c r="D2297" s="60" t="n">
        <x:v>1160.57</x:v>
      </x:c>
      <x:c r="E2297" s="50" t="n">
        <x:v>46</x:v>
      </x:c>
      <x:c r="F2297" s="46" t="n">
        <x:v>2.705882352941176</x:v>
      </x:c>
      <x:c r="G2297" s="46" t="n">
        <x:v>24</x:v>
      </x:c>
      <x:c r="H2297" s="61" t="n">
        <x:v>25.229782608695647</x:v>
      </x:c>
      <x:c r="I2297" s="52" t="n">
        <x:v>0.8260869565217391</x:v>
      </x:c>
      <x:c r="J2297" s="52" t="n">
        <x:v>0.3438655143593234</x:v>
      </x:c>
      <x:c r="K2297" s="60" t="n">
        <x:v>1041.24</x:v>
      </x:c>
      <x:c r="L2297" s="60" t="n">
        <x:v>119.33</x:v>
      </x:c>
      <x:c r="M2297" s="50" t="n">
        <x:v>38</x:v>
      </x:c>
      <x:c r="N2297" s="50" t="n">
        <x:v>8</x:v>
      </x:c>
      <x:c r="O2297" s="50" t="n">
        <x:v>103</x:v>
      </x:c>
      <x:c r="P2297" s="50" t="n">
        <x:v>17</x:v>
      </x:c>
    </x:row>
    <x:row r="2298" ht="36" customHeight="1">
      <x:c r="A2298" s="53" t="n">
        <x:v>2279</x:v>
      </x:c>
      <x:c r="B2298" s="53" t="n">
        <x:v>3</x:v>
      </x:c>
      <x:c r="C2298" s="40" t="str">
        <x:v>Low-Value Low-Engagement Shoppers</x:v>
      </x:c>
      <x:c r="D2298" s="60" t="n">
        <x:v>972.47</x:v>
      </x:c>
      <x:c r="E2298" s="50" t="n">
        <x:v>59</x:v>
      </x:c>
      <x:c r="F2298" s="46" t="n">
        <x:v>3.2777777777777777</x:v>
      </x:c>
      <x:c r="G2298" s="46" t="n">
        <x:v>6</x:v>
      </x:c>
      <x:c r="H2298" s="61" t="n">
        <x:v>16.482542372881355</x:v>
      </x:c>
      <x:c r="I2298" s="52" t="n">
        <x:v>0.8305084745762711</x:v>
      </x:c>
      <x:c r="J2298" s="52" t="n">
        <x:v>0.5929745904757987</x:v>
      </x:c>
      <x:c r="K2298" s="60" t="n">
        <x:v>919.41</x:v>
      </x:c>
      <x:c r="L2298" s="60" t="n">
        <x:v>53.06</x:v>
      </x:c>
      <x:c r="M2298" s="50" t="n">
        <x:v>49</x:v>
      </x:c>
      <x:c r="N2298" s="50" t="n">
        <x:v>10</x:v>
      </x:c>
      <x:c r="O2298" s="50" t="n">
        <x:v>100</x:v>
      </x:c>
      <x:c r="P2298" s="50" t="n">
        <x:v>18</x:v>
      </x:c>
    </x:row>
    <x:row r="2299" ht="36" customHeight="1">
      <x:c r="A2299" s="53" t="n">
        <x:v>2280</x:v>
      </x:c>
      <x:c r="B2299" s="53" t="n">
        <x:v>1</x:v>
      </x:c>
      <x:c r="C2299" s="40" t="str">
        <x:v>High-Value Frequent Shoppers</x:v>
      </x:c>
      <x:c r="D2299" s="60" t="n">
        <x:v>12332.91</x:v>
      </x:c>
      <x:c r="E2299" s="50" t="n">
        <x:v>228</x:v>
      </x:c>
      <x:c r="F2299" s="46" t="n">
        <x:v>9.913043478260867</x:v>
      </x:c>
      <x:c r="G2299" s="46" t="n">
        <x:v>3</x:v>
      </x:c>
      <x:c r="H2299" s="61" t="n">
        <x:v>54.09171052631579</x:v>
      </x:c>
      <x:c r="I2299" s="52" t="n">
        <x:v>0.925438596491228</x:v>
      </x:c>
      <x:c r="J2299" s="52" t="n">
        <x:v>0.5632441978413854</x:v>
      </x:c>
      <x:c r="K2299" s="60" t="n">
        <x:v>12176.98</x:v>
      </x:c>
      <x:c r="L2299" s="60" t="n">
        <x:v>155.93</x:v>
      </x:c>
      <x:c r="M2299" s="50" t="n">
        <x:v>211</x:v>
      </x:c>
      <x:c r="N2299" s="50" t="n">
        <x:v>17</x:v>
      </x:c>
      <x:c r="O2299" s="50" t="n">
        <x:v>171</x:v>
      </x:c>
      <x:c r="P2299" s="50" t="n">
        <x:v>23</x:v>
      </x:c>
    </x:row>
    <x:row r="2300" ht="36" customHeight="1">
      <x:c r="A2300" s="53" t="n">
        <x:v>2281</x:v>
      </x:c>
      <x:c r="B2300" s="53" t="n">
        <x:v>1</x:v>
      </x:c>
      <x:c r="C2300" s="40" t="str">
        <x:v>High-Value Frequent Shoppers</x:v>
      </x:c>
      <x:c r="D2300" s="60" t="n">
        <x:v>5008.79</x:v>
      </x:c>
      <x:c r="E2300" s="50" t="n">
        <x:v>103</x:v>
      </x:c>
      <x:c r="F2300" s="46" t="n">
        <x:v>5.722222222222222</x:v>
      </x:c>
      <x:c r="G2300" s="46" t="n">
        <x:v>1</x:v>
      </x:c>
      <x:c r="H2300" s="61" t="n">
        <x:v>48.6290291262136</x:v>
      </x:c>
      <x:c r="I2300" s="52" t="n">
        <x:v>0.8543689320388349</x:v>
      </x:c>
      <x:c r="J2300" s="52" t="n">
        <x:v>0.4895034529297495</x:v>
      </x:c>
      <x:c r="K2300" s="60" t="n">
        <x:v>4891.02</x:v>
      </x:c>
      <x:c r="L2300" s="60" t="n">
        <x:v>117.77</x:v>
      </x:c>
      <x:c r="M2300" s="50" t="n">
        <x:v>88</x:v>
      </x:c>
      <x:c r="N2300" s="50" t="n">
        <x:v>15</x:v>
      </x:c>
      <x:c r="O2300" s="50" t="n">
        <x:v>146</x:v>
      </x:c>
      <x:c r="P2300" s="50" t="n">
        <x:v>18</x:v>
      </x:c>
    </x:row>
    <x:row r="2301" ht="36" customHeight="1">
      <x:c r="A2301" s="53" t="n">
        <x:v>2282</x:v>
      </x:c>
      <x:c r="B2301" s="53" t="n">
        <x:v>3</x:v>
      </x:c>
      <x:c r="C2301" s="40" t="str">
        <x:v>Low-Value Low-Engagement Shoppers</x:v>
      </x:c>
      <x:c r="D2301" s="60" t="n">
        <x:v>1103.88</x:v>
      </x:c>
      <x:c r="E2301" s="50" t="n">
        <x:v>79</x:v>
      </x:c>
      <x:c r="F2301" s="46" t="n">
        <x:v>3.7619047619047614</x:v>
      </x:c>
      <x:c r="G2301" s="46" t="n">
        <x:v>2</x:v>
      </x:c>
      <x:c r="H2301" s="61" t="n">
        <x:v>13.973164556962024</x:v>
      </x:c>
      <x:c r="I2301" s="52" t="n">
        <x:v>0.860759493670886</x:v>
      </x:c>
      <x:c r="J2301" s="52" t="n">
        <x:v>0.3002047323984491</x:v>
      </x:c>
      <x:c r="K2301" s="60" t="n">
        <x:v>987.25</x:v>
      </x:c>
      <x:c r="L2301" s="60" t="n">
        <x:v>116.63</x:v>
      </x:c>
      <x:c r="M2301" s="50" t="n">
        <x:v>68</x:v>
      </x:c>
      <x:c r="N2301" s="50" t="n">
        <x:v>11</x:v>
      </x:c>
      <x:c r="O2301" s="50" t="n">
        <x:v>96</x:v>
      </x:c>
      <x:c r="P2301" s="50" t="n">
        <x:v>21</x:v>
      </x:c>
    </x:row>
    <x:row r="2302" ht="36" customHeight="1">
      <x:c r="A2302" s="53" t="n">
        <x:v>2283</x:v>
      </x:c>
      <x:c r="B2302" s="53" t="n">
        <x:v>2</x:v>
      </x:c>
      <x:c r="C2302" s="40" t="str">
        <x:v>Large-Basket Occasional Shoppers</x:v>
      </x:c>
      <x:c r="D2302" s="60" t="n">
        <x:v>1389.37</x:v>
      </x:c>
      <x:c r="E2302" s="50" t="n">
        <x:v>17</x:v>
      </x:c>
      <x:c r="F2302" s="46" t="n">
        <x:v>1.5454545454545456</x:v>
      </x:c>
      <x:c r="G2302" s="46" t="n">
        <x:v>20</x:v>
      </x:c>
      <x:c r="H2302" s="61" t="n">
        <x:v>81.72764705882354</x:v>
      </x:c>
      <x:c r="I2302" s="52" t="n">
        <x:v>0.8235294117647058</x:v>
      </x:c>
      <x:c r="J2302" s="52" t="n">
        <x:v>0.4497865939238647</x:v>
      </x:c>
      <x:c r="K2302" s="60" t="n">
        <x:v>1337</x:v>
      </x:c>
      <x:c r="L2302" s="60" t="n">
        <x:v>52.37</x:v>
      </x:c>
      <x:c r="M2302" s="50" t="n">
        <x:v>14</x:v>
      </x:c>
      <x:c r="N2302" s="50" t="n">
        <x:v>3</x:v>
      </x:c>
      <x:c r="O2302" s="50" t="n">
        <x:v>118</x:v>
      </x:c>
      <x:c r="P2302" s="50" t="n">
        <x:v>11</x:v>
      </x:c>
    </x:row>
    <x:row r="2303" ht="36" customHeight="1">
      <x:c r="A2303" s="53" t="n">
        <x:v>2284</x:v>
      </x:c>
      <x:c r="B2303" s="53" t="n">
        <x:v>1</x:v>
      </x:c>
      <x:c r="C2303" s="40" t="str">
        <x:v>High-Value Frequent Shoppers</x:v>
      </x:c>
      <x:c r="D2303" s="60" t="n">
        <x:v>17152.63</x:v>
      </x:c>
      <x:c r="E2303" s="50" t="n">
        <x:v>264</x:v>
      </x:c>
      <x:c r="F2303" s="46" t="n">
        <x:v>12.571428571428571</x:v>
      </x:c>
      <x:c r="G2303" s="46" t="n">
        <x:v>1</x:v>
      </x:c>
      <x:c r="H2303" s="61" t="n">
        <x:v>64.97208333333333</x:v>
      </x:c>
      <x:c r="I2303" s="52" t="n">
        <x:v>0.856060606060606</x:v>
      </x:c>
      <x:c r="J2303" s="52" t="n">
        <x:v>0.3592825123610781</x:v>
      </x:c>
      <x:c r="K2303" s="60" t="n">
        <x:v>16446.23</x:v>
      </x:c>
      <x:c r="L2303" s="60" t="n">
        <x:v>706.4</x:v>
      </x:c>
      <x:c r="M2303" s="50" t="n">
        <x:v>226</x:v>
      </x:c>
      <x:c r="N2303" s="50" t="n">
        <x:v>38</x:v>
      </x:c>
      <x:c r="O2303" s="50" t="n">
        <x:v>227</x:v>
      </x:c>
      <x:c r="P2303" s="50" t="n">
        <x:v>21</x:v>
      </x:c>
    </x:row>
    <x:row r="2304" ht="36" customHeight="1">
      <x:c r="A2304" s="53" t="n">
        <x:v>2285</x:v>
      </x:c>
      <x:c r="B2304" s="53" t="n">
        <x:v>2</x:v>
      </x:c>
      <x:c r="C2304" s="40" t="str">
        <x:v>Large-Basket Occasional Shoppers</x:v>
      </x:c>
      <x:c r="D2304" s="60" t="n">
        <x:v>2057.9</x:v>
      </x:c>
      <x:c r="E2304" s="50" t="n">
        <x:v>73</x:v>
      </x:c>
      <x:c r="F2304" s="46" t="n">
        <x:v>4.294117647058824</x:v>
      </x:c>
      <x:c r="G2304" s="46" t="n">
        <x:v>13</x:v>
      </x:c>
      <x:c r="H2304" s="61" t="n">
        <x:v>28.190410958904103</x:v>
      </x:c>
      <x:c r="I2304" s="52" t="n">
        <x:v>0.8767123287671232</x:v>
      </x:c>
      <x:c r="J2304" s="52" t="n">
        <x:v>0.6327081004907915</x:v>
      </x:c>
      <x:c r="K2304" s="60" t="n">
        <x:v>1966.99</x:v>
      </x:c>
      <x:c r="L2304" s="60" t="n">
        <x:v>90.91</x:v>
      </x:c>
      <x:c r="M2304" s="50" t="n">
        <x:v>64</x:v>
      </x:c>
      <x:c r="N2304" s="50" t="n">
        <x:v>9</x:v>
      </x:c>
      <x:c r="O2304" s="50" t="n">
        <x:v>119</x:v>
      </x:c>
      <x:c r="P2304" s="50" t="n">
        <x:v>17</x:v>
      </x:c>
    </x:row>
    <x:row r="2305" ht="36" customHeight="1">
      <x:c r="A2305" s="53" t="n">
        <x:v>2286</x:v>
      </x:c>
      <x:c r="B2305" s="53" t="n">
        <x:v>3</x:v>
      </x:c>
      <x:c r="C2305" s="40" t="str">
        <x:v>Low-Value Low-Engagement Shoppers</x:v>
      </x:c>
      <x:c r="D2305" s="60" t="n">
        <x:v>989.26</x:v>
      </x:c>
      <x:c r="E2305" s="50" t="n">
        <x:v>26</x:v>
      </x:c>
      <x:c r="F2305" s="46" t="n">
        <x:v>1.7333333333333332</x:v>
      </x:c>
      <x:c r="G2305" s="46" t="n">
        <x:v>52</x:v>
      </x:c>
      <x:c r="H2305" s="61" t="n">
        <x:v>38.04846153846154</x:v>
      </x:c>
      <x:c r="I2305" s="52" t="n">
        <x:v>0.6923076923076923</x:v>
      </x:c>
      <x:c r="J2305" s="52" t="n">
        <x:v>0.4516709459596061</x:v>
      </x:c>
      <x:c r="K2305" s="60" t="n">
        <x:v>880.66</x:v>
      </x:c>
      <x:c r="L2305" s="60" t="n">
        <x:v>108.6</x:v>
      </x:c>
      <x:c r="M2305" s="50" t="n">
        <x:v>18</x:v>
      </x:c>
      <x:c r="N2305" s="50" t="n">
        <x:v>8</x:v>
      </x:c>
      <x:c r="O2305" s="50" t="n">
        <x:v>96</x:v>
      </x:c>
      <x:c r="P2305" s="50" t="n">
        <x:v>15</x:v>
      </x:c>
    </x:row>
    <x:row r="2306" ht="36" customHeight="1">
      <x:c r="A2306" s="53" t="n">
        <x:v>2287</x:v>
      </x:c>
      <x:c r="B2306" s="53" t="n">
        <x:v>2</x:v>
      </x:c>
      <x:c r="C2306" s="40" t="str">
        <x:v>Large-Basket Occasional Shoppers</x:v>
      </x:c>
      <x:c r="D2306" s="60" t="n">
        <x:v>833.51</x:v>
      </x:c>
      <x:c r="E2306" s="50" t="n">
        <x:v>33</x:v>
      </x:c>
      <x:c r="F2306" s="46" t="n">
        <x:v>2.3571428571428568</x:v>
      </x:c>
      <x:c r="G2306" s="46" t="n">
        <x:v>9</x:v>
      </x:c>
      <x:c r="H2306" s="61" t="n">
        <x:v>25.257878787878788</x:v>
      </x:c>
      <x:c r="I2306" s="52" t="n">
        <x:v>0.8484848484848484</x:v>
      </x:c>
      <x:c r="J2306" s="52" t="n">
        <x:v>0.476167052584852</x:v>
      </x:c>
      <x:c r="K2306" s="60" t="n">
        <x:v>808.05</x:v>
      </x:c>
      <x:c r="L2306" s="60" t="n">
        <x:v>25.46</x:v>
      </x:c>
      <x:c r="M2306" s="50" t="n">
        <x:v>28</x:v>
      </x:c>
      <x:c r="N2306" s="50" t="n">
        <x:v>5</x:v>
      </x:c>
      <x:c r="O2306" s="50" t="n">
        <x:v>86</x:v>
      </x:c>
      <x:c r="P2306" s="50" t="n">
        <x:v>14</x:v>
      </x:c>
    </x:row>
    <x:row r="2307" ht="36" customHeight="1">
      <x:c r="A2307" s="53" t="n">
        <x:v>2288</x:v>
      </x:c>
      <x:c r="B2307" s="53" t="n">
        <x:v>1</x:v>
      </x:c>
      <x:c r="C2307" s="40" t="str">
        <x:v>High-Value Frequent Shoppers</x:v>
      </x:c>
      <x:c r="D2307" s="60" t="n">
        <x:v>2093.06</x:v>
      </x:c>
      <x:c r="E2307" s="50" t="n">
        <x:v>156</x:v>
      </x:c>
      <x:c r="F2307" s="46" t="n">
        <x:v>7.090909090909091</x:v>
      </x:c>
      <x:c r="G2307" s="46" t="n">
        <x:v>0</x:v>
      </x:c>
      <x:c r="H2307" s="61" t="n">
        <x:v>13.417051282051284</x:v>
      </x:c>
      <x:c r="I2307" s="52" t="n">
        <x:v>0.7692307692307692</x:v>
      </x:c>
      <x:c r="J2307" s="52" t="n">
        <x:v>0.521184294764603</x:v>
      </x:c>
      <x:c r="K2307" s="60" t="n">
        <x:v>1874.85</x:v>
      </x:c>
      <x:c r="L2307" s="60" t="n">
        <x:v>218.21</x:v>
      </x:c>
      <x:c r="M2307" s="50" t="n">
        <x:v>120</x:v>
      </x:c>
      <x:c r="N2307" s="50" t="n">
        <x:v>36</x:v>
      </x:c>
      <x:c r="O2307" s="50" t="n">
        <x:v>131</x:v>
      </x:c>
      <x:c r="P2307" s="50" t="n">
        <x:v>22</x:v>
      </x:c>
    </x:row>
    <x:row r="2308" ht="36" customHeight="1">
      <x:c r="A2308" s="53" t="n">
        <x:v>2289</x:v>
      </x:c>
      <x:c r="B2308" s="53" t="n">
        <x:v>1</x:v>
      </x:c>
      <x:c r="C2308" s="40" t="str">
        <x:v>High-Value Frequent Shoppers</x:v>
      </x:c>
      <x:c r="D2308" s="60" t="n">
        <x:v>2428.06</x:v>
      </x:c>
      <x:c r="E2308" s="50" t="n">
        <x:v>88</x:v>
      </x:c>
      <x:c r="F2308" s="46" t="n">
        <x:v>4.190476190476192</x:v>
      </x:c>
      <x:c r="G2308" s="46" t="n">
        <x:v>2</x:v>
      </x:c>
      <x:c r="H2308" s="61" t="n">
        <x:v>27.591590909090908</x:v>
      </x:c>
      <x:c r="I2308" s="52" t="n">
        <x:v>0.943181818181818</x:v>
      </x:c>
      <x:c r="J2308" s="52" t="n">
        <x:v>0.6439256031564294</x:v>
      </x:c>
      <x:c r="K2308" s="60" t="n">
        <x:v>2380.11</x:v>
      </x:c>
      <x:c r="L2308" s="60" t="n">
        <x:v>47.95</x:v>
      </x:c>
      <x:c r="M2308" s="50" t="n">
        <x:v>83</x:v>
      </x:c>
      <x:c r="N2308" s="50" t="n">
        <x:v>5</x:v>
      </x:c>
      <x:c r="O2308" s="50" t="n">
        <x:v>134</x:v>
      </x:c>
      <x:c r="P2308" s="50" t="n">
        <x:v>21</x:v>
      </x:c>
    </x:row>
    <x:row r="2309" ht="36" customHeight="1">
      <x:c r="A2309" s="53" t="n">
        <x:v>2290</x:v>
      </x:c>
      <x:c r="B2309" s="53" t="n">
        <x:v>3</x:v>
      </x:c>
      <x:c r="C2309" s="40" t="str">
        <x:v>Low-Value Low-Engagement Shoppers</x:v>
      </x:c>
      <x:c r="D2309" s="60" t="n">
        <x:v>916.97</x:v>
      </x:c>
      <x:c r="E2309" s="50" t="n">
        <x:v>69</x:v>
      </x:c>
      <x:c r="F2309" s="46" t="n">
        <x:v>3.631578947368421</x:v>
      </x:c>
      <x:c r="G2309" s="46" t="n">
        <x:v>17</x:v>
      </x:c>
      <x:c r="H2309" s="61" t="n">
        <x:v>13.289420289855071</x:v>
      </x:c>
      <x:c r="I2309" s="52" t="n">
        <x:v>0.7681159420289855</x:v>
      </x:c>
      <x:c r="J2309" s="52" t="n">
        <x:v>0.4327731550650512</x:v>
      </x:c>
      <x:c r="K2309" s="60" t="n">
        <x:v>806.35</x:v>
      </x:c>
      <x:c r="L2309" s="60" t="n">
        <x:v>110.62</x:v>
      </x:c>
      <x:c r="M2309" s="50" t="n">
        <x:v>53</x:v>
      </x:c>
      <x:c r="N2309" s="50" t="n">
        <x:v>16</x:v>
      </x:c>
      <x:c r="O2309" s="50" t="n">
        <x:v>80</x:v>
      </x:c>
      <x:c r="P2309" s="50" t="n">
        <x:v>19</x:v>
      </x:c>
    </x:row>
    <x:row r="2310" ht="36" customHeight="1">
      <x:c r="A2310" s="53" t="n">
        <x:v>2291</x:v>
      </x:c>
      <x:c r="B2310" s="53" t="n">
        <x:v>3</x:v>
      </x:c>
      <x:c r="C2310" s="40" t="str">
        <x:v>Low-Value Low-Engagement Shoppers</x:v>
      </x:c>
      <x:c r="D2310" s="60" t="n">
        <x:v>439.03</x:v>
      </x:c>
      <x:c r="E2310" s="50" t="n">
        <x:v>55</x:v>
      </x:c>
      <x:c r="F2310" s="46" t="n">
        <x:v>3.928571428571429</x:v>
      </x:c>
      <x:c r="G2310" s="46" t="n">
        <x:v>46</x:v>
      </x:c>
      <x:c r="H2310" s="61" t="n">
        <x:v>7.982363636363635</x:v>
      </x:c>
      <x:c r="I2310" s="52" t="n">
        <x:v>0.6545454545454545</x:v>
      </x:c>
      <x:c r="J2310" s="52" t="n">
        <x:v>0.2985445185978179</x:v>
      </x:c>
      <x:c r="K2310" s="60" t="n">
        <x:v>329.08</x:v>
      </x:c>
      <x:c r="L2310" s="60" t="n">
        <x:v>109.95</x:v>
      </x:c>
      <x:c r="M2310" s="50" t="n">
        <x:v>36</x:v>
      </x:c>
      <x:c r="N2310" s="50" t="n">
        <x:v>19</x:v>
      </x:c>
      <x:c r="O2310" s="50" t="n">
        <x:v>49</x:v>
      </x:c>
      <x:c r="P2310" s="50" t="n">
        <x:v>14</x:v>
      </x:c>
    </x:row>
    <x:row r="2311" ht="36" customHeight="1">
      <x:c r="A2311" s="53" t="n">
        <x:v>2292</x:v>
      </x:c>
      <x:c r="B2311" s="53" t="n">
        <x:v>1</x:v>
      </x:c>
      <x:c r="C2311" s="40" t="str">
        <x:v>High-Value Frequent Shoppers</x:v>
      </x:c>
      <x:c r="D2311" s="60" t="n">
        <x:v>1336.14</x:v>
      </x:c>
      <x:c r="E2311" s="50" t="n">
        <x:v>116</x:v>
      </x:c>
      <x:c r="F2311" s="46" t="n">
        <x:v>8.923076923076923</x:v>
      </x:c>
      <x:c r="G2311" s="46" t="n">
        <x:v>1</x:v>
      </x:c>
      <x:c r="H2311" s="61" t="n">
        <x:v>11.518448275862069</x:v>
      </x:c>
      <x:c r="I2311" s="52" t="n">
        <x:v>0.8362068965517241</x:v>
      </x:c>
      <x:c r="J2311" s="52" t="n">
        <x:v>0.6151301510320774</x:v>
      </x:c>
      <x:c r="K2311" s="60" t="n">
        <x:v>1210.17</x:v>
      </x:c>
      <x:c r="L2311" s="60" t="n">
        <x:v>125.97</x:v>
      </x:c>
      <x:c r="M2311" s="50" t="n">
        <x:v>97</x:v>
      </x:c>
      <x:c r="N2311" s="50" t="n">
        <x:v>19</x:v>
      </x:c>
      <x:c r="O2311" s="50" t="n">
        <x:v>97</x:v>
      </x:c>
      <x:c r="P2311" s="50" t="n">
        <x:v>13</x:v>
      </x:c>
    </x:row>
    <x:row r="2312" ht="36" customHeight="1">
      <x:c r="A2312" s="53" t="n">
        <x:v>2293</x:v>
      </x:c>
      <x:c r="B2312" s="53" t="n">
        <x:v>2</x:v>
      </x:c>
      <x:c r="C2312" s="40" t="str">
        <x:v>Large-Basket Occasional Shoppers</x:v>
      </x:c>
      <x:c r="D2312" s="60" t="n">
        <x:v>2462.95</x:v>
      </x:c>
      <x:c r="E2312" s="50" t="n">
        <x:v>45</x:v>
      </x:c>
      <x:c r="F2312" s="46" t="n">
        <x:v>2.8125</x:v>
      </x:c>
      <x:c r="G2312" s="46" t="n">
        <x:v>1</x:v>
      </x:c>
      <x:c r="H2312" s="61" t="n">
        <x:v>54.73222222222223</x:v>
      </x:c>
      <x:c r="I2312" s="52" t="n">
        <x:v>0.8888888888888888</x:v>
      </x:c>
      <x:c r="J2312" s="52" t="n">
        <x:v>0.3976897622769443</x:v>
      </x:c>
      <x:c r="K2312" s="60" t="n">
        <x:v>2352.84</x:v>
      </x:c>
      <x:c r="L2312" s="60" t="n">
        <x:v>110.11</x:v>
      </x:c>
      <x:c r="M2312" s="50" t="n">
        <x:v>40</x:v>
      </x:c>
      <x:c r="N2312" s="50" t="n">
        <x:v>5</x:v>
      </x:c>
      <x:c r="O2312" s="50" t="n">
        <x:v>115</x:v>
      </x:c>
      <x:c r="P2312" s="50" t="n">
        <x:v>16</x:v>
      </x:c>
    </x:row>
    <x:row r="2313" ht="36" customHeight="1">
      <x:c r="A2313" s="53" t="n">
        <x:v>2294</x:v>
      </x:c>
      <x:c r="B2313" s="53" t="n">
        <x:v>1</x:v>
      </x:c>
      <x:c r="C2313" s="40" t="str">
        <x:v>High-Value Frequent Shoppers</x:v>
      </x:c>
      <x:c r="D2313" s="60" t="n">
        <x:v>8381.66</x:v>
      </x:c>
      <x:c r="E2313" s="50" t="n">
        <x:v>186</x:v>
      </x:c>
      <x:c r="F2313" s="46" t="n">
        <x:v>8.454545454545455</x:v>
      </x:c>
      <x:c r="G2313" s="46" t="n">
        <x:v>29</x:v>
      </x:c>
      <x:c r="H2313" s="61" t="n">
        <x:v>45.06268817204301</x:v>
      </x:c>
      <x:c r="I2313" s="52" t="n">
        <x:v>0.8548387096774193</x:v>
      </x:c>
      <x:c r="J2313" s="52" t="n">
        <x:v>0.6768492160264195</x:v>
      </x:c>
      <x:c r="K2313" s="60" t="n">
        <x:v>8213.06</x:v>
      </x:c>
      <x:c r="L2313" s="60" t="n">
        <x:v>168.6</x:v>
      </x:c>
      <x:c r="M2313" s="50" t="n">
        <x:v>159</x:v>
      </x:c>
      <x:c r="N2313" s="50" t="n">
        <x:v>27</x:v>
      </x:c>
      <x:c r="O2313" s="50" t="n">
        <x:v>178</x:v>
      </x:c>
      <x:c r="P2313" s="50" t="n">
        <x:v>22</x:v>
      </x:c>
    </x:row>
    <x:row r="2314" ht="36" customHeight="1">
      <x:c r="A2314" s="53" t="n">
        <x:v>2295</x:v>
      </x:c>
      <x:c r="B2314" s="53" t="n">
        <x:v>1</x:v>
      </x:c>
      <x:c r="C2314" s="40" t="str">
        <x:v>High-Value Frequent Shoppers</x:v>
      </x:c>
      <x:c r="D2314" s="60" t="n">
        <x:v>8003.99</x:v>
      </x:c>
      <x:c r="E2314" s="50" t="n">
        <x:v>98</x:v>
      </x:c>
      <x:c r="F2314" s="46" t="n">
        <x:v>4.666666666666666</x:v>
      </x:c>
      <x:c r="G2314" s="46" t="n">
        <x:v>20</x:v>
      </x:c>
      <x:c r="H2314" s="61" t="n">
        <x:v>81.67336734693876</x:v>
      </x:c>
      <x:c r="I2314" s="52" t="n">
        <x:v>0.9285714285714284</x:v>
      </x:c>
      <x:c r="J2314" s="52" t="n">
        <x:v>0.5468872399890554</x:v>
      </x:c>
      <x:c r="K2314" s="60" t="n">
        <x:v>7949.06</x:v>
      </x:c>
      <x:c r="L2314" s="60" t="n">
        <x:v>54.93</x:v>
      </x:c>
      <x:c r="M2314" s="50" t="n">
        <x:v>91</x:v>
      </x:c>
      <x:c r="N2314" s="50" t="n">
        <x:v>7</x:v>
      </x:c>
      <x:c r="O2314" s="50" t="n">
        <x:v>183</x:v>
      </x:c>
      <x:c r="P2314" s="50" t="n">
        <x:v>21</x:v>
      </x:c>
    </x:row>
    <x:row r="2315" ht="36" customHeight="1">
      <x:c r="A2315" s="53" t="n">
        <x:v>2296</x:v>
      </x:c>
      <x:c r="B2315" s="53" t="n">
        <x:v>1</x:v>
      </x:c>
      <x:c r="C2315" s="40" t="str">
        <x:v>High-Value Frequent Shoppers</x:v>
      </x:c>
      <x:c r="D2315" s="60" t="n">
        <x:v>13404.83</x:v>
      </x:c>
      <x:c r="E2315" s="50" t="n">
        <x:v>230</x:v>
      </x:c>
      <x:c r="F2315" s="46" t="n">
        <x:v>10.952380952380953</x:v>
      </x:c>
      <x:c r="G2315" s="46" t="n">
        <x:v>0</x:v>
      </x:c>
      <x:c r="H2315" s="61" t="n">
        <x:v>58.28186956521739</x:v>
      </x:c>
      <x:c r="I2315" s="52" t="n">
        <x:v>0.8869565217391304</x:v>
      </x:c>
      <x:c r="J2315" s="52" t="n">
        <x:v>0.4328036983684239</x:v>
      </x:c>
      <x:c r="K2315" s="60" t="n">
        <x:v>13152.57</x:v>
      </x:c>
      <x:c r="L2315" s="60" t="n">
        <x:v>252.26</x:v>
      </x:c>
      <x:c r="M2315" s="50" t="n">
        <x:v>204</x:v>
      </x:c>
      <x:c r="N2315" s="50" t="n">
        <x:v>26</x:v>
      </x:c>
      <x:c r="O2315" s="50" t="n">
        <x:v>195</x:v>
      </x:c>
      <x:c r="P2315" s="50" t="n">
        <x:v>21</x:v>
      </x:c>
    </x:row>
    <x:row r="2316" ht="36" customHeight="1">
      <x:c r="A2316" s="53" t="n">
        <x:v>2297</x:v>
      </x:c>
      <x:c r="B2316" s="53" t="n">
        <x:v>3</x:v>
      </x:c>
      <x:c r="C2316" s="40" t="str">
        <x:v>Low-Value Low-Engagement Shoppers</x:v>
      </x:c>
      <x:c r="D2316" s="60" t="n">
        <x:v>698.36</x:v>
      </x:c>
      <x:c r="E2316" s="50" t="n">
        <x:v>45</x:v>
      </x:c>
      <x:c r="F2316" s="46" t="n">
        <x:v>2.3684210526315788</x:v>
      </x:c>
      <x:c r="G2316" s="46" t="n">
        <x:v>13</x:v>
      </x:c>
      <x:c r="H2316" s="61" t="n">
        <x:v>15.519111111111112</x:v>
      </x:c>
      <x:c r="I2316" s="52" t="n">
        <x:v>0.9111111111111112</x:v>
      </x:c>
      <x:c r="J2316" s="52" t="n">
        <x:v>0.2590927315424709</x:v>
      </x:c>
      <x:c r="K2316" s="60" t="n">
        <x:v>673.41</x:v>
      </x:c>
      <x:c r="L2316" s="60" t="n">
        <x:v>24.95</x:v>
      </x:c>
      <x:c r="M2316" s="50" t="n">
        <x:v>41</x:v>
      </x:c>
      <x:c r="N2316" s="50" t="n">
        <x:v>4</x:v>
      </x:c>
      <x:c r="O2316" s="50" t="n">
        <x:v>64</x:v>
      </x:c>
      <x:c r="P2316" s="50" t="n">
        <x:v>19</x:v>
      </x:c>
    </x:row>
    <x:row r="2317" ht="36" customHeight="1">
      <x:c r="A2317" s="53" t="n">
        <x:v>2298</x:v>
      </x:c>
      <x:c r="B2317" s="53" t="n">
        <x:v>2</x:v>
      </x:c>
      <x:c r="C2317" s="40" t="str">
        <x:v>Large-Basket Occasional Shoppers</x:v>
      </x:c>
      <x:c r="D2317" s="60" t="n">
        <x:v>2709.53</x:v>
      </x:c>
      <x:c r="E2317" s="50" t="n">
        <x:v>83</x:v>
      </x:c>
      <x:c r="F2317" s="46" t="n">
        <x:v>3.772727272727273</x:v>
      </x:c>
      <x:c r="G2317" s="46" t="n">
        <x:v>0</x:v>
      </x:c>
      <x:c r="H2317" s="61" t="n">
        <x:v>32.64493975903614</x:v>
      </x:c>
      <x:c r="I2317" s="52" t="n">
        <x:v>0.9638554216867468</x:v>
      </x:c>
      <x:c r="J2317" s="52" t="n">
        <x:v>0.4828254346694814</x:v>
      </x:c>
      <x:c r="K2317" s="60" t="n">
        <x:v>2690.94</x:v>
      </x:c>
      <x:c r="L2317" s="60" t="n">
        <x:v>18.59</x:v>
      </x:c>
      <x:c r="M2317" s="50" t="n">
        <x:v>80</x:v>
      </x:c>
      <x:c r="N2317" s="50" t="n">
        <x:v>3</x:v>
      </x:c>
      <x:c r="O2317" s="50" t="n">
        <x:v>111</x:v>
      </x:c>
      <x:c r="P2317" s="50" t="n">
        <x:v>22</x:v>
      </x:c>
    </x:row>
    <x:row r="2318" ht="36" customHeight="1">
      <x:c r="A2318" s="53" t="n">
        <x:v>2299</x:v>
      </x:c>
      <x:c r="B2318" s="53" t="n">
        <x:v>2</x:v>
      </x:c>
      <x:c r="C2318" s="40" t="str">
        <x:v>Large-Basket Occasional Shoppers</x:v>
      </x:c>
      <x:c r="D2318" s="60" t="n">
        <x:v>2057.89</x:v>
      </x:c>
      <x:c r="E2318" s="50" t="n">
        <x:v>62</x:v>
      </x:c>
      <x:c r="F2318" s="46" t="n">
        <x:v>3.1</x:v>
      </x:c>
      <x:c r="G2318" s="46" t="n">
        <x:v>5</x:v>
      </x:c>
      <x:c r="H2318" s="61" t="n">
        <x:v>33.19177419354839</x:v>
      </x:c>
      <x:c r="I2318" s="52" t="n">
        <x:v>0.8870967741935483</x:v>
      </x:c>
      <x:c r="J2318" s="52" t="n">
        <x:v>0.4502767397674316</x:v>
      </x:c>
      <x:c r="K2318" s="60" t="n">
        <x:v>2006.03</x:v>
      </x:c>
      <x:c r="L2318" s="60" t="n">
        <x:v>51.86</x:v>
      </x:c>
      <x:c r="M2318" s="50" t="n">
        <x:v>55</x:v>
      </x:c>
      <x:c r="N2318" s="50" t="n">
        <x:v>7</x:v>
      </x:c>
      <x:c r="O2318" s="50" t="n">
        <x:v>133</x:v>
      </x:c>
      <x:c r="P2318" s="50" t="n">
        <x:v>20</x:v>
      </x:c>
    </x:row>
    <x:row r="2319" ht="36" customHeight="1">
      <x:c r="A2319" s="53" t="n">
        <x:v>2300</x:v>
      </x:c>
      <x:c r="B2319" s="53" t="n">
        <x:v>1</x:v>
      </x:c>
      <x:c r="C2319" s="40" t="str">
        <x:v>High-Value Frequent Shoppers</x:v>
      </x:c>
      <x:c r="D2319" s="60" t="n">
        <x:v>4615.35</x:v>
      </x:c>
      <x:c r="E2319" s="50" t="n">
        <x:v>118</x:v>
      </x:c>
      <x:c r="F2319" s="46" t="n">
        <x:v>5.363636363636364</x:v>
      </x:c>
      <x:c r="G2319" s="46" t="n">
        <x:v>5</x:v>
      </x:c>
      <x:c r="H2319" s="61" t="n">
        <x:v>39.113135593220335</x:v>
      </x:c>
      <x:c r="I2319" s="52" t="n">
        <x:v>0.8898305084745762</x:v>
      </x:c>
      <x:c r="J2319" s="52" t="n">
        <x:v>0.5085031471069366</x:v>
      </x:c>
      <x:c r="K2319" s="60" t="n">
        <x:v>4407.7</x:v>
      </x:c>
      <x:c r="L2319" s="60" t="n">
        <x:v>207.65</x:v>
      </x:c>
      <x:c r="M2319" s="50" t="n">
        <x:v>105</x:v>
      </x:c>
      <x:c r="N2319" s="50" t="n">
        <x:v>13</x:v>
      </x:c>
      <x:c r="O2319" s="50" t="n">
        <x:v>162</x:v>
      </x:c>
      <x:c r="P2319" s="50" t="n">
        <x:v>22</x:v>
      </x:c>
    </x:row>
    <x:row r="2320" ht="36" customHeight="1">
      <x:c r="A2320" s="53" t="n">
        <x:v>2301</x:v>
      </x:c>
      <x:c r="B2320" s="53" t="n">
        <x:v>1</x:v>
      </x:c>
      <x:c r="C2320" s="40" t="str">
        <x:v>High-Value Frequent Shoppers</x:v>
      </x:c>
      <x:c r="D2320" s="60" t="n">
        <x:v>4661.63</x:v>
      </x:c>
      <x:c r="E2320" s="50" t="n">
        <x:v>137</x:v>
      </x:c>
      <x:c r="F2320" s="46" t="n">
        <x:v>6.227272727272728</x:v>
      </x:c>
      <x:c r="G2320" s="46" t="n">
        <x:v>1</x:v>
      </x:c>
      <x:c r="H2320" s="61" t="n">
        <x:v>34.026496350364965</x:v>
      </x:c>
      <x:c r="I2320" s="52" t="n">
        <x:v>0.8394160583941604</x:v>
      </x:c>
      <x:c r="J2320" s="52" t="n">
        <x:v>0.5620458938182566</x:v>
      </x:c>
      <x:c r="K2320" s="60" t="n">
        <x:v>4490.88</x:v>
      </x:c>
      <x:c r="L2320" s="60" t="n">
        <x:v>170.75</x:v>
      </x:c>
      <x:c r="M2320" s="50" t="n">
        <x:v>115</x:v>
      </x:c>
      <x:c r="N2320" s="50" t="n">
        <x:v>22</x:v>
      </x:c>
      <x:c r="O2320" s="50" t="n">
        <x:v>135</x:v>
      </x:c>
      <x:c r="P2320" s="50" t="n">
        <x:v>22</x:v>
      </x:c>
    </x:row>
    <x:row r="2321" ht="36" customHeight="1">
      <x:c r="A2321" s="53" t="n">
        <x:v>2302</x:v>
      </x:c>
      <x:c r="B2321" s="53" t="n">
        <x:v>2</x:v>
      </x:c>
      <x:c r="C2321" s="40" t="str">
        <x:v>Large-Basket Occasional Shoppers</x:v>
      </x:c>
      <x:c r="D2321" s="60" t="n">
        <x:v>1960.24</x:v>
      </x:c>
      <x:c r="E2321" s="50" t="n">
        <x:v>74</x:v>
      </x:c>
      <x:c r="F2321" s="46" t="n">
        <x:v>3.523809523809524</x:v>
      </x:c>
      <x:c r="G2321" s="46" t="n">
        <x:v>28</x:v>
      </x:c>
      <x:c r="H2321" s="61" t="n">
        <x:v>26.489729729729728</x:v>
      </x:c>
      <x:c r="I2321" s="52" t="n">
        <x:v>0.9324324324324323</x:v>
      </x:c>
      <x:c r="J2321" s="52" t="n">
        <x:v>0.5368832387870872</x:v>
      </x:c>
      <x:c r="K2321" s="60" t="n">
        <x:v>1930.73</x:v>
      </x:c>
      <x:c r="L2321" s="60" t="n">
        <x:v>29.51</x:v>
      </x:c>
      <x:c r="M2321" s="50" t="n">
        <x:v>69</x:v>
      </x:c>
      <x:c r="N2321" s="50" t="n">
        <x:v>5</x:v>
      </x:c>
      <x:c r="O2321" s="50" t="n">
        <x:v>150</x:v>
      </x:c>
      <x:c r="P2321" s="50" t="n">
        <x:v>21</x:v>
      </x:c>
    </x:row>
    <x:row r="2322" ht="36" customHeight="1">
      <x:c r="A2322" s="53" t="n">
        <x:v>2303</x:v>
      </x:c>
      <x:c r="B2322" s="53" t="n">
        <x:v>2</x:v>
      </x:c>
      <x:c r="C2322" s="40" t="str">
        <x:v>Large-Basket Occasional Shoppers</x:v>
      </x:c>
      <x:c r="D2322" s="60" t="n">
        <x:v>2158.85</x:v>
      </x:c>
      <x:c r="E2322" s="50" t="n">
        <x:v>66</x:v>
      </x:c>
      <x:c r="F2322" s="46" t="n">
        <x:v>3</x:v>
      </x:c>
      <x:c r="G2322" s="46" t="n">
        <x:v>5</x:v>
      </x:c>
      <x:c r="H2322" s="61" t="n">
        <x:v>32.709848484848486</x:v>
      </x:c>
      <x:c r="I2322" s="52" t="n">
        <x:v>0.8787878787878787</x:v>
      </x:c>
      <x:c r="J2322" s="52" t="n">
        <x:v>0.4092595594876902</x:v>
      </x:c>
      <x:c r="K2322" s="60" t="n">
        <x:v>1991.44</x:v>
      </x:c>
      <x:c r="L2322" s="60" t="n">
        <x:v>167.41</x:v>
      </x:c>
      <x:c r="M2322" s="50" t="n">
        <x:v>58</x:v>
      </x:c>
      <x:c r="N2322" s="50" t="n">
        <x:v>8</x:v>
      </x:c>
      <x:c r="O2322" s="50" t="n">
        <x:v>123</x:v>
      </x:c>
      <x:c r="P2322" s="50" t="n">
        <x:v>22</x:v>
      </x:c>
    </x:row>
    <x:row r="2323" ht="36" customHeight="1">
      <x:c r="A2323" s="53" t="n">
        <x:v>2304</x:v>
      </x:c>
      <x:c r="B2323" s="53" t="n">
        <x:v>3</x:v>
      </x:c>
      <x:c r="C2323" s="40" t="str">
        <x:v>Low-Value Low-Engagement Shoppers</x:v>
      </x:c>
      <x:c r="D2323" s="60" t="n">
        <x:v>240.09</x:v>
      </x:c>
      <x:c r="E2323" s="50" t="n">
        <x:v>88</x:v>
      </x:c>
      <x:c r="F2323" s="46" t="n">
        <x:v>8</x:v>
      </x:c>
      <x:c r="G2323" s="46" t="n">
        <x:v>137</x:v>
      </x:c>
      <x:c r="H2323" s="61" t="n">
        <x:v>2.7282954545454543</x:v>
      </x:c>
      <x:c r="I2323" s="52" t="n">
        <x:v>0.7613636363636364</x:v>
      </x:c>
      <x:c r="J2323" s="52" t="n">
        <x:v>0.4905243866883252</x:v>
      </x:c>
      <x:c r="K2323" s="60" t="n">
        <x:v>150.24</x:v>
      </x:c>
      <x:c r="L2323" s="60" t="n">
        <x:v>89.85</x:v>
      </x:c>
      <x:c r="M2323" s="50" t="n">
        <x:v>67</x:v>
      </x:c>
      <x:c r="N2323" s="50" t="n">
        <x:v>21</x:v>
      </x:c>
      <x:c r="O2323" s="50" t="n">
        <x:v>35</x:v>
      </x:c>
      <x:c r="P2323" s="50" t="n">
        <x:v>11</x:v>
      </x:c>
    </x:row>
    <x:row r="2324" ht="36" customHeight="1">
      <x:c r="A2324" s="53" t="n">
        <x:v>2305</x:v>
      </x:c>
      <x:c r="B2324" s="53" t="n">
        <x:v>1</x:v>
      </x:c>
      <x:c r="C2324" s="40" t="str">
        <x:v>High-Value Frequent Shoppers</x:v>
      </x:c>
      <x:c r="D2324" s="60" t="n">
        <x:v>6320.64</x:v>
      </x:c>
      <x:c r="E2324" s="50" t="n">
        <x:v>122</x:v>
      </x:c>
      <x:c r="F2324" s="46" t="n">
        <x:v>5.083333333333333</x:v>
      </x:c>
      <x:c r="G2324" s="46" t="n">
        <x:v>7</x:v>
      </x:c>
      <x:c r="H2324" s="61" t="n">
        <x:v>51.808524590163934</x:v>
      </x:c>
      <x:c r="I2324" s="52" t="n">
        <x:v>0.8852459016393442</x:v>
      </x:c>
      <x:c r="J2324" s="52" t="n">
        <x:v>0.5487181677804779</x:v>
      </x:c>
      <x:c r="K2324" s="60" t="n">
        <x:v>6091.83</x:v>
      </x:c>
      <x:c r="L2324" s="60" t="n">
        <x:v>228.81</x:v>
      </x:c>
      <x:c r="M2324" s="50" t="n">
        <x:v>108</x:v>
      </x:c>
      <x:c r="N2324" s="50" t="n">
        <x:v>14</x:v>
      </x:c>
      <x:c r="O2324" s="50" t="n">
        <x:v>157</x:v>
      </x:c>
      <x:c r="P2324" s="50" t="n">
        <x:v>24</x:v>
      </x:c>
    </x:row>
    <x:row r="2325" ht="36" customHeight="1">
      <x:c r="A2325" s="53" t="n">
        <x:v>2306</x:v>
      </x:c>
      <x:c r="B2325" s="53" t="n">
        <x:v>3</x:v>
      </x:c>
      <x:c r="C2325" s="40" t="str">
        <x:v>Low-Value Low-Engagement Shoppers</x:v>
      </x:c>
      <x:c r="D2325" s="60" t="n">
        <x:v>62.06</x:v>
      </x:c>
      <x:c r="E2325" s="50" t="n">
        <x:v>8</x:v>
      </x:c>
      <x:c r="F2325" s="46" t="n">
        <x:v>2</x:v>
      </x:c>
      <x:c r="G2325" s="46" t="n">
        <x:v>370</x:v>
      </x:c>
      <x:c r="H2325" s="61" t="n">
        <x:v>7.7575</x:v>
      </x:c>
      <x:c r="I2325" s="52" t="n">
        <x:v>0.875</x:v>
      </x:c>
      <x:c r="J2325" s="52" t="n">
        <x:v>0.5370609087979374</x:v>
      </x:c>
      <x:c r="K2325" s="60" t="n">
        <x:v>58.88</x:v>
      </x:c>
      <x:c r="L2325" s="60" t="n">
        <x:v>3.18</x:v>
      </x:c>
      <x:c r="M2325" s="50" t="n">
        <x:v>7</x:v>
      </x:c>
      <x:c r="N2325" s="50" t="n">
        <x:v>1</x:v>
      </x:c>
      <x:c r="O2325" s="50" t="n">
        <x:v>15</x:v>
      </x:c>
      <x:c r="P2325" s="50" t="n">
        <x:v>4</x:v>
      </x:c>
    </x:row>
    <x:row r="2326" ht="36" customHeight="1">
      <x:c r="A2326" s="53" t="n">
        <x:v>2307</x:v>
      </x:c>
      <x:c r="B2326" s="53" t="n">
        <x:v>1</x:v>
      </x:c>
      <x:c r="C2326" s="40" t="str">
        <x:v>High-Value Frequent Shoppers</x:v>
      </x:c>
      <x:c r="D2326" s="60" t="n">
        <x:v>6009.24</x:v>
      </x:c>
      <x:c r="E2326" s="50" t="n">
        <x:v>179</x:v>
      </x:c>
      <x:c r="F2326" s="46" t="n">
        <x:v>7.458333333333333</x:v>
      </x:c>
      <x:c r="G2326" s="46" t="n">
        <x:v>2</x:v>
      </x:c>
      <x:c r="H2326" s="61" t="n">
        <x:v>33.57117318435754</x:v>
      </x:c>
      <x:c r="I2326" s="52" t="n">
        <x:v>0.88268156424581</x:v>
      </x:c>
      <x:c r="J2326" s="52" t="n">
        <x:v>0.6142973154675133</x:v>
      </x:c>
      <x:c r="K2326" s="60" t="n">
        <x:v>5860.03</x:v>
      </x:c>
      <x:c r="L2326" s="60" t="n">
        <x:v>149.21</x:v>
      </x:c>
      <x:c r="M2326" s="50" t="n">
        <x:v>158</x:v>
      </x:c>
      <x:c r="N2326" s="50" t="n">
        <x:v>21</x:v>
      </x:c>
      <x:c r="O2326" s="50" t="n">
        <x:v>147</x:v>
      </x:c>
      <x:c r="P2326" s="50" t="n">
        <x:v>24</x:v>
      </x:c>
    </x:row>
    <x:row r="2327" ht="36" customHeight="1">
      <x:c r="A2327" s="53" t="n">
        <x:v>2308</x:v>
      </x:c>
      <x:c r="B2327" s="53" t="n">
        <x:v>3</x:v>
      </x:c>
      <x:c r="C2327" s="40" t="str">
        <x:v>Low-Value Low-Engagement Shoppers</x:v>
      </x:c>
      <x:c r="D2327" s="60" t="n">
        <x:v>582.45</x:v>
      </x:c>
      <x:c r="E2327" s="50" t="n">
        <x:v>31</x:v>
      </x:c>
      <x:c r="F2327" s="46" t="n">
        <x:v>2.583333333333333</x:v>
      </x:c>
      <x:c r="G2327" s="46" t="n">
        <x:v>13</x:v>
      </x:c>
      <x:c r="H2327" s="61" t="n">
        <x:v>18.788709677419355</x:v>
      </x:c>
      <x:c r="I2327" s="52" t="n">
        <x:v>0.7741935483870968</x:v>
      </x:c>
      <x:c r="J2327" s="52" t="n">
        <x:v>0.342158125160958</x:v>
      </x:c>
      <x:c r="K2327" s="60" t="n">
        <x:v>511.09</x:v>
      </x:c>
      <x:c r="L2327" s="60" t="n">
        <x:v>71.36</x:v>
      </x:c>
      <x:c r="M2327" s="50" t="n">
        <x:v>24</x:v>
      </x:c>
      <x:c r="N2327" s="50" t="n">
        <x:v>7</x:v>
      </x:c>
      <x:c r="O2327" s="50" t="n">
        <x:v>70</x:v>
      </x:c>
      <x:c r="P2327" s="50" t="n">
        <x:v>12</x:v>
      </x:c>
    </x:row>
    <x:row r="2328" ht="36" customHeight="1">
      <x:c r="A2328" s="53" t="n">
        <x:v>2309</x:v>
      </x:c>
      <x:c r="B2328" s="53" t="n">
        <x:v>2</x:v>
      </x:c>
      <x:c r="C2328" s="40" t="str">
        <x:v>Large-Basket Occasional Shoppers</x:v>
      </x:c>
      <x:c r="D2328" s="60" t="n">
        <x:v>275.01</x:v>
      </x:c>
      <x:c r="E2328" s="50" t="n">
        <x:v>12</x:v>
      </x:c>
      <x:c r="F2328" s="46" t="n">
        <x:v>2</x:v>
      </x:c>
      <x:c r="G2328" s="46" t="n">
        <x:v>75</x:v>
      </x:c>
      <x:c r="H2328" s="61" t="n">
        <x:v>22.9175</x:v>
      </x:c>
      <x:c r="I2328" s="52" t="n">
        <x:v>1</x:v>
      </x:c>
      <x:c r="J2328" s="52" t="n">
        <x:v>0.5876877204465292</x:v>
      </x:c>
      <x:c r="K2328" s="60" t="n">
        <x:v>275.01</x:v>
      </x:c>
      <x:c r="L2328" s="60" t="n">
        <x:v>0</x:v>
      </x:c>
      <x:c r="M2328" s="50" t="n">
        <x:v>12</x:v>
      </x:c>
      <x:c r="N2328" s="50" t="n">
        <x:v>0</x:v>
      </x:c>
      <x:c r="O2328" s="50" t="n">
        <x:v>47</x:v>
      </x:c>
      <x:c r="P2328" s="50" t="n">
        <x:v>6</x:v>
      </x:c>
    </x:row>
    <x:row r="2329" ht="36" customHeight="1">
      <x:c r="A2329" s="53" t="n">
        <x:v>2310</x:v>
      </x:c>
      <x:c r="B2329" s="53" t="n">
        <x:v>2</x:v>
      </x:c>
      <x:c r="C2329" s="40" t="str">
        <x:v>Large-Basket Occasional Shoppers</x:v>
      </x:c>
      <x:c r="D2329" s="60" t="n">
        <x:v>1389.32</x:v>
      </x:c>
      <x:c r="E2329" s="50" t="n">
        <x:v>74</x:v>
      </x:c>
      <x:c r="F2329" s="46" t="n">
        <x:v>3.523809523809524</x:v>
      </x:c>
      <x:c r="G2329" s="46" t="n">
        <x:v>6</x:v>
      </x:c>
      <x:c r="H2329" s="61" t="n">
        <x:v>18.7745945945946</x:v>
      </x:c>
      <x:c r="I2329" s="52" t="n">
        <x:v>0.8648648648648648</x:v>
      </x:c>
      <x:c r="J2329" s="52" t="n">
        <x:v>0.4866769354792272</x:v>
      </x:c>
      <x:c r="K2329" s="60" t="n">
        <x:v>1361</x:v>
      </x:c>
      <x:c r="L2329" s="60" t="n">
        <x:v>28.32</x:v>
      </x:c>
      <x:c r="M2329" s="50" t="n">
        <x:v>64</x:v>
      </x:c>
      <x:c r="N2329" s="50" t="n">
        <x:v>10</x:v>
      </x:c>
      <x:c r="O2329" s="50" t="n">
        <x:v>101</x:v>
      </x:c>
      <x:c r="P2329" s="50" t="n">
        <x:v>21</x:v>
      </x:c>
    </x:row>
    <x:row r="2330" ht="36" customHeight="1">
      <x:c r="A2330" s="53" t="n">
        <x:v>2311</x:v>
      </x:c>
      <x:c r="B2330" s="53" t="n">
        <x:v>2</x:v>
      </x:c>
      <x:c r="C2330" s="40" t="str">
        <x:v>Large-Basket Occasional Shoppers</x:v>
      </x:c>
      <x:c r="D2330" s="60" t="n">
        <x:v>1830.83</x:v>
      </x:c>
      <x:c r="E2330" s="50" t="n">
        <x:v>58</x:v>
      </x:c>
      <x:c r="F2330" s="46" t="n">
        <x:v>3.0526315789473686</x:v>
      </x:c>
      <x:c r="G2330" s="46" t="n">
        <x:v>3</x:v>
      </x:c>
      <x:c r="H2330" s="61" t="n">
        <x:v>31.56603448275862</x:v>
      </x:c>
      <x:c r="I2330" s="52" t="n">
        <x:v>0.9655172413793104</x:v>
      </x:c>
      <x:c r="J2330" s="52" t="n">
        <x:v>0.6121158163237438</x:v>
      </x:c>
      <x:c r="K2330" s="60" t="n">
        <x:v>1805.97</x:v>
      </x:c>
      <x:c r="L2330" s="60" t="n">
        <x:v>24.86</x:v>
      </x:c>
      <x:c r="M2330" s="50" t="n">
        <x:v>56</x:v>
      </x:c>
      <x:c r="N2330" s="50" t="n">
        <x:v>2</x:v>
      </x:c>
      <x:c r="O2330" s="50" t="n">
        <x:v>89</x:v>
      </x:c>
      <x:c r="P2330" s="50" t="n">
        <x:v>19</x:v>
      </x:c>
    </x:row>
    <x:row r="2331" ht="36" customHeight="1">
      <x:c r="A2331" s="53" t="n">
        <x:v>2312</x:v>
      </x:c>
      <x:c r="B2331" s="53" t="n">
        <x:v>1</x:v>
      </x:c>
      <x:c r="C2331" s="40" t="str">
        <x:v>High-Value Frequent Shoppers</x:v>
      </x:c>
      <x:c r="D2331" s="60" t="n">
        <x:v>14682.81</x:v>
      </x:c>
      <x:c r="E2331" s="50" t="n">
        <x:v>320</x:v>
      </x:c>
      <x:c r="F2331" s="46" t="n">
        <x:v>15.238095238095235</x:v>
      </x:c>
      <x:c r="G2331" s="46" t="n">
        <x:v>2</x:v>
      </x:c>
      <x:c r="H2331" s="61" t="n">
        <x:v>45.88378125</x:v>
      </x:c>
      <x:c r="I2331" s="52" t="n">
        <x:v>0.946875</x:v>
      </x:c>
      <x:c r="J2331" s="52" t="n">
        <x:v>0.4338672229634518</x:v>
      </x:c>
      <x:c r="K2331" s="60" t="n">
        <x:v>14377.93</x:v>
      </x:c>
      <x:c r="L2331" s="60" t="n">
        <x:v>304.88</x:v>
      </x:c>
      <x:c r="M2331" s="50" t="n">
        <x:v>303</x:v>
      </x:c>
      <x:c r="N2331" s="50" t="n">
        <x:v>17</x:v>
      </x:c>
      <x:c r="O2331" s="50" t="n">
        <x:v>200</x:v>
      </x:c>
      <x:c r="P2331" s="50" t="n">
        <x:v>21</x:v>
      </x:c>
    </x:row>
    <x:row r="2332" ht="36" customHeight="1">
      <x:c r="A2332" s="53" t="n">
        <x:v>2313</x:v>
      </x:c>
      <x:c r="B2332" s="53" t="n">
        <x:v>3</x:v>
      </x:c>
      <x:c r="C2332" s="40" t="str">
        <x:v>Low-Value Low-Engagement Shoppers</x:v>
      </x:c>
      <x:c r="D2332" s="60" t="n">
        <x:v>105.69</x:v>
      </x:c>
      <x:c r="E2332" s="50" t="n">
        <x:v>11</x:v>
      </x:c>
      <x:c r="F2332" s="46" t="n">
        <x:v>1.375</x:v>
      </x:c>
      <x:c r="G2332" s="46" t="n">
        <x:v>0</x:v>
      </x:c>
      <x:c r="H2332" s="61" t="n">
        <x:v>9.608181818181816</x:v>
      </x:c>
      <x:c r="I2332" s="52" t="n">
        <x:v>0.909090909090909</x:v>
      </x:c>
      <x:c r="J2332" s="52" t="n">
        <x:v>0.8148358406660989</x:v>
      </x:c>
      <x:c r="K2332" s="60" t="n">
        <x:v>104.47</x:v>
      </x:c>
      <x:c r="L2332" s="60" t="n">
        <x:v>1.22</x:v>
      </x:c>
      <x:c r="M2332" s="50" t="n">
        <x:v>10</x:v>
      </x:c>
      <x:c r="N2332" s="50" t="n">
        <x:v>1</x:v>
      </x:c>
      <x:c r="O2332" s="50" t="n">
        <x:v>17</x:v>
      </x:c>
      <x:c r="P2332" s="50" t="n">
        <x:v>8</x:v>
      </x:c>
    </x:row>
    <x:row r="2333" ht="36" customHeight="1">
      <x:c r="A2333" s="53" t="n">
        <x:v>2314</x:v>
      </x:c>
      <x:c r="B2333" s="53" t="n">
        <x:v>2</x:v>
      </x:c>
      <x:c r="C2333" s="40" t="str">
        <x:v>Large-Basket Occasional Shoppers</x:v>
      </x:c>
      <x:c r="D2333" s="60" t="n">
        <x:v>5078.05</x:v>
      </x:c>
      <x:c r="E2333" s="50" t="n">
        <x:v>86</x:v>
      </x:c>
      <x:c r="F2333" s="46" t="n">
        <x:v>4.3</x:v>
      </x:c>
      <x:c r="G2333" s="46" t="n">
        <x:v>16</x:v>
      </x:c>
      <x:c r="H2333" s="61" t="n">
        <x:v>59.047093023255805</x:v>
      </x:c>
      <x:c r="I2333" s="52" t="n">
        <x:v>0.872093023255814</x:v>
      </x:c>
      <x:c r="J2333" s="52" t="n">
        <x:v>0.429930780516143</x:v>
      </x:c>
      <x:c r="K2333" s="60" t="n">
        <x:v>4940.03</x:v>
      </x:c>
      <x:c r="L2333" s="60" t="n">
        <x:v>138.02</x:v>
      </x:c>
      <x:c r="M2333" s="50" t="n">
        <x:v>75</x:v>
      </x:c>
      <x:c r="N2333" s="50" t="n">
        <x:v>11</x:v>
      </x:c>
      <x:c r="O2333" s="50" t="n">
        <x:v>154</x:v>
      </x:c>
      <x:c r="P2333" s="50" t="n">
        <x:v>20</x:v>
      </x:c>
    </x:row>
    <x:row r="2334" ht="36" customHeight="1">
      <x:c r="A2334" s="53" t="n">
        <x:v>2315</x:v>
      </x:c>
      <x:c r="B2334" s="53" t="n">
        <x:v>3</x:v>
      </x:c>
      <x:c r="C2334" s="40" t="str">
        <x:v>Low-Value Low-Engagement Shoppers</x:v>
      </x:c>
      <x:c r="D2334" s="60" t="n">
        <x:v>266.1</x:v>
      </x:c>
      <x:c r="E2334" s="50" t="n">
        <x:v>8</x:v>
      </x:c>
      <x:c r="F2334" s="46" t="n">
        <x:v>2.666666666666667</x:v>
      </x:c>
      <x:c r="G2334" s="46" t="n">
        <x:v>0</x:v>
      </x:c>
      <x:c r="H2334" s="61" t="n">
        <x:v>33.2625</x:v>
      </x:c>
      <x:c r="I2334" s="52" t="n">
        <x:v>0.75</x:v>
      </x:c>
      <x:c r="J2334" s="52" t="n">
        <x:v>0.3547162720781661</x:v>
      </x:c>
      <x:c r="K2334" s="60" t="n">
        <x:v>257.13</x:v>
      </x:c>
      <x:c r="L2334" s="60" t="n">
        <x:v>8.97</x:v>
      </x:c>
      <x:c r="M2334" s="50" t="n">
        <x:v>6</x:v>
      </x:c>
      <x:c r="N2334" s="50" t="n">
        <x:v>2</x:v>
      </x:c>
      <x:c r="O2334" s="50" t="n">
        <x:v>30</x:v>
      </x:c>
      <x:c r="P2334" s="50" t="n">
        <x:v>3</x:v>
      </x:c>
    </x:row>
    <x:row r="2335" ht="36" customHeight="1">
      <x:c r="A2335" s="53" t="n">
        <x:v>2316</x:v>
      </x:c>
      <x:c r="B2335" s="53" t="n">
        <x:v>2</x:v>
      </x:c>
      <x:c r="C2335" s="40" t="str">
        <x:v>Large-Basket Occasional Shoppers</x:v>
      </x:c>
      <x:c r="D2335" s="60" t="n">
        <x:v>751.89</x:v>
      </x:c>
      <x:c r="E2335" s="50" t="n">
        <x:v>27</x:v>
      </x:c>
      <x:c r="F2335" s="46" t="n">
        <x:v>2.4545454545454546</x:v>
      </x:c>
      <x:c r="G2335" s="46" t="n">
        <x:v>134</x:v>
      </x:c>
      <x:c r="H2335" s="61" t="n">
        <x:v>27.84777777777777</x:v>
      </x:c>
      <x:c r="I2335" s="52" t="n">
        <x:v>0.8518518518518517</x:v>
      </x:c>
      <x:c r="J2335" s="52" t="n">
        <x:v>0.4065089308276476</x:v>
      </x:c>
      <x:c r="K2335" s="60" t="n">
        <x:v>659.91</x:v>
      </x:c>
      <x:c r="L2335" s="60" t="n">
        <x:v>91.98</x:v>
      </x:c>
      <x:c r="M2335" s="50" t="n">
        <x:v>23</x:v>
      </x:c>
      <x:c r="N2335" s="50" t="n">
        <x:v>4</x:v>
      </x:c>
      <x:c r="O2335" s="50" t="n">
        <x:v>85</x:v>
      </x:c>
      <x:c r="P2335" s="50" t="n">
        <x:v>11</x:v>
      </x:c>
    </x:row>
    <x:row r="2336" ht="36" customHeight="1">
      <x:c r="A2336" s="53" t="n">
        <x:v>2317</x:v>
      </x:c>
      <x:c r="B2336" s="53" t="n">
        <x:v>1</x:v>
      </x:c>
      <x:c r="C2336" s="40" t="str">
        <x:v>High-Value Frequent Shoppers</x:v>
      </x:c>
      <x:c r="D2336" s="60" t="n">
        <x:v>13967.37</x:v>
      </x:c>
      <x:c r="E2336" s="50" t="n">
        <x:v>150</x:v>
      </x:c>
      <x:c r="F2336" s="46" t="n">
        <x:v>6.25</x:v>
      </x:c>
      <x:c r="G2336" s="46" t="n">
        <x:v>6</x:v>
      </x:c>
      <x:c r="H2336" s="61" t="n">
        <x:v>93.1158</x:v>
      </x:c>
      <x:c r="I2336" s="52" t="n">
        <x:v>0.98</x:v>
      </x:c>
      <x:c r="J2336" s="52" t="n">
        <x:v>0.5929333868867224</x:v>
      </x:c>
      <x:c r="K2336" s="60" t="n">
        <x:v>13921.82</x:v>
      </x:c>
      <x:c r="L2336" s="60" t="n">
        <x:v>45.55</x:v>
      </x:c>
      <x:c r="M2336" s="50" t="n">
        <x:v>147</x:v>
      </x:c>
      <x:c r="N2336" s="50" t="n">
        <x:v>3</x:v>
      </x:c>
      <x:c r="O2336" s="50" t="n">
        <x:v>182</x:v>
      </x:c>
      <x:c r="P2336" s="50" t="n">
        <x:v>24</x:v>
      </x:c>
    </x:row>
    <x:row r="2337" ht="36" customHeight="1">
      <x:c r="A2337" s="53" t="n">
        <x:v>2318</x:v>
      </x:c>
      <x:c r="B2337" s="53" t="n">
        <x:v>1</x:v>
      </x:c>
      <x:c r="C2337" s="40" t="str">
        <x:v>High-Value Frequent Shoppers</x:v>
      </x:c>
      <x:c r="D2337" s="60" t="n">
        <x:v>10685.72</x:v>
      </x:c>
      <x:c r="E2337" s="50" t="n">
        <x:v>366</x:v>
      </x:c>
      <x:c r="F2337" s="46" t="n">
        <x:v>18.3</x:v>
      </x:c>
      <x:c r="G2337" s="46" t="n">
        <x:v>89</x:v>
      </x:c>
      <x:c r="H2337" s="61" t="n">
        <x:v>29.195956284153</x:v>
      </x:c>
      <x:c r="I2337" s="52" t="n">
        <x:v>0.7049180327868853</x:v>
      </x:c>
      <x:c r="J2337" s="52" t="n">
        <x:v>0.4575976162579592</x:v>
      </x:c>
      <x:c r="K2337" s="60" t="n">
        <x:v>9504.99</x:v>
      </x:c>
      <x:c r="L2337" s="60" t="n">
        <x:v>1180.73</x:v>
      </x:c>
      <x:c r="M2337" s="50" t="n">
        <x:v>258</x:v>
      </x:c>
      <x:c r="N2337" s="50" t="n">
        <x:v>108</x:v>
      </x:c>
      <x:c r="O2337" s="50" t="n">
        <x:v>186</x:v>
      </x:c>
      <x:c r="P2337" s="50" t="n">
        <x:v>20</x:v>
      </x:c>
    </x:row>
    <x:row r="2338" ht="36" customHeight="1">
      <x:c r="A2338" s="53" t="n">
        <x:v>2319</x:v>
      </x:c>
      <x:c r="B2338" s="53" t="n">
        <x:v>3</x:v>
      </x:c>
      <x:c r="C2338" s="40" t="str">
        <x:v>Low-Value Low-Engagement Shoppers</x:v>
      </x:c>
      <x:c r="D2338" s="60" t="n">
        <x:v>1148.68</x:v>
      </x:c>
      <x:c r="E2338" s="50" t="n">
        <x:v>117</x:v>
      </x:c>
      <x:c r="F2338" s="46" t="n">
        <x:v>6.5</x:v>
      </x:c>
      <x:c r="G2338" s="46" t="n">
        <x:v>2</x:v>
      </x:c>
      <x:c r="H2338" s="61" t="n">
        <x:v>9.817777777777776</x:v>
      </x:c>
      <x:c r="I2338" s="52" t="n">
        <x:v>0.7521367521367521</x:v>
      </x:c>
      <x:c r="J2338" s="52" t="n">
        <x:v>0.4931051293658808</x:v>
      </x:c>
      <x:c r="K2338" s="60" t="n">
        <x:v>973.1</x:v>
      </x:c>
      <x:c r="L2338" s="60" t="n">
        <x:v>175.58</x:v>
      </x:c>
      <x:c r="M2338" s="50" t="n">
        <x:v>88</x:v>
      </x:c>
      <x:c r="N2338" s="50" t="n">
        <x:v>29</x:v>
      </x:c>
      <x:c r="O2338" s="50" t="n">
        <x:v>108</x:v>
      </x:c>
      <x:c r="P2338" s="50" t="n">
        <x:v>18</x:v>
      </x:c>
    </x:row>
    <x:row r="2339" ht="36" customHeight="1">
      <x:c r="A2339" s="53" t="n">
        <x:v>2320</x:v>
      </x:c>
      <x:c r="B2339" s="53" t="n">
        <x:v>3</x:v>
      </x:c>
      <x:c r="C2339" s="40" t="str">
        <x:v>Low-Value Low-Engagement Shoppers</x:v>
      </x:c>
      <x:c r="D2339" s="60" t="n">
        <x:v>369.59</x:v>
      </x:c>
      <x:c r="E2339" s="50" t="n">
        <x:v>25</x:v>
      </x:c>
      <x:c r="F2339" s="46" t="n">
        <x:v>1.6666666666666667</x:v>
      </x:c>
      <x:c r="G2339" s="46" t="n">
        <x:v>25</x:v>
      </x:c>
      <x:c r="H2339" s="61" t="n">
        <x:v>14.7836</x:v>
      </x:c>
      <x:c r="I2339" s="52" t="n">
        <x:v>0.8</x:v>
      </x:c>
      <x:c r="J2339" s="52" t="n">
        <x:v>0.3624827511566871</x:v>
      </x:c>
      <x:c r="K2339" s="60" t="n">
        <x:v>345.82</x:v>
      </x:c>
      <x:c r="L2339" s="60" t="n">
        <x:v>23.77</x:v>
      </x:c>
      <x:c r="M2339" s="50" t="n">
        <x:v>20</x:v>
      </x:c>
      <x:c r="N2339" s="50" t="n">
        <x:v>5</x:v>
      </x:c>
      <x:c r="O2339" s="50" t="n">
        <x:v>65</x:v>
      </x:c>
      <x:c r="P2339" s="50" t="n">
        <x:v>15</x:v>
      </x:c>
    </x:row>
    <x:row r="2340" ht="36" customHeight="1">
      <x:c r="A2340" s="53" t="n">
        <x:v>2321</x:v>
      </x:c>
      <x:c r="B2340" s="53" t="n">
        <x:v>3</x:v>
      </x:c>
      <x:c r="C2340" s="40" t="str">
        <x:v>Low-Value Low-Engagement Shoppers</x:v>
      </x:c>
      <x:c r="D2340" s="60" t="n">
        <x:v>336.09</x:v>
      </x:c>
      <x:c r="E2340" s="50" t="n">
        <x:v>18</x:v>
      </x:c>
      <x:c r="F2340" s="46" t="n">
        <x:v>2</x:v>
      </x:c>
      <x:c r="G2340" s="46" t="n">
        <x:v>4</x:v>
      </x:c>
      <x:c r="H2340" s="61" t="n">
        <x:v>18.671666666666663</x:v>
      </x:c>
      <x:c r="I2340" s="52" t="n">
        <x:v>0.8333333333333333</x:v>
      </x:c>
      <x:c r="J2340" s="52" t="n">
        <x:v>0.3938528370376982</x:v>
      </x:c>
      <x:c r="K2340" s="60" t="n">
        <x:v>289.51</x:v>
      </x:c>
      <x:c r="L2340" s="60" t="n">
        <x:v>46.58</x:v>
      </x:c>
      <x:c r="M2340" s="50" t="n">
        <x:v>15</x:v>
      </x:c>
      <x:c r="N2340" s="50" t="n">
        <x:v>3</x:v>
      </x:c>
      <x:c r="O2340" s="50" t="n">
        <x:v>65</x:v>
      </x:c>
      <x:c r="P2340" s="50" t="n">
        <x:v>9</x:v>
      </x:c>
    </x:row>
    <x:row r="2341" ht="36" customHeight="1">
      <x:c r="A2341" s="53" t="n">
        <x:v>2322</x:v>
      </x:c>
      <x:c r="B2341" s="53" t="n">
        <x:v>1</x:v>
      </x:c>
      <x:c r="C2341" s="40" t="str">
        <x:v>High-Value Frequent Shoppers</x:v>
      </x:c>
      <x:c r="D2341" s="60" t="n">
        <x:v>23646.92</x:v>
      </x:c>
      <x:c r="E2341" s="50" t="n">
        <x:v>323</x:v>
      </x:c>
      <x:c r="F2341" s="46" t="n">
        <x:v>14.68181818181818</x:v>
      </x:c>
      <x:c r="G2341" s="46" t="n">
        <x:v>0</x:v>
      </x:c>
      <x:c r="H2341" s="61" t="n">
        <x:v>73.2102786377709</x:v>
      </x:c>
      <x:c r="I2341" s="52" t="n">
        <x:v>0.894736842105263</x:v>
      </x:c>
      <x:c r="J2341" s="52" t="n">
        <x:v>0.4022308190664999</x:v>
      </x:c>
      <x:c r="K2341" s="60" t="n">
        <x:v>22852.32</x:v>
      </x:c>
      <x:c r="L2341" s="60" t="n">
        <x:v>794.6</x:v>
      </x:c>
      <x:c r="M2341" s="50" t="n">
        <x:v>289</x:v>
      </x:c>
      <x:c r="N2341" s="50" t="n">
        <x:v>34</x:v>
      </x:c>
      <x:c r="O2341" s="50" t="n">
        <x:v>242</x:v>
      </x:c>
      <x:c r="P2341" s="50" t="n">
        <x:v>22</x:v>
      </x:c>
    </x:row>
    <x:row r="2342" ht="36" customHeight="1">
      <x:c r="A2342" s="53" t="n">
        <x:v>2323</x:v>
      </x:c>
      <x:c r="B2342" s="53" t="n">
        <x:v>2</x:v>
      </x:c>
      <x:c r="C2342" s="40" t="str">
        <x:v>Large-Basket Occasional Shoppers</x:v>
      </x:c>
      <x:c r="D2342" s="60" t="n">
        <x:v>781.34</x:v>
      </x:c>
      <x:c r="E2342" s="50" t="n">
        <x:v>29</x:v>
      </x:c>
      <x:c r="F2342" s="46" t="n">
        <x:v>2.230769230769231</x:v>
      </x:c>
      <x:c r="G2342" s="46" t="n">
        <x:v>27</x:v>
      </x:c>
      <x:c r="H2342" s="61" t="n">
        <x:v>26.94275862068965</x:v>
      </x:c>
      <x:c r="I2342" s="52" t="n">
        <x:v>0.9310344827586206</x:v>
      </x:c>
      <x:c r="J2342" s="52" t="n">
        <x:v>0.6852458596769652</x:v>
      </x:c>
      <x:c r="K2342" s="60" t="n">
        <x:v>762.36</x:v>
      </x:c>
      <x:c r="L2342" s="60" t="n">
        <x:v>18.98</x:v>
      </x:c>
      <x:c r="M2342" s="50" t="n">
        <x:v>27</x:v>
      </x:c>
      <x:c r="N2342" s="50" t="n">
        <x:v>2</x:v>
      </x:c>
      <x:c r="O2342" s="50" t="n">
        <x:v>65</x:v>
      </x:c>
      <x:c r="P2342" s="50" t="n">
        <x:v>13</x:v>
      </x:c>
    </x:row>
    <x:row r="2343" ht="36" customHeight="1">
      <x:c r="A2343" s="53" t="n">
        <x:v>2324</x:v>
      </x:c>
      <x:c r="B2343" s="53" t="n">
        <x:v>1</x:v>
      </x:c>
      <x:c r="C2343" s="40" t="str">
        <x:v>High-Value Frequent Shoppers</x:v>
      </x:c>
      <x:c r="D2343" s="60" t="n">
        <x:v>2671.77</x:v>
      </x:c>
      <x:c r="E2343" s="50" t="n">
        <x:v>145</x:v>
      </x:c>
      <x:c r="F2343" s="46" t="n">
        <x:v>6.041666666666666</x:v>
      </x:c>
      <x:c r="G2343" s="46" t="n">
        <x:v>8</x:v>
      </x:c>
      <x:c r="H2343" s="61" t="n">
        <x:v>18.426</x:v>
      </x:c>
      <x:c r="I2343" s="52" t="n">
        <x:v>0.7724137931034482</x:v>
      </x:c>
      <x:c r="J2343" s="52" t="n">
        <x:v>0.5379392687244785</x:v>
      </x:c>
      <x:c r="K2343" s="60" t="n">
        <x:v>2389.23</x:v>
      </x:c>
      <x:c r="L2343" s="60" t="n">
        <x:v>282.54</x:v>
      </x:c>
      <x:c r="M2343" s="50" t="n">
        <x:v>112</x:v>
      </x:c>
      <x:c r="N2343" s="50" t="n">
        <x:v>33</x:v>
      </x:c>
      <x:c r="O2343" s="50" t="n">
        <x:v>146</x:v>
      </x:c>
      <x:c r="P2343" s="50" t="n">
        <x:v>24</x:v>
      </x:c>
    </x:row>
    <x:row r="2344" ht="36" customHeight="1">
      <x:c r="A2344" s="53" t="n">
        <x:v>2325</x:v>
      </x:c>
      <x:c r="B2344" s="53" t="n">
        <x:v>3</x:v>
      </x:c>
      <x:c r="C2344" s="40" t="str">
        <x:v>Low-Value Low-Engagement Shoppers</x:v>
      </x:c>
      <x:c r="D2344" s="60" t="n">
        <x:v>106.36</x:v>
      </x:c>
      <x:c r="E2344" s="50" t="n">
        <x:v>3</x:v>
      </x:c>
      <x:c r="F2344" s="46" t="n">
        <x:v>3</x:v>
      </x:c>
      <x:c r="G2344" s="46" t="n">
        <x:v>14</x:v>
      </x:c>
      <x:c r="H2344" s="61" t="n">
        <x:v>35.45333333333333</x:v>
      </x:c>
      <x:c r="I2344" s="52" t="n">
        <x:v>0.6666666666666666</x:v>
      </x:c>
      <x:c r="J2344" s="52" t="n">
        <x:v>0.3833207972922151</x:v>
      </x:c>
      <x:c r="K2344" s="60" t="n">
        <x:v>98.37</x:v>
      </x:c>
      <x:c r="L2344" s="60" t="n">
        <x:v>7.99</x:v>
      </x:c>
      <x:c r="M2344" s="50" t="n">
        <x:v>2</x:v>
      </x:c>
      <x:c r="N2344" s="50" t="n">
        <x:v>1</x:v>
      </x:c>
      <x:c r="O2344" s="50" t="n">
        <x:v>15</x:v>
      </x:c>
      <x:c r="P2344" s="50" t="n">
        <x:v>1</x:v>
      </x:c>
    </x:row>
    <x:row r="2345" ht="36" customHeight="1">
      <x:c r="A2345" s="53" t="n">
        <x:v>2326</x:v>
      </x:c>
      <x:c r="B2345" s="53" t="n">
        <x:v>2</x:v>
      </x:c>
      <x:c r="C2345" s="40" t="str">
        <x:v>Large-Basket Occasional Shoppers</x:v>
      </x:c>
      <x:c r="D2345" s="60" t="n">
        <x:v>1322.87</x:v>
      </x:c>
      <x:c r="E2345" s="50" t="n">
        <x:v>47</x:v>
      </x:c>
      <x:c r="F2345" s="46" t="n">
        <x:v>2.7647058823529407</x:v>
      </x:c>
      <x:c r="G2345" s="46" t="n">
        <x:v>3</x:v>
      </x:c>
      <x:c r="H2345" s="61" t="n">
        <x:v>28.14617021276596</x:v>
      </x:c>
      <x:c r="I2345" s="52" t="n">
        <x:v>0.8297872340425531</x:v>
      </x:c>
      <x:c r="J2345" s="52" t="n">
        <x:v>0.5787341159751147</x:v>
      </x:c>
      <x:c r="K2345" s="60" t="n">
        <x:v>1251.88</x:v>
      </x:c>
      <x:c r="L2345" s="60" t="n">
        <x:v>70.99</x:v>
      </x:c>
      <x:c r="M2345" s="50" t="n">
        <x:v>39</x:v>
      </x:c>
      <x:c r="N2345" s="50" t="n">
        <x:v>8</x:v>
      </x:c>
      <x:c r="O2345" s="50" t="n">
        <x:v>110</x:v>
      </x:c>
      <x:c r="P2345" s="50" t="n">
        <x:v>17</x:v>
      </x:c>
    </x:row>
    <x:row r="2346" ht="36" customHeight="1">
      <x:c r="A2346" s="53" t="n">
        <x:v>2327</x:v>
      </x:c>
      <x:c r="B2346" s="53" t="n">
        <x:v>2</x:v>
      </x:c>
      <x:c r="C2346" s="40" t="str">
        <x:v>Large-Basket Occasional Shoppers</x:v>
      </x:c>
      <x:c r="D2346" s="60" t="n">
        <x:v>1267.76</x:v>
      </x:c>
      <x:c r="E2346" s="50" t="n">
        <x:v>43</x:v>
      </x:c>
      <x:c r="F2346" s="46" t="n">
        <x:v>2.5294117647058822</x:v>
      </x:c>
      <x:c r="G2346" s="46" t="n">
        <x:v>22</x:v>
      </x:c>
      <x:c r="H2346" s="61" t="n">
        <x:v>29.482790697674417</x:v>
      </x:c>
      <x:c r="I2346" s="52" t="n">
        <x:v>1</x:v>
      </x:c>
      <x:c r="J2346" s="52" t="n">
        <x:v>0.6970167855114532</x:v>
      </x:c>
      <x:c r="K2346" s="60" t="n">
        <x:v>1267.76</x:v>
      </x:c>
      <x:c r="L2346" s="60" t="n">
        <x:v>0</x:v>
      </x:c>
      <x:c r="M2346" s="50" t="n">
        <x:v>43</x:v>
      </x:c>
      <x:c r="N2346" s="50" t="n">
        <x:v>0</x:v>
      </x:c>
      <x:c r="O2346" s="50" t="n">
        <x:v>110</x:v>
      </x:c>
      <x:c r="P2346" s="50" t="n">
        <x:v>17</x:v>
      </x:c>
    </x:row>
    <x:row r="2347" ht="36" customHeight="1">
      <x:c r="A2347" s="53" t="n">
        <x:v>2328</x:v>
      </x:c>
      <x:c r="B2347" s="53" t="n">
        <x:v>1</x:v>
      </x:c>
      <x:c r="C2347" s="40" t="str">
        <x:v>High-Value Frequent Shoppers</x:v>
      </x:c>
      <x:c r="D2347" s="60" t="n">
        <x:v>14193.61</x:v>
      </x:c>
      <x:c r="E2347" s="50" t="n">
        <x:v>165</x:v>
      </x:c>
      <x:c r="F2347" s="46" t="n">
        <x:v>6.875</x:v>
      </x:c>
      <x:c r="G2347" s="46" t="n">
        <x:v>2</x:v>
      </x:c>
      <x:c r="H2347" s="61" t="n">
        <x:v>86.02187878787879</x:v>
      </x:c>
      <x:c r="I2347" s="52" t="n">
        <x:v>0.8787878787878787</x:v>
      </x:c>
      <x:c r="J2347" s="52" t="n">
        <x:v>0.3216179675220046</x:v>
      </x:c>
      <x:c r="K2347" s="60" t="n">
        <x:v>13638.68</x:v>
      </x:c>
      <x:c r="L2347" s="60" t="n">
        <x:v>554.93</x:v>
      </x:c>
      <x:c r="M2347" s="50" t="n">
        <x:v>145</x:v>
      </x:c>
      <x:c r="N2347" s="50" t="n">
        <x:v>20</x:v>
      </x:c>
      <x:c r="O2347" s="50" t="n">
        <x:v>203</x:v>
      </x:c>
      <x:c r="P2347" s="50" t="n">
        <x:v>24</x:v>
      </x:c>
    </x:row>
    <x:row r="2348" ht="36" customHeight="1">
      <x:c r="A2348" s="53" t="n">
        <x:v>2329</x:v>
      </x:c>
      <x:c r="B2348" s="53" t="n">
        <x:v>2</x:v>
      </x:c>
      <x:c r="C2348" s="40" t="str">
        <x:v>Large-Basket Occasional Shoppers</x:v>
      </x:c>
      <x:c r="D2348" s="60" t="n">
        <x:v>2722.37</x:v>
      </x:c>
      <x:c r="E2348" s="50" t="n">
        <x:v>100</x:v>
      </x:c>
      <x:c r="F2348" s="46" t="n">
        <x:v>5.555555555555556</x:v>
      </x:c>
      <x:c r="G2348" s="46" t="n">
        <x:v>130</x:v>
      </x:c>
      <x:c r="H2348" s="61" t="n">
        <x:v>27.2237</x:v>
      </x:c>
      <x:c r="I2348" s="52" t="n">
        <x:v>0.79</x:v>
      </x:c>
      <x:c r="J2348" s="52" t="n">
        <x:v>0.4975113595874183</x:v>
      </x:c>
      <x:c r="K2348" s="60" t="n">
        <x:v>2531.93</x:v>
      </x:c>
      <x:c r="L2348" s="60" t="n">
        <x:v>190.44</x:v>
      </x:c>
      <x:c r="M2348" s="50" t="n">
        <x:v>79</x:v>
      </x:c>
      <x:c r="N2348" s="50" t="n">
        <x:v>21</x:v>
      </x:c>
      <x:c r="O2348" s="50" t="n">
        <x:v>147</x:v>
      </x:c>
      <x:c r="P2348" s="50" t="n">
        <x:v>18</x:v>
      </x:c>
    </x:row>
    <x:row r="2349" ht="36" customHeight="1">
      <x:c r="A2349" s="53" t="n">
        <x:v>2330</x:v>
      </x:c>
      <x:c r="B2349" s="53" t="n">
        <x:v>1</x:v>
      </x:c>
      <x:c r="C2349" s="40" t="str">
        <x:v>High-Value Frequent Shoppers</x:v>
      </x:c>
      <x:c r="D2349" s="60" t="n">
        <x:v>5683.36</x:v>
      </x:c>
      <x:c r="E2349" s="50" t="n">
        <x:v>73</x:v>
      </x:c>
      <x:c r="F2349" s="46" t="n">
        <x:v>3.65</x:v>
      </x:c>
      <x:c r="G2349" s="46" t="n">
        <x:v>2</x:v>
      </x:c>
      <x:c r="H2349" s="61" t="n">
        <x:v>77.85424657534246</x:v>
      </x:c>
      <x:c r="I2349" s="52" t="n">
        <x:v>0.9726027397260272</x:v>
      </x:c>
      <x:c r="J2349" s="52" t="n">
        <x:v>0.5969866417049069</x:v>
      </x:c>
      <x:c r="K2349" s="60" t="n">
        <x:v>5631.98</x:v>
      </x:c>
      <x:c r="L2349" s="60" t="n">
        <x:v>51.38</x:v>
      </x:c>
      <x:c r="M2349" s="50" t="n">
        <x:v>71</x:v>
      </x:c>
      <x:c r="N2349" s="50" t="n">
        <x:v>2</x:v>
      </x:c>
      <x:c r="O2349" s="50" t="n">
        <x:v>166</x:v>
      </x:c>
      <x:c r="P2349" s="50" t="n">
        <x:v>20</x:v>
      </x:c>
    </x:row>
    <x:row r="2350" ht="36" customHeight="1">
      <x:c r="A2350" s="53" t="n">
        <x:v>2331</x:v>
      </x:c>
      <x:c r="B2350" s="53" t="n">
        <x:v>2</x:v>
      </x:c>
      <x:c r="C2350" s="40" t="str">
        <x:v>Large-Basket Occasional Shoppers</x:v>
      </x:c>
      <x:c r="D2350" s="60" t="n">
        <x:v>5903.55</x:v>
      </x:c>
      <x:c r="E2350" s="50" t="n">
        <x:v>101</x:v>
      </x:c>
      <x:c r="F2350" s="46" t="n">
        <x:v>4.391304347826087</x:v>
      </x:c>
      <x:c r="G2350" s="46" t="n">
        <x:v>14</x:v>
      </x:c>
      <x:c r="H2350" s="61" t="n">
        <x:v>58.45099009900991</x:v>
      </x:c>
      <x:c r="I2350" s="52" t="n">
        <x:v>0.9603960396039604</x:v>
      </x:c>
      <x:c r="J2350" s="52" t="n">
        <x:v>0.7330047175004869</x:v>
      </x:c>
      <x:c r="K2350" s="60" t="n">
        <x:v>5873</x:v>
      </x:c>
      <x:c r="L2350" s="60" t="n">
        <x:v>30.55</x:v>
      </x:c>
      <x:c r="M2350" s="50" t="n">
        <x:v>97</x:v>
      </x:c>
      <x:c r="N2350" s="50" t="n">
        <x:v>4</x:v>
      </x:c>
      <x:c r="O2350" s="50" t="n">
        <x:v>156</x:v>
      </x:c>
      <x:c r="P2350" s="50" t="n">
        <x:v>23</x:v>
      </x:c>
    </x:row>
    <x:row r="2351" ht="36" customHeight="1">
      <x:c r="A2351" s="53" t="n">
        <x:v>2332</x:v>
      </x:c>
      <x:c r="B2351" s="53" t="n">
        <x:v>3</x:v>
      </x:c>
      <x:c r="C2351" s="40" t="str">
        <x:v>Low-Value Low-Engagement Shoppers</x:v>
      </x:c>
      <x:c r="D2351" s="60" t="n">
        <x:v>353.8</x:v>
      </x:c>
      <x:c r="E2351" s="50" t="n">
        <x:v>16</x:v>
      </x:c>
      <x:c r="F2351" s="46" t="n">
        <x:v>1.6</x:v>
      </x:c>
      <x:c r="G2351" s="46" t="n">
        <x:v>61</x:v>
      </x:c>
      <x:c r="H2351" s="61" t="n">
        <x:v>22.1125</x:v>
      </x:c>
      <x:c r="I2351" s="52" t="n">
        <x:v>0.75</x:v>
      </x:c>
      <x:c r="J2351" s="52" t="n">
        <x:v>0.4289429055963821</x:v>
      </x:c>
      <x:c r="K2351" s="60" t="n">
        <x:v>301.94</x:v>
      </x:c>
      <x:c r="L2351" s="60" t="n">
        <x:v>51.86</x:v>
      </x:c>
      <x:c r="M2351" s="50" t="n">
        <x:v>12</x:v>
      </x:c>
      <x:c r="N2351" s="50" t="n">
        <x:v>4</x:v>
      </x:c>
      <x:c r="O2351" s="50" t="n">
        <x:v>37</x:v>
      </x:c>
      <x:c r="P2351" s="50" t="n">
        <x:v>10</x:v>
      </x:c>
    </x:row>
    <x:row r="2352" ht="36" customHeight="1">
      <x:c r="A2352" s="53" t="n">
        <x:v>2333</x:v>
      </x:c>
      <x:c r="B2352" s="53" t="n">
        <x:v>3</x:v>
      </x:c>
      <x:c r="C2352" s="40" t="str">
        <x:v>Low-Value Low-Engagement Shoppers</x:v>
      </x:c>
      <x:c r="D2352" s="60" t="n">
        <x:v>270.6</x:v>
      </x:c>
      <x:c r="E2352" s="50" t="n">
        <x:v>24</x:v>
      </x:c>
      <x:c r="F2352" s="46" t="n">
        <x:v>2.1818181818181817</x:v>
      </x:c>
      <x:c r="G2352" s="46" t="n">
        <x:v>2</x:v>
      </x:c>
      <x:c r="H2352" s="61" t="n">
        <x:v>11.275</x:v>
      </x:c>
      <x:c r="I2352" s="52" t="n">
        <x:v>0.9583333333333331</x:v>
      </x:c>
      <x:c r="J2352" s="52" t="n">
        <x:v>0.788950480413895</x:v>
      </x:c>
      <x:c r="K2352" s="60" t="n">
        <x:v>269.31</x:v>
      </x:c>
      <x:c r="L2352" s="60" t="n">
        <x:v>1.29</x:v>
      </x:c>
      <x:c r="M2352" s="50" t="n">
        <x:v>23</x:v>
      </x:c>
      <x:c r="N2352" s="50" t="n">
        <x:v>1</x:v>
      </x:c>
      <x:c r="O2352" s="50" t="n">
        <x:v>57</x:v>
      </x:c>
      <x:c r="P2352" s="50" t="n">
        <x:v>11</x:v>
      </x:c>
    </x:row>
    <x:row r="2353" ht="36" customHeight="1">
      <x:c r="A2353" s="53" t="n">
        <x:v>2334</x:v>
      </x:c>
      <x:c r="B2353" s="53" t="n">
        <x:v>1</x:v>
      </x:c>
      <x:c r="C2353" s="40" t="str">
        <x:v>High-Value Frequent Shoppers</x:v>
      </x:c>
      <x:c r="D2353" s="60" t="n">
        <x:v>11955.38</x:v>
      </x:c>
      <x:c r="E2353" s="50" t="n">
        <x:v>359</x:v>
      </x:c>
      <x:c r="F2353" s="46" t="n">
        <x:v>14.958333333333332</x:v>
      </x:c>
      <x:c r="G2353" s="46" t="n">
        <x:v>0</x:v>
      </x:c>
      <x:c r="H2353" s="61" t="n">
        <x:v>33.30189415041783</x:v>
      </x:c>
      <x:c r="I2353" s="52" t="n">
        <x:v>0.7353760445682451</x:v>
      </x:c>
      <x:c r="J2353" s="52" t="n">
        <x:v>0.4400219817354195</x:v>
      </x:c>
      <x:c r="K2353" s="60" t="n">
        <x:v>11168.59</x:v>
      </x:c>
      <x:c r="L2353" s="60" t="n">
        <x:v>786.79</x:v>
      </x:c>
      <x:c r="M2353" s="50" t="n">
        <x:v>264</x:v>
      </x:c>
      <x:c r="N2353" s="50" t="n">
        <x:v>95</x:v>
      </x:c>
      <x:c r="O2353" s="50" t="n">
        <x:v>187</x:v>
      </x:c>
      <x:c r="P2353" s="50" t="n">
        <x:v>24</x:v>
      </x:c>
    </x:row>
    <x:row r="2354" ht="36" customHeight="1">
      <x:c r="A2354" s="53" t="n">
        <x:v>2335</x:v>
      </x:c>
      <x:c r="B2354" s="53" t="n">
        <x:v>2</x:v>
      </x:c>
      <x:c r="C2354" s="40" t="str">
        <x:v>Large-Basket Occasional Shoppers</x:v>
      </x:c>
      <x:c r="D2354" s="60" t="n">
        <x:v>1955.25</x:v>
      </x:c>
      <x:c r="E2354" s="50" t="n">
        <x:v>52</x:v>
      </x:c>
      <x:c r="F2354" s="46" t="n">
        <x:v>3.058823529411765</x:v>
      </x:c>
      <x:c r="G2354" s="46" t="n">
        <x:v>6</x:v>
      </x:c>
      <x:c r="H2354" s="61" t="n">
        <x:v>37.60096153846153</x:v>
      </x:c>
      <x:c r="I2354" s="52" t="n">
        <x:v>0.8846153846153846</x:v>
      </x:c>
      <x:c r="J2354" s="52" t="n">
        <x:v>0.5647155095256361</x:v>
      </x:c>
      <x:c r="K2354" s="60" t="n">
        <x:v>1930.82</x:v>
      </x:c>
      <x:c r="L2354" s="60" t="n">
        <x:v>24.43</x:v>
      </x:c>
      <x:c r="M2354" s="50" t="n">
        <x:v>46</x:v>
      </x:c>
      <x:c r="N2354" s="50" t="n">
        <x:v>6</x:v>
      </x:c>
      <x:c r="O2354" s="50" t="n">
        <x:v>122</x:v>
      </x:c>
      <x:c r="P2354" s="50" t="n">
        <x:v>17</x:v>
      </x:c>
    </x:row>
    <x:row r="2355" ht="36" customHeight="1">
      <x:c r="A2355" s="53" t="n">
        <x:v>2336</x:v>
      </x:c>
      <x:c r="B2355" s="53" t="n">
        <x:v>2</x:v>
      </x:c>
      <x:c r="C2355" s="40" t="str">
        <x:v>Large-Basket Occasional Shoppers</x:v>
      </x:c>
      <x:c r="D2355" s="60" t="n">
        <x:v>2384.25</x:v>
      </x:c>
      <x:c r="E2355" s="50" t="n">
        <x:v>76</x:v>
      </x:c>
      <x:c r="F2355" s="46" t="n">
        <x:v>3.619047619047619</x:v>
      </x:c>
      <x:c r="G2355" s="46" t="n">
        <x:v>12</x:v>
      </x:c>
      <x:c r="H2355" s="61" t="n">
        <x:v>31.371710526315788</x:v>
      </x:c>
      <x:c r="I2355" s="52" t="n">
        <x:v>0.9078947368421052</x:v>
      </x:c>
      <x:c r="J2355" s="52" t="n">
        <x:v>0.5429170598720771</x:v>
      </x:c>
      <x:c r="K2355" s="60" t="n">
        <x:v>2295.52</x:v>
      </x:c>
      <x:c r="L2355" s="60" t="n">
        <x:v>88.73</x:v>
      </x:c>
      <x:c r="M2355" s="50" t="n">
        <x:v>69</x:v>
      </x:c>
      <x:c r="N2355" s="50" t="n">
        <x:v>7</x:v>
      </x:c>
      <x:c r="O2355" s="50" t="n">
        <x:v>120</x:v>
      </x:c>
      <x:c r="P2355" s="50" t="n">
        <x:v>21</x:v>
      </x:c>
    </x:row>
    <x:row r="2356" ht="36" customHeight="1">
      <x:c r="A2356" s="53" t="n">
        <x:v>2337</x:v>
      </x:c>
      <x:c r="B2356" s="53" t="n">
        <x:v>1</x:v>
      </x:c>
      <x:c r="C2356" s="40" t="str">
        <x:v>High-Value Frequent Shoppers</x:v>
      </x:c>
      <x:c r="D2356" s="60" t="n">
        <x:v>11703.97</x:v>
      </x:c>
      <x:c r="E2356" s="50" t="n">
        <x:v>1207</x:v>
      </x:c>
      <x:c r="F2356" s="46" t="n">
        <x:v>57.47619047619048</x:v>
      </x:c>
      <x:c r="G2356" s="46" t="n">
        <x:v>2</x:v>
      </x:c>
      <x:c r="H2356" s="61" t="n">
        <x:v>9.696743993371998</x:v>
      </x:c>
      <x:c r="I2356" s="52" t="n">
        <x:v>0.7423363711681855</x:v>
      </x:c>
      <x:c r="J2356" s="52" t="n">
        <x:v>0.4061314237818449</x:v>
      </x:c>
      <x:c r="K2356" s="60" t="n">
        <x:v>10123.6</x:v>
      </x:c>
      <x:c r="L2356" s="60" t="n">
        <x:v>1580.37</x:v>
      </x:c>
      <x:c r="M2356" s="50" t="n">
        <x:v>896</x:v>
      </x:c>
      <x:c r="N2356" s="50" t="n">
        <x:v>311</x:v>
      </x:c>
      <x:c r="O2356" s="50" t="n">
        <x:v>190</x:v>
      </x:c>
      <x:c r="P2356" s="50" t="n">
        <x:v>21</x:v>
      </x:c>
    </x:row>
    <x:row r="2357" ht="36" customHeight="1">
      <x:c r="A2357" s="53" t="n">
        <x:v>2338</x:v>
      </x:c>
      <x:c r="B2357" s="53" t="n">
        <x:v>1</x:v>
      </x:c>
      <x:c r="C2357" s="40" t="str">
        <x:v>High-Value Frequent Shoppers</x:v>
      </x:c>
      <x:c r="D2357" s="60" t="n">
        <x:v>2111.55</x:v>
      </x:c>
      <x:c r="E2357" s="50" t="n">
        <x:v>69</x:v>
      </x:c>
      <x:c r="F2357" s="46" t="n">
        <x:v>3.45</x:v>
      </x:c>
      <x:c r="G2357" s="46" t="n">
        <x:v>0</x:v>
      </x:c>
      <x:c r="H2357" s="61" t="n">
        <x:v>30.60217391304348</x:v>
      </x:c>
      <x:c r="I2357" s="52" t="n">
        <x:v>0.9420289855072465</x:v>
      </x:c>
      <x:c r="J2357" s="52" t="n">
        <x:v>0.5044635457365442</x:v>
      </x:c>
      <x:c r="K2357" s="60" t="n">
        <x:v>2067.37</x:v>
      </x:c>
      <x:c r="L2357" s="60" t="n">
        <x:v>44.18</x:v>
      </x:c>
      <x:c r="M2357" s="50" t="n">
        <x:v>65</x:v>
      </x:c>
      <x:c r="N2357" s="50" t="n">
        <x:v>4</x:v>
      </x:c>
      <x:c r="O2357" s="50" t="n">
        <x:v>155</x:v>
      </x:c>
      <x:c r="P2357" s="50" t="n">
        <x:v>20</x:v>
      </x:c>
    </x:row>
    <x:row r="2358" ht="36" customHeight="1">
      <x:c r="A2358" s="53" t="n">
        <x:v>2339</x:v>
      </x:c>
      <x:c r="B2358" s="53" t="n">
        <x:v>3</x:v>
      </x:c>
      <x:c r="C2358" s="40" t="str">
        <x:v>Low-Value Low-Engagement Shoppers</x:v>
      </x:c>
      <x:c r="D2358" s="60" t="n">
        <x:v>262.42</x:v>
      </x:c>
      <x:c r="E2358" s="50" t="n">
        <x:v>10</x:v>
      </x:c>
      <x:c r="F2358" s="46" t="n">
        <x:v>1.6666666666666667</x:v>
      </x:c>
      <x:c r="G2358" s="46" t="n">
        <x:v>25</x:v>
      </x:c>
      <x:c r="H2358" s="61" t="n">
        <x:v>26.242</x:v>
      </x:c>
      <x:c r="I2358" s="52" t="n">
        <x:v>0.9</x:v>
      </x:c>
      <x:c r="J2358" s="52" t="n">
        <x:v>0.4707339379620455</x:v>
      </x:c>
      <x:c r="K2358" s="60" t="n">
        <x:v>259.43</x:v>
      </x:c>
      <x:c r="L2358" s="60" t="n">
        <x:v>2.99</x:v>
      </x:c>
      <x:c r="M2358" s="50" t="n">
        <x:v>9</x:v>
      </x:c>
      <x:c r="N2358" s="50" t="n">
        <x:v>1</x:v>
      </x:c>
      <x:c r="O2358" s="50" t="n">
        <x:v>57</x:v>
      </x:c>
      <x:c r="P2358" s="50" t="n">
        <x:v>6</x:v>
      </x:c>
    </x:row>
    <x:row r="2359" ht="36" customHeight="1">
      <x:c r="A2359" s="53" t="n">
        <x:v>2340</x:v>
      </x:c>
      <x:c r="B2359" s="53" t="n">
        <x:v>1</x:v>
      </x:c>
      <x:c r="C2359" s="40" t="str">
        <x:v>High-Value Frequent Shoppers</x:v>
      </x:c>
      <x:c r="D2359" s="60" t="n">
        <x:v>2996.82</x:v>
      </x:c>
      <x:c r="E2359" s="50" t="n">
        <x:v>149</x:v>
      </x:c>
      <x:c r="F2359" s="46" t="n">
        <x:v>6.478260869565218</x:v>
      </x:c>
      <x:c r="G2359" s="46" t="n">
        <x:v>5</x:v>
      </x:c>
      <x:c r="H2359" s="61" t="n">
        <x:v>20.11288590604027</x:v>
      </x:c>
      <x:c r="I2359" s="52" t="n">
        <x:v>0.7046979865771812</x:v>
      </x:c>
      <x:c r="J2359" s="52" t="n">
        <x:v>0.486899446746885</x:v>
      </x:c>
      <x:c r="K2359" s="60" t="n">
        <x:v>2424.13</x:v>
      </x:c>
      <x:c r="L2359" s="60" t="n">
        <x:v>572.69</x:v>
      </x:c>
      <x:c r="M2359" s="50" t="n">
        <x:v>105</x:v>
      </x:c>
      <x:c r="N2359" s="50" t="n">
        <x:v>44</x:v>
      </x:c>
      <x:c r="O2359" s="50" t="n">
        <x:v>140</x:v>
      </x:c>
      <x:c r="P2359" s="50" t="n">
        <x:v>23</x:v>
      </x:c>
    </x:row>
    <x:row r="2360" ht="36" customHeight="1">
      <x:c r="A2360" s="53" t="n">
        <x:v>2341</x:v>
      </x:c>
      <x:c r="B2360" s="53" t="n">
        <x:v>1</x:v>
      </x:c>
      <x:c r="C2360" s="40" t="str">
        <x:v>High-Value Frequent Shoppers</x:v>
      </x:c>
      <x:c r="D2360" s="60" t="n">
        <x:v>5698.38</x:v>
      </x:c>
      <x:c r="E2360" s="50" t="n">
        <x:v>306</x:v>
      </x:c>
      <x:c r="F2360" s="46" t="n">
        <x:v>13.909090909090908</x:v>
      </x:c>
      <x:c r="G2360" s="46" t="n">
        <x:v>14</x:v>
      </x:c>
      <x:c r="H2360" s="61" t="n">
        <x:v>18.622156862745097</x:v>
      </x:c>
      <x:c r="I2360" s="52" t="n">
        <x:v>0.8562091503267973</x:v>
      </x:c>
      <x:c r="J2360" s="52" t="n">
        <x:v>0.5461394291009023</x:v>
      </x:c>
      <x:c r="K2360" s="60" t="n">
        <x:v>5313.89</x:v>
      </x:c>
      <x:c r="L2360" s="60" t="n">
        <x:v>384.49</x:v>
      </x:c>
      <x:c r="M2360" s="50" t="n">
        <x:v>262</x:v>
      </x:c>
      <x:c r="N2360" s="50" t="n">
        <x:v>44</x:v>
      </x:c>
      <x:c r="O2360" s="50" t="n">
        <x:v>179</x:v>
      </x:c>
      <x:c r="P2360" s="50" t="n">
        <x:v>22</x:v>
      </x:c>
    </x:row>
    <x:row r="2361" ht="36" customHeight="1">
      <x:c r="A2361" s="53" t="n">
        <x:v>2342</x:v>
      </x:c>
      <x:c r="B2361" s="53" t="n">
        <x:v>1</x:v>
      </x:c>
      <x:c r="C2361" s="40" t="str">
        <x:v>High-Value Frequent Shoppers</x:v>
      </x:c>
      <x:c r="D2361" s="60" t="n">
        <x:v>5934.36</x:v>
      </x:c>
      <x:c r="E2361" s="50" t="n">
        <x:v>194</x:v>
      </x:c>
      <x:c r="F2361" s="46" t="n">
        <x:v>9.23809523809524</x:v>
      </x:c>
      <x:c r="G2361" s="46" t="n">
        <x:v>0</x:v>
      </x:c>
      <x:c r="H2361" s="61" t="n">
        <x:v>30.58948453608248</x:v>
      </x:c>
      <x:c r="I2361" s="52" t="n">
        <x:v>0.9278350515463916</x:v>
      </x:c>
      <x:c r="J2361" s="52" t="n">
        <x:v>0.7253654985541828</x:v>
      </x:c>
      <x:c r="K2361" s="60" t="n">
        <x:v>5829.79</x:v>
      </x:c>
      <x:c r="L2361" s="60" t="n">
        <x:v>104.57</x:v>
      </x:c>
      <x:c r="M2361" s="50" t="n">
        <x:v>180</x:v>
      </x:c>
      <x:c r="N2361" s="50" t="n">
        <x:v>14</x:v>
      </x:c>
      <x:c r="O2361" s="50" t="n">
        <x:v>123</x:v>
      </x:c>
      <x:c r="P2361" s="50" t="n">
        <x:v>21</x:v>
      </x:c>
    </x:row>
    <x:row r="2362" ht="36" customHeight="1">
      <x:c r="A2362" s="53" t="n">
        <x:v>2343</x:v>
      </x:c>
      <x:c r="B2362" s="53" t="n">
        <x:v>1</x:v>
      </x:c>
      <x:c r="C2362" s="40" t="str">
        <x:v>High-Value Frequent Shoppers</x:v>
      </x:c>
      <x:c r="D2362" s="60" t="n">
        <x:v>4627.48</x:v>
      </x:c>
      <x:c r="E2362" s="50" t="n">
        <x:v>240</x:v>
      </x:c>
      <x:c r="F2362" s="46" t="n">
        <x:v>11.428571428571429</x:v>
      </x:c>
      <x:c r="G2362" s="46" t="n">
        <x:v>2</x:v>
      </x:c>
      <x:c r="H2362" s="61" t="n">
        <x:v>19.281166666666664</x:v>
      </x:c>
      <x:c r="I2362" s="52" t="n">
        <x:v>0.85</x:v>
      </x:c>
      <x:c r="J2362" s="52" t="n">
        <x:v>0.5707642172413495</x:v>
      </x:c>
      <x:c r="K2362" s="60" t="n">
        <x:v>4277.38</x:v>
      </x:c>
      <x:c r="L2362" s="60" t="n">
        <x:v>350.1</x:v>
      </x:c>
      <x:c r="M2362" s="50" t="n">
        <x:v>204</x:v>
      </x:c>
      <x:c r="N2362" s="50" t="n">
        <x:v>36</x:v>
      </x:c>
      <x:c r="O2362" s="50" t="n">
        <x:v>167</x:v>
      </x:c>
      <x:c r="P2362" s="50" t="n">
        <x:v>21</x:v>
      </x:c>
    </x:row>
    <x:row r="2363" ht="36" customHeight="1">
      <x:c r="A2363" s="53" t="n">
        <x:v>2344</x:v>
      </x:c>
      <x:c r="B2363" s="53" t="n">
        <x:v>2</x:v>
      </x:c>
      <x:c r="C2363" s="40" t="str">
        <x:v>Large-Basket Occasional Shoppers</x:v>
      </x:c>
      <x:c r="D2363" s="60" t="n">
        <x:v>2690.84</x:v>
      </x:c>
      <x:c r="E2363" s="50" t="n">
        <x:v>57</x:v>
      </x:c>
      <x:c r="F2363" s="46" t="n">
        <x:v>3</x:v>
      </x:c>
      <x:c r="G2363" s="46" t="n">
        <x:v>0</x:v>
      </x:c>
      <x:c r="H2363" s="61" t="n">
        <x:v>47.207719298245614</x:v>
      </x:c>
      <x:c r="I2363" s="52" t="n">
        <x:v>1</x:v>
      </x:c>
      <x:c r="J2363" s="52" t="n">
        <x:v>0.5216252174042306</x:v>
      </x:c>
      <x:c r="K2363" s="60" t="n">
        <x:v>2690.84</x:v>
      </x:c>
      <x:c r="L2363" s="60" t="n">
        <x:v>0</x:v>
      </x:c>
      <x:c r="M2363" s="50" t="n">
        <x:v>57</x:v>
      </x:c>
      <x:c r="N2363" s="50" t="n">
        <x:v>0</x:v>
      </x:c>
      <x:c r="O2363" s="50" t="n">
        <x:v>145</x:v>
      </x:c>
      <x:c r="P2363" s="50" t="n">
        <x:v>19</x:v>
      </x:c>
    </x:row>
    <x:row r="2364" ht="36" customHeight="1">
      <x:c r="A2364" s="53" t="n">
        <x:v>2345</x:v>
      </x:c>
      <x:c r="B2364" s="53" t="n">
        <x:v>1</x:v>
      </x:c>
      <x:c r="C2364" s="40" t="str">
        <x:v>High-Value Frequent Shoppers</x:v>
      </x:c>
      <x:c r="D2364" s="60" t="n">
        <x:v>4278.5</x:v>
      </x:c>
      <x:c r="E2364" s="50" t="n">
        <x:v>108</x:v>
      </x:c>
      <x:c r="F2364" s="46" t="n">
        <x:v>5.142857142857143</x:v>
      </x:c>
      <x:c r="G2364" s="46" t="n">
        <x:v>13</x:v>
      </x:c>
      <x:c r="H2364" s="61" t="n">
        <x:v>39.61574074074073</x:v>
      </x:c>
      <x:c r="I2364" s="52" t="n">
        <x:v>0.8425925925925924</x:v>
      </x:c>
      <x:c r="J2364" s="52" t="n">
        <x:v>0.5232604884889565</x:v>
      </x:c>
      <x:c r="K2364" s="60" t="n">
        <x:v>4107.64</x:v>
      </x:c>
      <x:c r="L2364" s="60" t="n">
        <x:v>170.86</x:v>
      </x:c>
      <x:c r="M2364" s="50" t="n">
        <x:v>91</x:v>
      </x:c>
      <x:c r="N2364" s="50" t="n">
        <x:v>17</x:v>
      </x:c>
      <x:c r="O2364" s="50" t="n">
        <x:v>158</x:v>
      </x:c>
      <x:c r="P2364" s="50" t="n">
        <x:v>21</x:v>
      </x:c>
    </x:row>
    <x:row r="2365" ht="36" customHeight="1">
      <x:c r="A2365" s="53" t="n">
        <x:v>2346</x:v>
      </x:c>
      <x:c r="B2365" s="53" t="n">
        <x:v>2</x:v>
      </x:c>
      <x:c r="C2365" s="40" t="str">
        <x:v>Large-Basket Occasional Shoppers</x:v>
      </x:c>
      <x:c r="D2365" s="60" t="n">
        <x:v>1220.38</x:v>
      </x:c>
      <x:c r="E2365" s="50" t="n">
        <x:v>30</x:v>
      </x:c>
      <x:c r="F2365" s="46" t="n">
        <x:v>1.5789473684210529</x:v>
      </x:c>
      <x:c r="G2365" s="46" t="n">
        <x:v>2</x:v>
      </x:c>
      <x:c r="H2365" s="61" t="n">
        <x:v>40.679333333333325</x:v>
      </x:c>
      <x:c r="I2365" s="52" t="n">
        <x:v>1</x:v>
      </x:c>
      <x:c r="J2365" s="52" t="n">
        <x:v>0.467788721545748</x:v>
      </x:c>
      <x:c r="K2365" s="60" t="n">
        <x:v>1220.38</x:v>
      </x:c>
      <x:c r="L2365" s="60" t="n">
        <x:v>0</x:v>
      </x:c>
      <x:c r="M2365" s="50" t="n">
        <x:v>30</x:v>
      </x:c>
      <x:c r="N2365" s="50" t="n">
        <x:v>0</x:v>
      </x:c>
      <x:c r="O2365" s="50" t="n">
        <x:v>83</x:v>
      </x:c>
      <x:c r="P2365" s="50" t="n">
        <x:v>19</x:v>
      </x:c>
    </x:row>
    <x:row r="2366" ht="36" customHeight="1">
      <x:c r="A2366" s="53" t="n">
        <x:v>2347</x:v>
      </x:c>
      <x:c r="B2366" s="53" t="n">
        <x:v>1</x:v>
      </x:c>
      <x:c r="C2366" s="40" t="str">
        <x:v>High-Value Frequent Shoppers</x:v>
      </x:c>
      <x:c r="D2366" s="60" t="n">
        <x:v>3232.55</x:v>
      </x:c>
      <x:c r="E2366" s="50" t="n">
        <x:v>93</x:v>
      </x:c>
      <x:c r="F2366" s="46" t="n">
        <x:v>4.428571428571429</x:v>
      </x:c>
      <x:c r="G2366" s="46" t="n">
        <x:v>0</x:v>
      </x:c>
      <x:c r="H2366" s="61" t="n">
        <x:v>34.758602150537634</x:v>
      </x:c>
      <x:c r="I2366" s="52" t="n">
        <x:v>0.9032258064516128</x:v>
      </x:c>
      <x:c r="J2366" s="52" t="n">
        <x:v>0.5688388423999629</x:v>
      </x:c>
      <x:c r="K2366" s="60" t="n">
        <x:v>3157.19</x:v>
      </x:c>
      <x:c r="L2366" s="60" t="n">
        <x:v>75.36</x:v>
      </x:c>
      <x:c r="M2366" s="50" t="n">
        <x:v>84</x:v>
      </x:c>
      <x:c r="N2366" s="50" t="n">
        <x:v>9</x:v>
      </x:c>
      <x:c r="O2366" s="50" t="n">
        <x:v>135</x:v>
      </x:c>
      <x:c r="P2366" s="50" t="n">
        <x:v>21</x:v>
      </x:c>
    </x:row>
    <x:row r="2367" ht="36" customHeight="1">
      <x:c r="A2367" s="53" t="n">
        <x:v>2348</x:v>
      </x:c>
      <x:c r="B2367" s="53" t="n">
        <x:v>3</x:v>
      </x:c>
      <x:c r="C2367" s="40" t="str">
        <x:v>Low-Value Low-Engagement Shoppers</x:v>
      </x:c>
      <x:c r="D2367" s="60" t="n">
        <x:v>278.87</x:v>
      </x:c>
      <x:c r="E2367" s="50" t="n">
        <x:v>56</x:v>
      </x:c>
      <x:c r="F2367" s="46" t="n">
        <x:v>9.33333333333333</x:v>
      </x:c>
      <x:c r="G2367" s="46" t="n">
        <x:v>54</x:v>
      </x:c>
      <x:c r="H2367" s="61" t="n">
        <x:v>4.979821428571428</x:v>
      </x:c>
      <x:c r="I2367" s="52" t="n">
        <x:v>0.6428571428571428</x:v>
      </x:c>
      <x:c r="J2367" s="52" t="n">
        <x:v>0.6522393947000394</x:v>
      </x:c>
      <x:c r="K2367" s="60" t="n">
        <x:v>247.3</x:v>
      </x:c>
      <x:c r="L2367" s="60" t="n">
        <x:v>31.57</x:v>
      </x:c>
      <x:c r="M2367" s="50" t="n">
        <x:v>36</x:v>
      </x:c>
      <x:c r="N2367" s="50" t="n">
        <x:v>20</x:v>
      </x:c>
      <x:c r="O2367" s="50" t="n">
        <x:v>43</x:v>
      </x:c>
      <x:c r="P2367" s="50" t="n">
        <x:v>6</x:v>
      </x:c>
    </x:row>
    <x:row r="2368" ht="36" customHeight="1">
      <x:c r="A2368" s="53" t="n">
        <x:v>2349</x:v>
      </x:c>
      <x:c r="B2368" s="53" t="n">
        <x:v>2</x:v>
      </x:c>
      <x:c r="C2368" s="40" t="str">
        <x:v>Large-Basket Occasional Shoppers</x:v>
      </x:c>
      <x:c r="D2368" s="60" t="n">
        <x:v>2100.28</x:v>
      </x:c>
      <x:c r="E2368" s="50" t="n">
        <x:v>72</x:v>
      </x:c>
      <x:c r="F2368" s="46" t="n">
        <x:v>3.428571428571429</x:v>
      </x:c>
      <x:c r="G2368" s="46" t="n">
        <x:v>7</x:v>
      </x:c>
      <x:c r="H2368" s="61" t="n">
        <x:v>29.17055555555556</x:v>
      </x:c>
      <x:c r="I2368" s="52" t="n">
        <x:v>0.9444444444444444</x:v>
      </x:c>
      <x:c r="J2368" s="52" t="n">
        <x:v>0.5766754908869293</x:v>
      </x:c>
      <x:c r="K2368" s="60" t="n">
        <x:v>2076.61</x:v>
      </x:c>
      <x:c r="L2368" s="60" t="n">
        <x:v>23.67</x:v>
      </x:c>
      <x:c r="M2368" s="50" t="n">
        <x:v>68</x:v>
      </x:c>
      <x:c r="N2368" s="50" t="n">
        <x:v>4</x:v>
      </x:c>
      <x:c r="O2368" s="50" t="n">
        <x:v>131</x:v>
      </x:c>
      <x:c r="P2368" s="50" t="n">
        <x:v>21</x:v>
      </x:c>
    </x:row>
    <x:row r="2369" ht="36" customHeight="1">
      <x:c r="A2369" s="53" t="n">
        <x:v>2350</x:v>
      </x:c>
      <x:c r="B2369" s="53" t="n">
        <x:v>2</x:v>
      </x:c>
      <x:c r="C2369" s="40" t="str">
        <x:v>Large-Basket Occasional Shoppers</x:v>
      </x:c>
      <x:c r="D2369" s="60" t="n">
        <x:v>1915.65</x:v>
      </x:c>
      <x:c r="E2369" s="50" t="n">
        <x:v>46</x:v>
      </x:c>
      <x:c r="F2369" s="46" t="n">
        <x:v>3.066666666666667</x:v>
      </x:c>
      <x:c r="G2369" s="46" t="n">
        <x:v>2</x:v>
      </x:c>
      <x:c r="H2369" s="61" t="n">
        <x:v>41.644565217391296</x:v>
      </x:c>
      <x:c r="I2369" s="52" t="n">
        <x:v>0.934782608695652</x:v>
      </x:c>
      <x:c r="J2369" s="52" t="n">
        <x:v>0.5836713387100984</x:v>
      </x:c>
      <x:c r="K2369" s="60" t="n">
        <x:v>1890.59</x:v>
      </x:c>
      <x:c r="L2369" s="60" t="n">
        <x:v>25.06</x:v>
      </x:c>
      <x:c r="M2369" s="50" t="n">
        <x:v>43</x:v>
      </x:c>
      <x:c r="N2369" s="50" t="n">
        <x:v>3</x:v>
      </x:c>
      <x:c r="O2369" s="50" t="n">
        <x:v>112</x:v>
      </x:c>
      <x:c r="P2369" s="50" t="n">
        <x:v>15</x:v>
      </x:c>
    </x:row>
    <x:row r="2370" ht="36" customHeight="1">
      <x:c r="A2370" s="53" t="n">
        <x:v>2351</x:v>
      </x:c>
      <x:c r="B2370" s="53" t="n">
        <x:v>1</x:v>
      </x:c>
      <x:c r="C2370" s="40" t="str">
        <x:v>High-Value Frequent Shoppers</x:v>
      </x:c>
      <x:c r="D2370" s="60" t="n">
        <x:v>16616.78</x:v>
      </x:c>
      <x:c r="E2370" s="50" t="n">
        <x:v>322</x:v>
      </x:c>
      <x:c r="F2370" s="46" t="n">
        <x:v>15.333333333333332</x:v>
      </x:c>
      <x:c r="G2370" s="46" t="n">
        <x:v>3</x:v>
      </x:c>
      <x:c r="H2370" s="61" t="n">
        <x:v>51.60490683229813</x:v>
      </x:c>
      <x:c r="I2370" s="52" t="n">
        <x:v>0.934782608695652</x:v>
      </x:c>
      <x:c r="J2370" s="52" t="n">
        <x:v>0.6211215409965107</x:v>
      </x:c>
      <x:c r="K2370" s="60" t="n">
        <x:v>16265.49</x:v>
      </x:c>
      <x:c r="L2370" s="60" t="n">
        <x:v>351.29</x:v>
      </x:c>
      <x:c r="M2370" s="50" t="n">
        <x:v>301</x:v>
      </x:c>
      <x:c r="N2370" s="50" t="n">
        <x:v>21</x:v>
      </x:c>
      <x:c r="O2370" s="50" t="n">
        <x:v>202</x:v>
      </x:c>
      <x:c r="P2370" s="50" t="n">
        <x:v>21</x:v>
      </x:c>
    </x:row>
    <x:row r="2371" ht="36" customHeight="1">
      <x:c r="A2371" s="53" t="n">
        <x:v>2352</x:v>
      </x:c>
      <x:c r="B2371" s="53" t="n">
        <x:v>2</x:v>
      </x:c>
      <x:c r="C2371" s="40" t="str">
        <x:v>Large-Basket Occasional Shoppers</x:v>
      </x:c>
      <x:c r="D2371" s="60" t="n">
        <x:v>1255.85</x:v>
      </x:c>
      <x:c r="E2371" s="50" t="n">
        <x:v>43</x:v>
      </x:c>
      <x:c r="F2371" s="46" t="n">
        <x:v>2.8666666666666667</x:v>
      </x:c>
      <x:c r="G2371" s="46" t="n">
        <x:v>32</x:v>
      </x:c>
      <x:c r="H2371" s="61" t="n">
        <x:v>29.205813953488367</x:v>
      </x:c>
      <x:c r="I2371" s="52" t="n">
        <x:v>0.813953488372093</x:v>
      </x:c>
      <x:c r="J2371" s="52" t="n">
        <x:v>0.376071983119003</x:v>
      </x:c>
      <x:c r="K2371" s="60" t="n">
        <x:v>1153.78</x:v>
      </x:c>
      <x:c r="L2371" s="60" t="n">
        <x:v>102.07</x:v>
      </x:c>
      <x:c r="M2371" s="50" t="n">
        <x:v>35</x:v>
      </x:c>
      <x:c r="N2371" s="50" t="n">
        <x:v>8</x:v>
      </x:c>
      <x:c r="O2371" s="50" t="n">
        <x:v>121</x:v>
      </x:c>
      <x:c r="P2371" s="50" t="n">
        <x:v>15</x:v>
      </x:c>
    </x:row>
    <x:row r="2372" ht="36" customHeight="1">
      <x:c r="A2372" s="53" t="n">
        <x:v>2353</x:v>
      </x:c>
      <x:c r="B2372" s="53" t="n">
        <x:v>2</x:v>
      </x:c>
      <x:c r="C2372" s="40" t="str">
        <x:v>Large-Basket Occasional Shoppers</x:v>
      </x:c>
      <x:c r="D2372" s="60" t="n">
        <x:v>412.75</x:v>
      </x:c>
      <x:c r="E2372" s="50" t="n">
        <x:v>14</x:v>
      </x:c>
      <x:c r="F2372" s="46" t="n">
        <x:v>1</x:v>
      </x:c>
      <x:c r="G2372" s="46" t="n">
        <x:v>23</x:v>
      </x:c>
      <x:c r="H2372" s="61" t="n">
        <x:v>29.482142857142858</x:v>
      </x:c>
      <x:c r="I2372" s="52" t="n">
        <x:v>0.9285714285714284</x:v>
      </x:c>
      <x:c r="J2372" s="52" t="n">
        <x:v>0.4760751059963658</x:v>
      </x:c>
      <x:c r="K2372" s="60" t="n">
        <x:v>401.76</x:v>
      </x:c>
      <x:c r="L2372" s="60" t="n">
        <x:v>10.99</x:v>
      </x:c>
      <x:c r="M2372" s="50" t="n">
        <x:v>13</x:v>
      </x:c>
      <x:c r="N2372" s="50" t="n">
        <x:v>1</x:v>
      </x:c>
      <x:c r="O2372" s="50" t="n">
        <x:v>70</x:v>
      </x:c>
      <x:c r="P2372" s="50" t="n">
        <x:v>14</x:v>
      </x:c>
    </x:row>
    <x:row r="2373" ht="36" customHeight="1">
      <x:c r="A2373" s="53" t="n">
        <x:v>2354</x:v>
      </x:c>
      <x:c r="B2373" s="53" t="n">
        <x:v>2</x:v>
      </x:c>
      <x:c r="C2373" s="40" t="str">
        <x:v>Large-Basket Occasional Shoppers</x:v>
      </x:c>
      <x:c r="D2373" s="60" t="n">
        <x:v>4821.89</x:v>
      </x:c>
      <x:c r="E2373" s="50" t="n">
        <x:v>80</x:v>
      </x:c>
      <x:c r="F2373" s="46" t="n">
        <x:v>3.8095238095238098</x:v>
      </x:c>
      <x:c r="G2373" s="46" t="n">
        <x:v>7</x:v>
      </x:c>
      <x:c r="H2373" s="61" t="n">
        <x:v>60.273625</x:v>
      </x:c>
      <x:c r="I2373" s="52" t="n">
        <x:v>0.925</x:v>
      </x:c>
      <x:c r="J2373" s="52" t="n">
        <x:v>0.5290166304084083</x:v>
      </x:c>
      <x:c r="K2373" s="60" t="n">
        <x:v>4777.59</x:v>
      </x:c>
      <x:c r="L2373" s="60" t="n">
        <x:v>44.3</x:v>
      </x:c>
      <x:c r="M2373" s="50" t="n">
        <x:v>74</x:v>
      </x:c>
      <x:c r="N2373" s="50" t="n">
        <x:v>6</x:v>
      </x:c>
      <x:c r="O2373" s="50" t="n">
        <x:v>130</x:v>
      </x:c>
      <x:c r="P2373" s="50" t="n">
        <x:v>21</x:v>
      </x:c>
    </x:row>
    <x:row r="2374" ht="36" customHeight="1">
      <x:c r="A2374" s="53" t="n">
        <x:v>2355</x:v>
      </x:c>
      <x:c r="B2374" s="53" t="n">
        <x:v>3</x:v>
      </x:c>
      <x:c r="C2374" s="40" t="str">
        <x:v>Low-Value Low-Engagement Shoppers</x:v>
      </x:c>
      <x:c r="D2374" s="60" t="n">
        <x:v>111.34</x:v>
      </x:c>
      <x:c r="E2374" s="50" t="n">
        <x:v>16</x:v>
      </x:c>
      <x:c r="F2374" s="46" t="n">
        <x:v>1.3333333333333333</x:v>
      </x:c>
      <x:c r="G2374" s="46" t="n">
        <x:v>57</x:v>
      </x:c>
      <x:c r="H2374" s="61" t="n">
        <x:v>6.95875</x:v>
      </x:c>
      <x:c r="I2374" s="52" t="n">
        <x:v>0.4375</x:v>
      </x:c>
      <x:c r="J2374" s="52" t="n">
        <x:v>0.2919885036824142</x:v>
      </x:c>
      <x:c r="K2374" s="60" t="n">
        <x:v>51.71</x:v>
      </x:c>
      <x:c r="L2374" s="60" t="n">
        <x:v>59.63</x:v>
      </x:c>
      <x:c r="M2374" s="50" t="n">
        <x:v>7</x:v>
      </x:c>
      <x:c r="N2374" s="50" t="n">
        <x:v>9</x:v>
      </x:c>
      <x:c r="O2374" s="50" t="n">
        <x:v>22</x:v>
      </x:c>
      <x:c r="P2374" s="50" t="n">
        <x:v>12</x:v>
      </x:c>
    </x:row>
    <x:row r="2375" ht="36" customHeight="1">
      <x:c r="A2375" s="53" t="n">
        <x:v>2356</x:v>
      </x:c>
      <x:c r="B2375" s="53" t="n">
        <x:v>2</x:v>
      </x:c>
      <x:c r="C2375" s="40" t="str">
        <x:v>Large-Basket Occasional Shoppers</x:v>
      </x:c>
      <x:c r="D2375" s="60" t="n">
        <x:v>2159.78</x:v>
      </x:c>
      <x:c r="E2375" s="50" t="n">
        <x:v>98</x:v>
      </x:c>
      <x:c r="F2375" s="46" t="n">
        <x:v>4.9</x:v>
      </x:c>
      <x:c r="G2375" s="46" t="n">
        <x:v>94</x:v>
      </x:c>
      <x:c r="H2375" s="61" t="n">
        <x:v>22.038571428571423</x:v>
      </x:c>
      <x:c r="I2375" s="52" t="n">
        <x:v>0.846938775510204</x:v>
      </x:c>
      <x:c r="J2375" s="52" t="n">
        <x:v>0.5637518636157386</x:v>
      </x:c>
      <x:c r="K2375" s="60" t="n">
        <x:v>2105.43</x:v>
      </x:c>
      <x:c r="L2375" s="60" t="n">
        <x:v>54.35</x:v>
      </x:c>
      <x:c r="M2375" s="50" t="n">
        <x:v>83</x:v>
      </x:c>
      <x:c r="N2375" s="50" t="n">
        <x:v>15</x:v>
      </x:c>
      <x:c r="O2375" s="50" t="n">
        <x:v>127</x:v>
      </x:c>
      <x:c r="P2375" s="50" t="n">
        <x:v>20</x:v>
      </x:c>
    </x:row>
    <x:row r="2376" ht="36" customHeight="1">
      <x:c r="A2376" s="53" t="n">
        <x:v>2357</x:v>
      </x:c>
      <x:c r="B2376" s="53" t="n">
        <x:v>3</x:v>
      </x:c>
      <x:c r="C2376" s="40" t="str">
        <x:v>Low-Value Low-Engagement Shoppers</x:v>
      </x:c>
      <x:c r="D2376" s="60" t="n">
        <x:v>234.37</x:v>
      </x:c>
      <x:c r="E2376" s="50" t="n">
        <x:v>29</x:v>
      </x:c>
      <x:c r="F2376" s="46" t="n">
        <x:v>1.933333333333333</x:v>
      </x:c>
      <x:c r="G2376" s="46" t="n">
        <x:v>49</x:v>
      </x:c>
      <x:c r="H2376" s="61" t="n">
        <x:v>8.081724137931033</x:v>
      </x:c>
      <x:c r="I2376" s="52" t="n">
        <x:v>0.4827586206896551</x:v>
      </x:c>
      <x:c r="J2376" s="52" t="n">
        <x:v>0.3472287408798054</x:v>
      </x:c>
      <x:c r="K2376" s="60" t="n">
        <x:v>132.09</x:v>
      </x:c>
      <x:c r="L2376" s="60" t="n">
        <x:v>102.28</x:v>
      </x:c>
      <x:c r="M2376" s="50" t="n">
        <x:v>14</x:v>
      </x:c>
      <x:c r="N2376" s="50" t="n">
        <x:v>15</x:v>
      </x:c>
      <x:c r="O2376" s="50" t="n">
        <x:v>37</x:v>
      </x:c>
      <x:c r="P2376" s="50" t="n">
        <x:v>15</x:v>
      </x:c>
    </x:row>
    <x:row r="2377" ht="36" customHeight="1">
      <x:c r="A2377" s="53" t="n">
        <x:v>2358</x:v>
      </x:c>
      <x:c r="B2377" s="53" t="n">
        <x:v>2</x:v>
      </x:c>
      <x:c r="C2377" s="40" t="str">
        <x:v>Large-Basket Occasional Shoppers</x:v>
      </x:c>
      <x:c r="D2377" s="60" t="n">
        <x:v>2423.25</x:v>
      </x:c>
      <x:c r="E2377" s="50" t="n">
        <x:v>76</x:v>
      </x:c>
      <x:c r="F2377" s="46" t="n">
        <x:v>3.4545454545454546</x:v>
      </x:c>
      <x:c r="G2377" s="46" t="n">
        <x:v>3</x:v>
      </x:c>
      <x:c r="H2377" s="61" t="n">
        <x:v>31.884868421052637</x:v>
      </x:c>
      <x:c r="I2377" s="52" t="n">
        <x:v>0.8684210526315789</x:v>
      </x:c>
      <x:c r="J2377" s="52" t="n">
        <x:v>0.5307087588981739</x:v>
      </x:c>
      <x:c r="K2377" s="60" t="n">
        <x:v>2296.01</x:v>
      </x:c>
      <x:c r="L2377" s="60" t="n">
        <x:v>127.24</x:v>
      </x:c>
      <x:c r="M2377" s="50" t="n">
        <x:v>66</x:v>
      </x:c>
      <x:c r="N2377" s="50" t="n">
        <x:v>10</x:v>
      </x:c>
      <x:c r="O2377" s="50" t="n">
        <x:v>80</x:v>
      </x:c>
      <x:c r="P2377" s="50" t="n">
        <x:v>22</x:v>
      </x:c>
    </x:row>
    <x:row r="2378" ht="36" customHeight="1">
      <x:c r="A2378" s="53" t="n">
        <x:v>2359</x:v>
      </x:c>
      <x:c r="B2378" s="53" t="n">
        <x:v>1</x:v>
      </x:c>
      <x:c r="C2378" s="40" t="str">
        <x:v>High-Value Frequent Shoppers</x:v>
      </x:c>
      <x:c r="D2378" s="60" t="n">
        <x:v>2806.27</x:v>
      </x:c>
      <x:c r="E2378" s="50" t="n">
        <x:v>173</x:v>
      </x:c>
      <x:c r="F2378" s="46" t="n">
        <x:v>8.65</x:v>
      </x:c>
      <x:c r="G2378" s="46" t="n">
        <x:v>14</x:v>
      </x:c>
      <x:c r="H2378" s="61" t="n">
        <x:v>16.22121387283237</x:v>
      </x:c>
      <x:c r="I2378" s="52" t="n">
        <x:v>0.8034682080924855</x:v>
      </x:c>
      <x:c r="J2378" s="52" t="n">
        <x:v>0.529325403471512</x:v>
      </x:c>
      <x:c r="K2378" s="60" t="n">
        <x:v>2379.93</x:v>
      </x:c>
      <x:c r="L2378" s="60" t="n">
        <x:v>426.34</x:v>
      </x:c>
      <x:c r="M2378" s="50" t="n">
        <x:v>139</x:v>
      </x:c>
      <x:c r="N2378" s="50" t="n">
        <x:v>34</x:v>
      </x:c>
      <x:c r="O2378" s="50" t="n">
        <x:v>118</x:v>
      </x:c>
      <x:c r="P2378" s="50" t="n">
        <x:v>20</x:v>
      </x:c>
    </x:row>
    <x:row r="2379" ht="36" customHeight="1">
      <x:c r="A2379" s="53" t="n">
        <x:v>2360</x:v>
      </x:c>
      <x:c r="B2379" s="53" t="n">
        <x:v>1</x:v>
      </x:c>
      <x:c r="C2379" s="40" t="str">
        <x:v>High-Value Frequent Shoppers</x:v>
      </x:c>
      <x:c r="D2379" s="60" t="n">
        <x:v>9394.58</x:v>
      </x:c>
      <x:c r="E2379" s="50" t="n">
        <x:v>342</x:v>
      </x:c>
      <x:c r="F2379" s="46" t="n">
        <x:v>14.869565217391305</x:v>
      </x:c>
      <x:c r="G2379" s="46" t="n">
        <x:v>3</x:v>
      </x:c>
      <x:c r="H2379" s="61" t="n">
        <x:v>27.469532163742688</x:v>
      </x:c>
      <x:c r="I2379" s="52" t="n">
        <x:v>0.8625730994152045</x:v>
      </x:c>
      <x:c r="J2379" s="52" t="n">
        <x:v>0.6089809230428608</x:v>
      </x:c>
      <x:c r="K2379" s="60" t="n">
        <x:v>8891.62</x:v>
      </x:c>
      <x:c r="L2379" s="60" t="n">
        <x:v>502.96</x:v>
      </x:c>
      <x:c r="M2379" s="50" t="n">
        <x:v>295</x:v>
      </x:c>
      <x:c r="N2379" s="50" t="n">
        <x:v>47</x:v>
      </x:c>
      <x:c r="O2379" s="50" t="n">
        <x:v>180</x:v>
      </x:c>
      <x:c r="P2379" s="50" t="n">
        <x:v>23</x:v>
      </x:c>
    </x:row>
    <x:row r="2380" ht="36" customHeight="1">
      <x:c r="A2380" s="53" t="n">
        <x:v>2361</x:v>
      </x:c>
      <x:c r="B2380" s="53" t="n">
        <x:v>2</x:v>
      </x:c>
      <x:c r="C2380" s="40" t="str">
        <x:v>Large-Basket Occasional Shoppers</x:v>
      </x:c>
      <x:c r="D2380" s="60" t="n">
        <x:v>4528.71</x:v>
      </x:c>
      <x:c r="E2380" s="50" t="n">
        <x:v>90</x:v>
      </x:c>
      <x:c r="F2380" s="46" t="n">
        <x:v>4.5</x:v>
      </x:c>
      <x:c r="G2380" s="46" t="n">
        <x:v>14</x:v>
      </x:c>
      <x:c r="H2380" s="61" t="n">
        <x:v>50.319</x:v>
      </x:c>
      <x:c r="I2380" s="52" t="n">
        <x:v>0.9444444444444444</x:v>
      </x:c>
      <x:c r="J2380" s="52" t="n">
        <x:v>0.3515681065910601</x:v>
      </x:c>
      <x:c r="K2380" s="60" t="n">
        <x:v>4471.79</x:v>
      </x:c>
      <x:c r="L2380" s="60" t="n">
        <x:v>56.92</x:v>
      </x:c>
      <x:c r="M2380" s="50" t="n">
        <x:v>85</x:v>
      </x:c>
      <x:c r="N2380" s="50" t="n">
        <x:v>5</x:v>
      </x:c>
      <x:c r="O2380" s="50" t="n">
        <x:v>135</x:v>
      </x:c>
      <x:c r="P2380" s="50" t="n">
        <x:v>20</x:v>
      </x:c>
    </x:row>
    <x:row r="2381" ht="36" customHeight="1">
      <x:c r="A2381" s="53" t="n">
        <x:v>2362</x:v>
      </x:c>
      <x:c r="B2381" s="53" t="n">
        <x:v>3</x:v>
      </x:c>
      <x:c r="C2381" s="40" t="str">
        <x:v>Low-Value Low-Engagement Shoppers</x:v>
      </x:c>
      <x:c r="D2381" s="60" t="n">
        <x:v>520.29</x:v>
      </x:c>
      <x:c r="E2381" s="50" t="n">
        <x:v>41</x:v>
      </x:c>
      <x:c r="F2381" s="46" t="n">
        <x:v>2.5625</x:v>
      </x:c>
      <x:c r="G2381" s="46" t="n">
        <x:v>49</x:v>
      </x:c>
      <x:c r="H2381" s="61" t="n">
        <x:v>12.69</x:v>
      </x:c>
      <x:c r="I2381" s="52" t="n">
        <x:v>0.8048780487804879</x:v>
      </x:c>
      <x:c r="J2381" s="52" t="n">
        <x:v>0.5494820196428915</x:v>
      </x:c>
      <x:c r="K2381" s="60" t="n">
        <x:v>477.65</x:v>
      </x:c>
      <x:c r="L2381" s="60" t="n">
        <x:v>42.64</x:v>
      </x:c>
      <x:c r="M2381" s="50" t="n">
        <x:v>33</x:v>
      </x:c>
      <x:c r="N2381" s="50" t="n">
        <x:v>8</x:v>
      </x:c>
      <x:c r="O2381" s="50" t="n">
        <x:v>72</x:v>
      </x:c>
      <x:c r="P2381" s="50" t="n">
        <x:v>16</x:v>
      </x:c>
    </x:row>
    <x:row r="2382" ht="36" customHeight="1">
      <x:c r="A2382" s="53" t="n">
        <x:v>2363</x:v>
      </x:c>
      <x:c r="B2382" s="53" t="n">
        <x:v>2</x:v>
      </x:c>
      <x:c r="C2382" s="40" t="str">
        <x:v>Large-Basket Occasional Shoppers</x:v>
      </x:c>
      <x:c r="D2382" s="60" t="n">
        <x:v>843.76</x:v>
      </x:c>
      <x:c r="E2382" s="50" t="n">
        <x:v>43</x:v>
      </x:c>
      <x:c r="F2382" s="46" t="n">
        <x:v>2.263157894736842</x:v>
      </x:c>
      <x:c r="G2382" s="46" t="n">
        <x:v>32</x:v>
      </x:c>
      <x:c r="H2382" s="61" t="n">
        <x:v>19.622325581395348</x:v>
      </x:c>
      <x:c r="I2382" s="52" t="n">
        <x:v>0.8604651162790697</x:v>
      </x:c>
      <x:c r="J2382" s="52" t="n">
        <x:v>0.4335948610979425</x:v>
      </x:c>
      <x:c r="K2382" s="60" t="n">
        <x:v>788.22</x:v>
      </x:c>
      <x:c r="L2382" s="60" t="n">
        <x:v>55.54</x:v>
      </x:c>
      <x:c r="M2382" s="50" t="n">
        <x:v>37</x:v>
      </x:c>
      <x:c r="N2382" s="50" t="n">
        <x:v>6</x:v>
      </x:c>
      <x:c r="O2382" s="50" t="n">
        <x:v>91</x:v>
      </x:c>
      <x:c r="P2382" s="50" t="n">
        <x:v>19</x:v>
      </x:c>
    </x:row>
    <x:row r="2383" ht="36" customHeight="1">
      <x:c r="A2383" s="53" t="n">
        <x:v>2364</x:v>
      </x:c>
      <x:c r="B2383" s="53" t="n">
        <x:v>1</x:v>
      </x:c>
      <x:c r="C2383" s="40" t="str">
        <x:v>High-Value Frequent Shoppers</x:v>
      </x:c>
      <x:c r="D2383" s="60" t="n">
        <x:v>7414.1</x:v>
      </x:c>
      <x:c r="E2383" s="50" t="n">
        <x:v>117</x:v>
      </x:c>
      <x:c r="F2383" s="46" t="n">
        <x:v>5.3181818181818175</x:v>
      </x:c>
      <x:c r="G2383" s="46" t="n">
        <x:v>5</x:v>
      </x:c>
      <x:c r="H2383" s="61" t="n">
        <x:v>63.36837606837607</x:v>
      </x:c>
      <x:c r="I2383" s="52" t="n">
        <x:v>0.8717948717948717</x:v>
      </x:c>
      <x:c r="J2383" s="52" t="n">
        <x:v>0.4455429519429195</x:v>
      </x:c>
      <x:c r="K2383" s="60" t="n">
        <x:v>7302.93</x:v>
      </x:c>
      <x:c r="L2383" s="60" t="n">
        <x:v>111.17</x:v>
      </x:c>
      <x:c r="M2383" s="50" t="n">
        <x:v>102</x:v>
      </x:c>
      <x:c r="N2383" s="50" t="n">
        <x:v>15</x:v>
      </x:c>
      <x:c r="O2383" s="50" t="n">
        <x:v>164</x:v>
      </x:c>
      <x:c r="P2383" s="50" t="n">
        <x:v>22</x:v>
      </x:c>
    </x:row>
    <x:row r="2384" ht="36" customHeight="1">
      <x:c r="A2384" s="53" t="n">
        <x:v>2365</x:v>
      </x:c>
      <x:c r="B2384" s="53" t="n">
        <x:v>2</x:v>
      </x:c>
      <x:c r="C2384" s="40" t="str">
        <x:v>Large-Basket Occasional Shoppers</x:v>
      </x:c>
      <x:c r="D2384" s="60" t="n">
        <x:v>313.65</x:v>
      </x:c>
      <x:c r="E2384" s="50" t="n">
        <x:v>7</x:v>
      </x:c>
      <x:c r="F2384" s="46" t="n">
        <x:v>1.4</x:v>
      </x:c>
      <x:c r="G2384" s="46" t="n">
        <x:v>486</x:v>
      </x:c>
      <x:c r="H2384" s="61" t="n">
        <x:v>44.80714285714286</x:v>
      </x:c>
      <x:c r="I2384" s="52" t="n">
        <x:v>0.8571428571428571</x:v>
      </x:c>
      <x:c r="J2384" s="52" t="n">
        <x:v>0.3305595408895265</x:v>
      </x:c>
      <x:c r="K2384" s="60" t="n">
        <x:v>299.96</x:v>
      </x:c>
      <x:c r="L2384" s="60" t="n">
        <x:v>13.69</x:v>
      </x:c>
      <x:c r="M2384" s="50" t="n">
        <x:v>6</x:v>
      </x:c>
      <x:c r="N2384" s="50" t="n">
        <x:v>1</x:v>
      </x:c>
      <x:c r="O2384" s="50" t="n">
        <x:v>58</x:v>
      </x:c>
      <x:c r="P2384" s="50" t="n">
        <x:v>5</x:v>
      </x:c>
    </x:row>
    <x:row r="2385" ht="36" customHeight="1">
      <x:c r="A2385" s="53" t="n">
        <x:v>2366</x:v>
      </x:c>
      <x:c r="B2385" s="53" t="n">
        <x:v>1</x:v>
      </x:c>
      <x:c r="C2385" s="40" t="str">
        <x:v>High-Value Frequent Shoppers</x:v>
      </x:c>
      <x:c r="D2385" s="60" t="n">
        <x:v>5500.03</x:v>
      </x:c>
      <x:c r="E2385" s="50" t="n">
        <x:v>168</x:v>
      </x:c>
      <x:c r="F2385" s="46" t="n">
        <x:v>8</x:v>
      </x:c>
      <x:c r="G2385" s="46" t="n">
        <x:v>6</x:v>
      </x:c>
      <x:c r="H2385" s="61" t="n">
        <x:v>32.73827380952381</x:v>
      </x:c>
      <x:c r="I2385" s="52" t="n">
        <x:v>0.9345238095238096</x:v>
      </x:c>
      <x:c r="J2385" s="52" t="n">
        <x:v>0.6574491411865026</x:v>
      </x:c>
      <x:c r="K2385" s="60" t="n">
        <x:v>5429.69</x:v>
      </x:c>
      <x:c r="L2385" s="60" t="n">
        <x:v>70.34</x:v>
      </x:c>
      <x:c r="M2385" s="50" t="n">
        <x:v>157</x:v>
      </x:c>
      <x:c r="N2385" s="50" t="n">
        <x:v>11</x:v>
      </x:c>
      <x:c r="O2385" s="50" t="n">
        <x:v>146</x:v>
      </x:c>
      <x:c r="P2385" s="50" t="n">
        <x:v>21</x:v>
      </x:c>
    </x:row>
    <x:row r="2386" ht="36" customHeight="1">
      <x:c r="A2386" s="53" t="n">
        <x:v>2367</x:v>
      </x:c>
      <x:c r="B2386" s="53" t="n">
        <x:v>1</x:v>
      </x:c>
      <x:c r="C2386" s="40" t="str">
        <x:v>High-Value Frequent Shoppers</x:v>
      </x:c>
      <x:c r="D2386" s="60" t="n">
        <x:v>4495.53</x:v>
      </x:c>
      <x:c r="E2386" s="50" t="n">
        <x:v>141</x:v>
      </x:c>
      <x:c r="F2386" s="46" t="n">
        <x:v>6.409090909090909</x:v>
      </x:c>
      <x:c r="G2386" s="46" t="n">
        <x:v>3</x:v>
      </x:c>
      <x:c r="H2386" s="61" t="n">
        <x:v>31.883191489361703</x:v>
      </x:c>
      <x:c r="I2386" s="52" t="n">
        <x:v>0.8723404255319148</x:v>
      </x:c>
      <x:c r="J2386" s="52" t="n">
        <x:v>0.4812291320489463</x:v>
      </x:c>
      <x:c r="K2386" s="60" t="n">
        <x:v>4386.05</x:v>
      </x:c>
      <x:c r="L2386" s="60" t="n">
        <x:v>109.48</x:v>
      </x:c>
      <x:c r="M2386" s="50" t="n">
        <x:v>123</x:v>
      </x:c>
      <x:c r="N2386" s="50" t="n">
        <x:v>18</x:v>
      </x:c>
      <x:c r="O2386" s="50" t="n">
        <x:v>148</x:v>
      </x:c>
      <x:c r="P2386" s="50" t="n">
        <x:v>22</x:v>
      </x:c>
    </x:row>
    <x:row r="2387" ht="36" customHeight="1">
      <x:c r="A2387" s="53" t="n">
        <x:v>2368</x:v>
      </x:c>
      <x:c r="B2387" s="53" t="n">
        <x:v>2</x:v>
      </x:c>
      <x:c r="C2387" s="40" t="str">
        <x:v>Large-Basket Occasional Shoppers</x:v>
      </x:c>
      <x:c r="D2387" s="60" t="n">
        <x:v>1377.69</x:v>
      </x:c>
      <x:c r="E2387" s="50" t="n">
        <x:v>27</x:v>
      </x:c>
      <x:c r="F2387" s="46" t="n">
        <x:v>1.6875</x:v>
      </x:c>
      <x:c r="G2387" s="46" t="n">
        <x:v>38</x:v>
      </x:c>
      <x:c r="H2387" s="61" t="n">
        <x:v>51.02555555555556</x:v>
      </x:c>
      <x:c r="I2387" s="52" t="n">
        <x:v>0.8148148148148148</x:v>
      </x:c>
      <x:c r="J2387" s="52" t="n">
        <x:v>0.4308951941293033</x:v>
      </x:c>
      <x:c r="K2387" s="60" t="n">
        <x:v>1268.64</x:v>
      </x:c>
      <x:c r="L2387" s="60" t="n">
        <x:v>109.05</x:v>
      </x:c>
      <x:c r="M2387" s="50" t="n">
        <x:v>22</x:v>
      </x:c>
      <x:c r="N2387" s="50" t="n">
        <x:v>5</x:v>
      </x:c>
      <x:c r="O2387" s="50" t="n">
        <x:v>90</x:v>
      </x:c>
      <x:c r="P2387" s="50" t="n">
        <x:v>16</x:v>
      </x:c>
    </x:row>
    <x:row r="2388" ht="36" customHeight="1">
      <x:c r="A2388" s="53" t="n">
        <x:v>2369</x:v>
      </x:c>
      <x:c r="B2388" s="53" t="n">
        <x:v>2</x:v>
      </x:c>
      <x:c r="C2388" s="40" t="str">
        <x:v>Large-Basket Occasional Shoppers</x:v>
      </x:c>
      <x:c r="D2388" s="60" t="n">
        <x:v>2709.79</x:v>
      </x:c>
      <x:c r="E2388" s="50" t="n">
        <x:v>76</x:v>
      </x:c>
      <x:c r="F2388" s="46" t="n">
        <x:v>3.619047619047619</x:v>
      </x:c>
      <x:c r="G2388" s="46" t="n">
        <x:v>2</x:v>
      </x:c>
      <x:c r="H2388" s="61" t="n">
        <x:v>35.65513157894737</x:v>
      </x:c>
      <x:c r="I2388" s="52" t="n">
        <x:v>0.8421052631578947</x:v>
      </x:c>
      <x:c r="J2388" s="52" t="n">
        <x:v>0.4936028253111864</x:v>
      </x:c>
      <x:c r="K2388" s="60" t="n">
        <x:v>2507.5</x:v>
      </x:c>
      <x:c r="L2388" s="60" t="n">
        <x:v>202.29</x:v>
      </x:c>
      <x:c r="M2388" s="50" t="n">
        <x:v>64</x:v>
      </x:c>
      <x:c r="N2388" s="50" t="n">
        <x:v>12</x:v>
      </x:c>
      <x:c r="O2388" s="50" t="n">
        <x:v>122</x:v>
      </x:c>
      <x:c r="P2388" s="50" t="n">
        <x:v>21</x:v>
      </x:c>
    </x:row>
    <x:row r="2389" ht="36" customHeight="1">
      <x:c r="A2389" s="53" t="n">
        <x:v>2370</x:v>
      </x:c>
      <x:c r="B2389" s="53" t="n">
        <x:v>1</x:v>
      </x:c>
      <x:c r="C2389" s="40" t="str">
        <x:v>High-Value Frequent Shoppers</x:v>
      </x:c>
      <x:c r="D2389" s="60" t="n">
        <x:v>5307.52</x:v>
      </x:c>
      <x:c r="E2389" s="50" t="n">
        <x:v>171</x:v>
      </x:c>
      <x:c r="F2389" s="46" t="n">
        <x:v>8.142857142857144</x:v>
      </x:c>
      <x:c r="G2389" s="46" t="n">
        <x:v>2</x:v>
      </x:c>
      <x:c r="H2389" s="61" t="n">
        <x:v>31.03812865497076</x:v>
      </x:c>
      <x:c r="I2389" s="52" t="n">
        <x:v>0.8830409356725146</x:v>
      </x:c>
      <x:c r="J2389" s="52" t="n">
        <x:v>0.7939621518147835</x:v>
      </x:c>
      <x:c r="K2389" s="60" t="n">
        <x:v>5152.61</x:v>
      </x:c>
      <x:c r="L2389" s="60" t="n">
        <x:v>154.91</x:v>
      </x:c>
      <x:c r="M2389" s="50" t="n">
        <x:v>151</x:v>
      </x:c>
      <x:c r="N2389" s="50" t="n">
        <x:v>20</x:v>
      </x:c>
      <x:c r="O2389" s="50" t="n">
        <x:v>150</x:v>
      </x:c>
      <x:c r="P2389" s="50" t="n">
        <x:v>21</x:v>
      </x:c>
    </x:row>
    <x:row r="2390" ht="36" customHeight="1">
      <x:c r="A2390" s="53" t="n">
        <x:v>2371</x:v>
      </x:c>
      <x:c r="B2390" s="53" t="n">
        <x:v>2</x:v>
      </x:c>
      <x:c r="C2390" s="40" t="str">
        <x:v>Large-Basket Occasional Shoppers</x:v>
      </x:c>
      <x:c r="D2390" s="60" t="n">
        <x:v>2138.71</x:v>
      </x:c>
      <x:c r="E2390" s="50" t="n">
        <x:v>98</x:v>
      </x:c>
      <x:c r="F2390" s="46" t="n">
        <x:v>4.083333333333333</x:v>
      </x:c>
      <x:c r="G2390" s="46" t="n">
        <x:v>5</x:v>
      </x:c>
      <x:c r="H2390" s="61" t="n">
        <x:v>21.823571428571427</x:v>
      </x:c>
      <x:c r="I2390" s="52" t="n">
        <x:v>0.7959183673469387</x:v>
      </x:c>
      <x:c r="J2390" s="52" t="n">
        <x:v>0.297955309509003</x:v>
      </x:c>
      <x:c r="K2390" s="60" t="n">
        <x:v>1958.25</x:v>
      </x:c>
      <x:c r="L2390" s="60" t="n">
        <x:v>180.46</x:v>
      </x:c>
      <x:c r="M2390" s="50" t="n">
        <x:v>78</x:v>
      </x:c>
      <x:c r="N2390" s="50" t="n">
        <x:v>20</x:v>
      </x:c>
      <x:c r="O2390" s="50" t="n">
        <x:v>108</x:v>
      </x:c>
      <x:c r="P2390" s="50" t="n">
        <x:v>24</x:v>
      </x:c>
    </x:row>
    <x:row r="2391" ht="36" customHeight="1">
      <x:c r="A2391" s="53" t="n">
        <x:v>2372</x:v>
      </x:c>
      <x:c r="B2391" s="53" t="n">
        <x:v>2</x:v>
      </x:c>
      <x:c r="C2391" s="40" t="str">
        <x:v>Large-Basket Occasional Shoppers</x:v>
      </x:c>
      <x:c r="D2391" s="60" t="n">
        <x:v>3208.19</x:v>
      </x:c>
      <x:c r="E2391" s="50" t="n">
        <x:v>71</x:v>
      </x:c>
      <x:c r="F2391" s="46" t="n">
        <x:v>3.380952380952381</x:v>
      </x:c>
      <x:c r="G2391" s="46" t="n">
        <x:v>5</x:v>
      </x:c>
      <x:c r="H2391" s="61" t="n">
        <x:v>45.18577464788732</x:v>
      </x:c>
      <x:c r="I2391" s="52" t="n">
        <x:v>0.9014084507042252</x:v>
      </x:c>
      <x:c r="J2391" s="52" t="n">
        <x:v>0.609811139614549</x:v>
      </x:c>
      <x:c r="K2391" s="60" t="n">
        <x:v>3149.2</x:v>
      </x:c>
      <x:c r="L2391" s="60" t="n">
        <x:v>58.99</x:v>
      </x:c>
      <x:c r="M2391" s="50" t="n">
        <x:v>64</x:v>
      </x:c>
      <x:c r="N2391" s="50" t="n">
        <x:v>7</x:v>
      </x:c>
      <x:c r="O2391" s="50" t="n">
        <x:v>153</x:v>
      </x:c>
      <x:c r="P2391" s="50" t="n">
        <x:v>21</x:v>
      </x:c>
    </x:row>
    <x:row r="2392" ht="36" customHeight="1">
      <x:c r="A2392" s="53" t="n">
        <x:v>2373</x:v>
      </x:c>
      <x:c r="B2392" s="53" t="n">
        <x:v>1</x:v>
      </x:c>
      <x:c r="C2392" s="40" t="str">
        <x:v>High-Value Frequent Shoppers</x:v>
      </x:c>
      <x:c r="D2392" s="60" t="n">
        <x:v>2585.6</x:v>
      </x:c>
      <x:c r="E2392" s="50" t="n">
        <x:v>124</x:v>
      </x:c>
      <x:c r="F2392" s="46" t="n">
        <x:v>6.888888888888888</x:v>
      </x:c>
      <x:c r="G2392" s="46" t="n">
        <x:v>14</x:v>
      </x:c>
      <x:c r="H2392" s="61" t="n">
        <x:v>20.851612903225806</x:v>
      </x:c>
      <x:c r="I2392" s="52" t="n">
        <x:v>0.7741935483870968</x:v>
      </x:c>
      <x:c r="J2392" s="52" t="n">
        <x:v>0.6037902227722772</x:v>
      </x:c>
      <x:c r="K2392" s="60" t="n">
        <x:v>2312.52</x:v>
      </x:c>
      <x:c r="L2392" s="60" t="n">
        <x:v>273.08</x:v>
      </x:c>
      <x:c r="M2392" s="50" t="n">
        <x:v>96</x:v>
      </x:c>
      <x:c r="N2392" s="50" t="n">
        <x:v>28</x:v>
      </x:c>
      <x:c r="O2392" s="50" t="n">
        <x:v>125</x:v>
      </x:c>
      <x:c r="P2392" s="50" t="n">
        <x:v>18</x:v>
      </x:c>
    </x:row>
    <x:row r="2393" ht="36" customHeight="1">
      <x:c r="A2393" s="53" t="n">
        <x:v>2374</x:v>
      </x:c>
      <x:c r="B2393" s="53" t="n">
        <x:v>2</x:v>
      </x:c>
      <x:c r="C2393" s="40" t="str">
        <x:v>Large-Basket Occasional Shoppers</x:v>
      </x:c>
      <x:c r="D2393" s="60" t="n">
        <x:v>6249.35</x:v>
      </x:c>
      <x:c r="E2393" s="50" t="n">
        <x:v>81</x:v>
      </x:c>
      <x:c r="F2393" s="46" t="n">
        <x:v>3.5217391304347823</x:v>
      </x:c>
      <x:c r="G2393" s="46" t="n">
        <x:v>28</x:v>
      </x:c>
      <x:c r="H2393" s="61" t="n">
        <x:v>77.15246913580248</x:v>
      </x:c>
      <x:c r="I2393" s="52" t="n">
        <x:v>0.9629629629629628</x:v>
      </x:c>
      <x:c r="J2393" s="52" t="n">
        <x:v>0.4681206845511933</x:v>
      </x:c>
      <x:c r="K2393" s="60" t="n">
        <x:v>6181.31</x:v>
      </x:c>
      <x:c r="L2393" s="60" t="n">
        <x:v>68.04</x:v>
      </x:c>
      <x:c r="M2393" s="50" t="n">
        <x:v>78</x:v>
      </x:c>
      <x:c r="N2393" s="50" t="n">
        <x:v>3</x:v>
      </x:c>
      <x:c r="O2393" s="50" t="n">
        <x:v>160</x:v>
      </x:c>
      <x:c r="P2393" s="50" t="n">
        <x:v>23</x:v>
      </x:c>
    </x:row>
    <x:row r="2394" ht="36" customHeight="1">
      <x:c r="A2394" s="53" t="n">
        <x:v>2375</x:v>
      </x:c>
      <x:c r="B2394" s="53" t="n">
        <x:v>1</x:v>
      </x:c>
      <x:c r="C2394" s="40" t="str">
        <x:v>High-Value Frequent Shoppers</x:v>
      </x:c>
      <x:c r="D2394" s="60" t="n">
        <x:v>2841.4</x:v>
      </x:c>
      <x:c r="E2394" s="50" t="n">
        <x:v>114</x:v>
      </x:c>
      <x:c r="F2394" s="46" t="n">
        <x:v>6</x:v>
      </x:c>
      <x:c r="G2394" s="46" t="n">
        <x:v>6</x:v>
      </x:c>
      <x:c r="H2394" s="61" t="n">
        <x:v>24.92456140350877</x:v>
      </x:c>
      <x:c r="I2394" s="52" t="n">
        <x:v>0.719298245614035</x:v>
      </x:c>
      <x:c r="J2394" s="52" t="n">
        <x:v>0.4626592524811712</x:v>
      </x:c>
      <x:c r="K2394" s="60" t="n">
        <x:v>2564.67</x:v>
      </x:c>
      <x:c r="L2394" s="60" t="n">
        <x:v>276.73</x:v>
      </x:c>
      <x:c r="M2394" s="50" t="n">
        <x:v>82</x:v>
      </x:c>
      <x:c r="N2394" s="50" t="n">
        <x:v>32</x:v>
      </x:c>
      <x:c r="O2394" s="50" t="n">
        <x:v>131</x:v>
      </x:c>
      <x:c r="P2394" s="50" t="n">
        <x:v>19</x:v>
      </x:c>
    </x:row>
    <x:row r="2395" ht="36" customHeight="1">
      <x:c r="A2395" s="53" t="n">
        <x:v>2376</x:v>
      </x:c>
      <x:c r="B2395" s="53" t="n">
        <x:v>1</x:v>
      </x:c>
      <x:c r="C2395" s="40" t="str">
        <x:v>High-Value Frequent Shoppers</x:v>
      </x:c>
      <x:c r="D2395" s="60" t="n">
        <x:v>3925.49</x:v>
      </x:c>
      <x:c r="E2395" s="50" t="n">
        <x:v>183</x:v>
      </x:c>
      <x:c r="F2395" s="46" t="n">
        <x:v>8.318181818181818</x:v>
      </x:c>
      <x:c r="G2395" s="46" t="n">
        <x:v>3</x:v>
      </x:c>
      <x:c r="H2395" s="61" t="n">
        <x:v>21.450765027322404</x:v>
      </x:c>
      <x:c r="I2395" s="52" t="n">
        <x:v>0.8360655737704918</x:v>
      </x:c>
      <x:c r="J2395" s="52" t="n">
        <x:v>0.5421514256818893</x:v>
      </x:c>
      <x:c r="K2395" s="60" t="n">
        <x:v>3657.96</x:v>
      </x:c>
      <x:c r="L2395" s="60" t="n">
        <x:v>267.53</x:v>
      </x:c>
      <x:c r="M2395" s="50" t="n">
        <x:v>153</x:v>
      </x:c>
      <x:c r="N2395" s="50" t="n">
        <x:v>30</x:v>
      </x:c>
      <x:c r="O2395" s="50" t="n">
        <x:v>163</x:v>
      </x:c>
      <x:c r="P2395" s="50" t="n">
        <x:v>22</x:v>
      </x:c>
    </x:row>
    <x:row r="2396" ht="36" customHeight="1">
      <x:c r="A2396" s="53" t="n">
        <x:v>2377</x:v>
      </x:c>
      <x:c r="B2396" s="53" t="n">
        <x:v>2</x:v>
      </x:c>
      <x:c r="C2396" s="40" t="str">
        <x:v>Large-Basket Occasional Shoppers</x:v>
      </x:c>
      <x:c r="D2396" s="60" t="n">
        <x:v>1107.54</x:v>
      </x:c>
      <x:c r="E2396" s="50" t="n">
        <x:v>82</x:v>
      </x:c>
      <x:c r="F2396" s="46" t="n">
        <x:v>3.565217391304348</x:v>
      </x:c>
      <x:c r="G2396" s="46" t="n">
        <x:v>1</x:v>
      </x:c>
      <x:c r="H2396" s="61" t="n">
        <x:v>13.506585365853658</x:v>
      </x:c>
      <x:c r="I2396" s="52" t="n">
        <x:v>0.9878048780487804</x:v>
      </x:c>
      <x:c r="J2396" s="52" t="n">
        <x:v>0.5940101486176571</x:v>
      </x:c>
      <x:c r="K2396" s="60" t="n">
        <x:v>1098.55</x:v>
      </x:c>
      <x:c r="L2396" s="60" t="n">
        <x:v>8.99</x:v>
      </x:c>
      <x:c r="M2396" s="50" t="n">
        <x:v>81</x:v>
      </x:c>
      <x:c r="N2396" s="50" t="n">
        <x:v>1</x:v>
      </x:c>
      <x:c r="O2396" s="50" t="n">
        <x:v>93</x:v>
      </x:c>
      <x:c r="P2396" s="50" t="n">
        <x:v>23</x:v>
      </x:c>
    </x:row>
    <x:row r="2397" ht="36" customHeight="1">
      <x:c r="A2397" s="53" t="n">
        <x:v>2378</x:v>
      </x:c>
      <x:c r="B2397" s="53" t="n">
        <x:v>1</x:v>
      </x:c>
      <x:c r="C2397" s="40" t="str">
        <x:v>High-Value Frequent Shoppers</x:v>
      </x:c>
      <x:c r="D2397" s="60" t="n">
        <x:v>8311.08</x:v>
      </x:c>
      <x:c r="E2397" s="50" t="n">
        <x:v>153</x:v>
      </x:c>
      <x:c r="F2397" s="46" t="n">
        <x:v>6.652173913043479</x:v>
      </x:c>
      <x:c r="G2397" s="46" t="n">
        <x:v>1</x:v>
      </x:c>
      <x:c r="H2397" s="61" t="n">
        <x:v>54.32078431372549</x:v>
      </x:c>
      <x:c r="I2397" s="52" t="n">
        <x:v>0.8562091503267973</x:v>
      </x:c>
      <x:c r="J2397" s="52" t="n">
        <x:v>0.524514262887615</x:v>
      </x:c>
      <x:c r="K2397" s="60" t="n">
        <x:v>7975.53</x:v>
      </x:c>
      <x:c r="L2397" s="60" t="n">
        <x:v>335.55</x:v>
      </x:c>
      <x:c r="M2397" s="50" t="n">
        <x:v>131</x:v>
      </x:c>
      <x:c r="N2397" s="50" t="n">
        <x:v>22</x:v>
      </x:c>
      <x:c r="O2397" s="50" t="n">
        <x:v>186</x:v>
      </x:c>
      <x:c r="P2397" s="50" t="n">
        <x:v>23</x:v>
      </x:c>
    </x:row>
    <x:row r="2398" ht="36" customHeight="1">
      <x:c r="A2398" s="53" t="n">
        <x:v>2379</x:v>
      </x:c>
      <x:c r="B2398" s="53" t="n">
        <x:v>2</x:v>
      </x:c>
      <x:c r="C2398" s="40" t="str">
        <x:v>Large-Basket Occasional Shoppers</x:v>
      </x:c>
      <x:c r="D2398" s="60" t="n">
        <x:v>1323.34</x:v>
      </x:c>
      <x:c r="E2398" s="50" t="n">
        <x:v>56</x:v>
      </x:c>
      <x:c r="F2398" s="46" t="n">
        <x:v>2.8</x:v>
      </x:c>
      <x:c r="G2398" s="46" t="n">
        <x:v>18</x:v>
      </x:c>
      <x:c r="H2398" s="61" t="n">
        <x:v>23.631071428571428</x:v>
      </x:c>
      <x:c r="I2398" s="52" t="n">
        <x:v>0.8571428571428571</x:v>
      </x:c>
      <x:c r="J2398" s="52" t="n">
        <x:v>0.5576949234512673</x:v>
      </x:c>
      <x:c r="K2398" s="60" t="n">
        <x:v>1271.74</x:v>
      </x:c>
      <x:c r="L2398" s="60" t="n">
        <x:v>51.6</x:v>
      </x:c>
      <x:c r="M2398" s="50" t="n">
        <x:v>48</x:v>
      </x:c>
      <x:c r="N2398" s="50" t="n">
        <x:v>8</x:v>
      </x:c>
      <x:c r="O2398" s="50" t="n">
        <x:v>107</x:v>
      </x:c>
      <x:c r="P2398" s="50" t="n">
        <x:v>20</x:v>
      </x:c>
    </x:row>
    <x:row r="2399" ht="36" customHeight="1">
      <x:c r="A2399" s="53" t="n">
        <x:v>2380</x:v>
      </x:c>
      <x:c r="B2399" s="53" t="n">
        <x:v>1</x:v>
      </x:c>
      <x:c r="C2399" s="40" t="str">
        <x:v>High-Value Frequent Shoppers</x:v>
      </x:c>
      <x:c r="D2399" s="60" t="n">
        <x:v>5018.78</x:v>
      </x:c>
      <x:c r="E2399" s="50" t="n">
        <x:v>177</x:v>
      </x:c>
      <x:c r="F2399" s="46" t="n">
        <x:v>8.428571428571427</x:v>
      </x:c>
      <x:c r="G2399" s="46" t="n">
        <x:v>3</x:v>
      </x:c>
      <x:c r="H2399" s="61" t="n">
        <x:v>28.354689265536724</x:v>
      </x:c>
      <x:c r="I2399" s="52" t="n">
        <x:v>0.943502824858757</x:v>
      </x:c>
      <x:c r="J2399" s="52" t="n">
        <x:v>0.8107647675331455</x:v>
      </x:c>
      <x:c r="K2399" s="60" t="n">
        <x:v>4952.7</x:v>
      </x:c>
      <x:c r="L2399" s="60" t="n">
        <x:v>66.08</x:v>
      </x:c>
      <x:c r="M2399" s="50" t="n">
        <x:v>167</x:v>
      </x:c>
      <x:c r="N2399" s="50" t="n">
        <x:v>10</x:v>
      </x:c>
      <x:c r="O2399" s="50" t="n">
        <x:v>135</x:v>
      </x:c>
      <x:c r="P2399" s="50" t="n">
        <x:v>21</x:v>
      </x:c>
    </x:row>
    <x:row r="2400" ht="36" customHeight="1">
      <x:c r="A2400" s="53" t="n">
        <x:v>2381</x:v>
      </x:c>
      <x:c r="B2400" s="53" t="n">
        <x:v>2</x:v>
      </x:c>
      <x:c r="C2400" s="40" t="str">
        <x:v>Large-Basket Occasional Shoppers</x:v>
      </x:c>
      <x:c r="D2400" s="60" t="n">
        <x:v>2185.28</x:v>
      </x:c>
      <x:c r="E2400" s="50" t="n">
        <x:v>92</x:v>
      </x:c>
      <x:c r="F2400" s="46" t="n">
        <x:v>4.3809523809523805</x:v>
      </x:c>
      <x:c r="G2400" s="46" t="n">
        <x:v>4</x:v>
      </x:c>
      <x:c r="H2400" s="61" t="n">
        <x:v>23.753043478260867</x:v>
      </x:c>
      <x:c r="I2400" s="52" t="n">
        <x:v>0.9456521739130432</x:v>
      </x:c>
      <x:c r="J2400" s="52" t="n">
        <x:v>0.6799906648118318</x:v>
      </x:c>
      <x:c r="K2400" s="60" t="n">
        <x:v>2151.36</x:v>
      </x:c>
      <x:c r="L2400" s="60" t="n">
        <x:v>33.92</x:v>
      </x:c>
      <x:c r="M2400" s="50" t="n">
        <x:v>87</x:v>
      </x:c>
      <x:c r="N2400" s="50" t="n">
        <x:v>5</x:v>
      </x:c>
      <x:c r="O2400" s="50" t="n">
        <x:v>124</x:v>
      </x:c>
      <x:c r="P2400" s="50" t="n">
        <x:v>21</x:v>
      </x:c>
    </x:row>
    <x:row r="2401" ht="36" customHeight="1">
      <x:c r="A2401" s="53" t="n">
        <x:v>2382</x:v>
      </x:c>
      <x:c r="B2401" s="53" t="n">
        <x:v>3</x:v>
      </x:c>
      <x:c r="C2401" s="40" t="str">
        <x:v>Low-Value Low-Engagement Shoppers</x:v>
      </x:c>
      <x:c r="D2401" s="60" t="n">
        <x:v>822.64</x:v>
      </x:c>
      <x:c r="E2401" s="50" t="n">
        <x:v>36</x:v>
      </x:c>
      <x:c r="F2401" s="46" t="n">
        <x:v>2</x:v>
      </x:c>
      <x:c r="G2401" s="46" t="n">
        <x:v>109</x:v>
      </x:c>
      <x:c r="H2401" s="61" t="n">
        <x:v>22.851111111111116</x:v>
      </x:c>
      <x:c r="I2401" s="52" t="n">
        <x:v>0.8055555555555555</x:v>
      </x:c>
      <x:c r="J2401" s="52" t="n">
        <x:v>0.4953199455411844</x:v>
      </x:c>
      <x:c r="K2401" s="60" t="n">
        <x:v>746.66</x:v>
      </x:c>
      <x:c r="L2401" s="60" t="n">
        <x:v>75.98</x:v>
      </x:c>
      <x:c r="M2401" s="50" t="n">
        <x:v>29</x:v>
      </x:c>
      <x:c r="N2401" s="50" t="n">
        <x:v>7</x:v>
      </x:c>
      <x:c r="O2401" s="50" t="n">
        <x:v>78</x:v>
      </x:c>
      <x:c r="P2401" s="50" t="n">
        <x:v>18</x:v>
      </x:c>
    </x:row>
    <x:row r="2402" ht="36" customHeight="1">
      <x:c r="A2402" s="53" t="n">
        <x:v>2383</x:v>
      </x:c>
      <x:c r="B2402" s="53" t="n">
        <x:v>2</x:v>
      </x:c>
      <x:c r="C2402" s="40" t="str">
        <x:v>Large-Basket Occasional Shoppers</x:v>
      </x:c>
      <x:c r="D2402" s="60" t="n">
        <x:v>555.64</x:v>
      </x:c>
      <x:c r="E2402" s="50" t="n">
        <x:v>18</x:v>
      </x:c>
      <x:c r="F2402" s="46" t="n">
        <x:v>2</x:v>
      </x:c>
      <x:c r="G2402" s="46" t="n">
        <x:v>62</x:v>
      </x:c>
      <x:c r="H2402" s="61" t="n">
        <x:v>30.86888888888889</x:v>
      </x:c>
      <x:c r="I2402" s="52" t="n">
        <x:v>0.8888888888888888</x:v>
      </x:c>
      <x:c r="J2402" s="52" t="n">
        <x:v>0.6857857605643942</x:v>
      </x:c>
      <x:c r="K2402" s="60" t="n">
        <x:v>546.65</x:v>
      </x:c>
      <x:c r="L2402" s="60" t="n">
        <x:v>8.99</x:v>
      </x:c>
      <x:c r="M2402" s="50" t="n">
        <x:v>16</x:v>
      </x:c>
      <x:c r="N2402" s="50" t="n">
        <x:v>2</x:v>
      </x:c>
      <x:c r="O2402" s="50" t="n">
        <x:v>52</x:v>
      </x:c>
      <x:c r="P2402" s="50" t="n">
        <x:v>9</x:v>
      </x:c>
    </x:row>
    <x:row r="2403" ht="36" customHeight="1">
      <x:c r="A2403" s="53" t="n">
        <x:v>2384</x:v>
      </x:c>
      <x:c r="B2403" s="53" t="n">
        <x:v>2</x:v>
      </x:c>
      <x:c r="C2403" s="40" t="str">
        <x:v>Large-Basket Occasional Shoppers</x:v>
      </x:c>
      <x:c r="D2403" s="60" t="n">
        <x:v>801.41</x:v>
      </x:c>
      <x:c r="E2403" s="50" t="n">
        <x:v>19</x:v>
      </x:c>
      <x:c r="F2403" s="46" t="n">
        <x:v>1.9</x:v>
      </x:c>
      <x:c r="G2403" s="46" t="n">
        <x:v>3</x:v>
      </x:c>
      <x:c r="H2403" s="61" t="n">
        <x:v>42.17947368421053</x:v>
      </x:c>
      <x:c r="I2403" s="52" t="n">
        <x:v>0.8421052631578947</x:v>
      </x:c>
      <x:c r="J2403" s="52" t="n">
        <x:v>0.4351455559576246</x:v>
      </x:c>
      <x:c r="K2403" s="60" t="n">
        <x:v>785.04</x:v>
      </x:c>
      <x:c r="L2403" s="60" t="n">
        <x:v>16.37</x:v>
      </x:c>
      <x:c r="M2403" s="50" t="n">
        <x:v>16</x:v>
      </x:c>
      <x:c r="N2403" s="50" t="n">
        <x:v>3</x:v>
      </x:c>
      <x:c r="O2403" s="50" t="n">
        <x:v>81</x:v>
      </x:c>
      <x:c r="P2403" s="50" t="n">
        <x:v>10</x:v>
      </x:c>
    </x:row>
    <x:row r="2404" ht="36" customHeight="1">
      <x:c r="A2404" s="53" t="n">
        <x:v>2385</x:v>
      </x:c>
      <x:c r="B2404" s="53" t="n">
        <x:v>1</x:v>
      </x:c>
      <x:c r="C2404" s="40" t="str">
        <x:v>High-Value Frequent Shoppers</x:v>
      </x:c>
      <x:c r="D2404" s="60" t="n">
        <x:v>6158.06</x:v>
      </x:c>
      <x:c r="E2404" s="50" t="n">
        <x:v>306</x:v>
      </x:c>
      <x:c r="F2404" s="46" t="n">
        <x:v>14.571428571428571</x:v>
      </x:c>
      <x:c r="G2404" s="46" t="n">
        <x:v>2</x:v>
      </x:c>
      <x:c r="H2404" s="61" t="n">
        <x:v>20.12437908496732</x:v>
      </x:c>
      <x:c r="I2404" s="52" t="n">
        <x:v>0.826797385620915</x:v>
      </x:c>
      <x:c r="J2404" s="52" t="n">
        <x:v>0.5441145425669772</x:v>
      </x:c>
      <x:c r="K2404" s="60" t="n">
        <x:v>5664.58</x:v>
      </x:c>
      <x:c r="L2404" s="60" t="n">
        <x:v>493.48</x:v>
      </x:c>
      <x:c r="M2404" s="50" t="n">
        <x:v>253</x:v>
      </x:c>
      <x:c r="N2404" s="50" t="n">
        <x:v>53</x:v>
      </x:c>
      <x:c r="O2404" s="50" t="n">
        <x:v>164</x:v>
      </x:c>
      <x:c r="P2404" s="50" t="n">
        <x:v>21</x:v>
      </x:c>
    </x:row>
    <x:row r="2405" ht="36" customHeight="1">
      <x:c r="A2405" s="53" t="n">
        <x:v>2386</x:v>
      </x:c>
      <x:c r="B2405" s="53" t="n">
        <x:v>3</x:v>
      </x:c>
      <x:c r="C2405" s="40" t="str">
        <x:v>Low-Value Low-Engagement Shoppers</x:v>
      </x:c>
      <x:c r="D2405" s="60" t="n">
        <x:v>1056.96</x:v>
      </x:c>
      <x:c r="E2405" s="50" t="n">
        <x:v>51</x:v>
      </x:c>
      <x:c r="F2405" s="46" t="n">
        <x:v>2.833333333333333</x:v>
      </x:c>
      <x:c r="G2405" s="46" t="n">
        <x:v>5</x:v>
      </x:c>
      <x:c r="H2405" s="61" t="n">
        <x:v>20.72470588235294</x:v>
      </x:c>
      <x:c r="I2405" s="52" t="n">
        <x:v>0.8039215686274509</x:v>
      </x:c>
      <x:c r="J2405" s="52" t="n">
        <x:v>0.5827089009990917</x:v>
      </x:c>
      <x:c r="K2405" s="60" t="n">
        <x:v>998.43</x:v>
      </x:c>
      <x:c r="L2405" s="60" t="n">
        <x:v>58.53</x:v>
      </x:c>
      <x:c r="M2405" s="50" t="n">
        <x:v>41</x:v>
      </x:c>
      <x:c r="N2405" s="50" t="n">
        <x:v>10</x:v>
      </x:c>
      <x:c r="O2405" s="50" t="n">
        <x:v>89</x:v>
      </x:c>
      <x:c r="P2405" s="50" t="n">
        <x:v>18</x:v>
      </x:c>
    </x:row>
    <x:row r="2406" ht="36" customHeight="1">
      <x:c r="A2406" s="53" t="n">
        <x:v>2387</x:v>
      </x:c>
      <x:c r="B2406" s="53" t="n">
        <x:v>2</x:v>
      </x:c>
      <x:c r="C2406" s="40" t="str">
        <x:v>Large-Basket Occasional Shoppers</x:v>
      </x:c>
      <x:c r="D2406" s="60" t="n">
        <x:v>865.7</x:v>
      </x:c>
      <x:c r="E2406" s="50" t="n">
        <x:v>32</x:v>
      </x:c>
      <x:c r="F2406" s="46" t="n">
        <x:v>2.461538461538461</x:v>
      </x:c>
      <x:c r="G2406" s="46" t="n">
        <x:v>11</x:v>
      </x:c>
      <x:c r="H2406" s="61" t="n">
        <x:v>27.053125</x:v>
      </x:c>
      <x:c r="I2406" s="52" t="n">
        <x:v>0.8125</x:v>
      </x:c>
      <x:c r="J2406" s="52" t="n">
        <x:v>0.49740094721035</x:v>
      </x:c>
      <x:c r="K2406" s="60" t="n">
        <x:v>808.84</x:v>
      </x:c>
      <x:c r="L2406" s="60" t="n">
        <x:v>56.86</x:v>
      </x:c>
      <x:c r="M2406" s="50" t="n">
        <x:v>26</x:v>
      </x:c>
      <x:c r="N2406" s="50" t="n">
        <x:v>6</x:v>
      </x:c>
      <x:c r="O2406" s="50" t="n">
        <x:v>77</x:v>
      </x:c>
      <x:c r="P2406" s="50" t="n">
        <x:v>13</x:v>
      </x:c>
    </x:row>
    <x:row r="2407" ht="36" customHeight="1">
      <x:c r="A2407" s="53" t="n">
        <x:v>2388</x:v>
      </x:c>
      <x:c r="B2407" s="53" t="n">
        <x:v>2</x:v>
      </x:c>
      <x:c r="C2407" s="40" t="str">
        <x:v>Large-Basket Occasional Shoppers</x:v>
      </x:c>
      <x:c r="D2407" s="60" t="n">
        <x:v>1703.02</x:v>
      </x:c>
      <x:c r="E2407" s="50" t="n">
        <x:v>63</x:v>
      </x:c>
      <x:c r="F2407" s="46" t="n">
        <x:v>3.3157894736842106</x:v>
      </x:c>
      <x:c r="G2407" s="46" t="n">
        <x:v>2</x:v>
      </x:c>
      <x:c r="H2407" s="61" t="n">
        <x:v>27.03206349206349</x:v>
      </x:c>
      <x:c r="I2407" s="52" t="n">
        <x:v>0.746031746031746</x:v>
      </x:c>
      <x:c r="J2407" s="52" t="n">
        <x:v>0.5942913177766554</x:v>
      </x:c>
      <x:c r="K2407" s="60" t="n">
        <x:v>1578.8</x:v>
      </x:c>
      <x:c r="L2407" s="60" t="n">
        <x:v>124.22</x:v>
      </x:c>
      <x:c r="M2407" s="50" t="n">
        <x:v>47</x:v>
      </x:c>
      <x:c r="N2407" s="50" t="n">
        <x:v>16</x:v>
      </x:c>
      <x:c r="O2407" s="50" t="n">
        <x:v>117</x:v>
      </x:c>
      <x:c r="P2407" s="50" t="n">
        <x:v>19</x:v>
      </x:c>
    </x:row>
    <x:row r="2408" ht="36" customHeight="1">
      <x:c r="A2408" s="53" t="n">
        <x:v>2389</x:v>
      </x:c>
      <x:c r="B2408" s="53" t="n">
        <x:v>2</x:v>
      </x:c>
      <x:c r="C2408" s="40" t="str">
        <x:v>Large-Basket Occasional Shoppers</x:v>
      </x:c>
      <x:c r="D2408" s="60" t="n">
        <x:v>1485.44</x:v>
      </x:c>
      <x:c r="E2408" s="50" t="n">
        <x:v>62</x:v>
      </x:c>
      <x:c r="F2408" s="46" t="n">
        <x:v>3.263157894736842</x:v>
      </x:c>
      <x:c r="G2408" s="46" t="n">
        <x:v>23</x:v>
      </x:c>
      <x:c r="H2408" s="61" t="n">
        <x:v>23.95870967741936</x:v>
      </x:c>
      <x:c r="I2408" s="52" t="n">
        <x:v>0.9032258064516128</x:v>
      </x:c>
      <x:c r="J2408" s="52" t="n">
        <x:v>0.5767987936234381</x:v>
      </x:c>
      <x:c r="K2408" s="60" t="n">
        <x:v>1442.17</x:v>
      </x:c>
      <x:c r="L2408" s="60" t="n">
        <x:v>43.27</x:v>
      </x:c>
      <x:c r="M2408" s="50" t="n">
        <x:v>56</x:v>
      </x:c>
      <x:c r="N2408" s="50" t="n">
        <x:v>6</x:v>
      </x:c>
      <x:c r="O2408" s="50" t="n">
        <x:v>121</x:v>
      </x:c>
      <x:c r="P2408" s="50" t="n">
        <x:v>19</x:v>
      </x:c>
    </x:row>
    <x:row r="2409" ht="36" customHeight="1">
      <x:c r="A2409" s="53" t="n">
        <x:v>2390</x:v>
      </x:c>
      <x:c r="B2409" s="53" t="n">
        <x:v>3</x:v>
      </x:c>
      <x:c r="C2409" s="40" t="str">
        <x:v>Low-Value Low-Engagement Shoppers</x:v>
      </x:c>
      <x:c r="D2409" s="60" t="n">
        <x:v>1046.59</x:v>
      </x:c>
      <x:c r="E2409" s="50" t="n">
        <x:v>47</x:v>
      </x:c>
      <x:c r="F2409" s="46" t="n">
        <x:v>2.35</x:v>
      </x:c>
      <x:c r="G2409" s="46" t="n">
        <x:v>87</x:v>
      </x:c>
      <x:c r="H2409" s="61" t="n">
        <x:v>22.267872340425527</x:v>
      </x:c>
      <x:c r="I2409" s="52" t="n">
        <x:v>0.7659574468085106</x:v>
      </x:c>
      <x:c r="J2409" s="52" t="n">
        <x:v>0.390238775451705</x:v>
      </x:c>
      <x:c r="K2409" s="60" t="n">
        <x:v>943.85</x:v>
      </x:c>
      <x:c r="L2409" s="60" t="n">
        <x:v>102.74</x:v>
      </x:c>
      <x:c r="M2409" s="50" t="n">
        <x:v>36</x:v>
      </x:c>
      <x:c r="N2409" s="50" t="n">
        <x:v>11</x:v>
      </x:c>
      <x:c r="O2409" s="50" t="n">
        <x:v>124</x:v>
      </x:c>
      <x:c r="P2409" s="50" t="n">
        <x:v>20</x:v>
      </x:c>
    </x:row>
    <x:row r="2410" ht="36" customHeight="1">
      <x:c r="A2410" s="53" t="n">
        <x:v>2391</x:v>
      </x:c>
      <x:c r="B2410" s="53" t="n">
        <x:v>3</x:v>
      </x:c>
      <x:c r="C2410" s="40" t="str">
        <x:v>Low-Value Low-Engagement Shoppers</x:v>
      </x:c>
      <x:c r="D2410" s="60" t="n">
        <x:v>633.92</x:v>
      </x:c>
      <x:c r="E2410" s="50" t="n">
        <x:v>54</x:v>
      </x:c>
      <x:c r="F2410" s="46" t="n">
        <x:v>3.176470588235294</x:v>
      </x:c>
      <x:c r="G2410" s="46" t="n">
        <x:v>104</x:v>
      </x:c>
      <x:c r="H2410" s="61" t="n">
        <x:v>11.73925925925926</x:v>
      </x:c>
      <x:c r="I2410" s="52" t="n">
        <x:v>1</x:v>
      </x:c>
      <x:c r="J2410" s="52" t="n">
        <x:v>0.761894245330641</x:v>
      </x:c>
      <x:c r="K2410" s="60" t="n">
        <x:v>633.92</x:v>
      </x:c>
      <x:c r="L2410" s="60" t="n">
        <x:v>0</x:v>
      </x:c>
      <x:c r="M2410" s="50" t="n">
        <x:v>54</x:v>
      </x:c>
      <x:c r="N2410" s="50" t="n">
        <x:v>0</x:v>
      </x:c>
      <x:c r="O2410" s="50" t="n">
        <x:v>60</x:v>
      </x:c>
      <x:c r="P2410" s="50" t="n">
        <x:v>17</x:v>
      </x:c>
    </x:row>
    <x:row r="2411" ht="36" customHeight="1">
      <x:c r="A2411" s="53" t="n">
        <x:v>2392</x:v>
      </x:c>
      <x:c r="B2411" s="53" t="n">
        <x:v>2</x:v>
      </x:c>
      <x:c r="C2411" s="40" t="str">
        <x:v>Large-Basket Occasional Shoppers</x:v>
      </x:c>
      <x:c r="D2411" s="60" t="n">
        <x:v>1428.9</x:v>
      </x:c>
      <x:c r="E2411" s="50" t="n">
        <x:v>39</x:v>
      </x:c>
      <x:c r="F2411" s="46" t="n">
        <x:v>2.7857142857142856</x:v>
      </x:c>
      <x:c r="G2411" s="46" t="n">
        <x:v>1</x:v>
      </x:c>
      <x:c r="H2411" s="61" t="n">
        <x:v>36.638461538461534</x:v>
      </x:c>
      <x:c r="I2411" s="52" t="n">
        <x:v>0.7435897435897435</x:v>
      </x:c>
      <x:c r="J2411" s="52" t="n">
        <x:v>0.5184617537966267</x:v>
      </x:c>
      <x:c r="K2411" s="60" t="n">
        <x:v>1350.88</x:v>
      </x:c>
      <x:c r="L2411" s="60" t="n">
        <x:v>78.02</x:v>
      </x:c>
      <x:c r="M2411" s="50" t="n">
        <x:v>29</x:v>
      </x:c>
      <x:c r="N2411" s="50" t="n">
        <x:v>10</x:v>
      </x:c>
      <x:c r="O2411" s="50" t="n">
        <x:v>83</x:v>
      </x:c>
      <x:c r="P2411" s="50" t="n">
        <x:v>14</x:v>
      </x:c>
    </x:row>
    <x:row r="2412" ht="36" customHeight="1">
      <x:c r="A2412" s="53" t="n">
        <x:v>2393</x:v>
      </x:c>
      <x:c r="B2412" s="53" t="n">
        <x:v>2</x:v>
      </x:c>
      <x:c r="C2412" s="40" t="str">
        <x:v>Large-Basket Occasional Shoppers</x:v>
      </x:c>
      <x:c r="D2412" s="60" t="n">
        <x:v>4048.29</x:v>
      </x:c>
      <x:c r="E2412" s="50" t="n">
        <x:v>60</x:v>
      </x:c>
      <x:c r="F2412" s="46" t="n">
        <x:v>2.7272727272727275</x:v>
      </x:c>
      <x:c r="G2412" s="46" t="n">
        <x:v>3</x:v>
      </x:c>
      <x:c r="H2412" s="61" t="n">
        <x:v>67.4715</x:v>
      </x:c>
      <x:c r="I2412" s="52" t="n">
        <x:v>0.9</x:v>
      </x:c>
      <x:c r="J2412" s="52" t="n">
        <x:v>0.3941244327852006</x:v>
      </x:c>
      <x:c r="K2412" s="60" t="n">
        <x:v>3977.95</x:v>
      </x:c>
      <x:c r="L2412" s="60" t="n">
        <x:v>70.34</x:v>
      </x:c>
      <x:c r="M2412" s="50" t="n">
        <x:v>54</x:v>
      </x:c>
      <x:c r="N2412" s="50" t="n">
        <x:v>6</x:v>
      </x:c>
      <x:c r="O2412" s="50" t="n">
        <x:v>157</x:v>
      </x:c>
      <x:c r="P2412" s="50" t="n">
        <x:v>22</x:v>
      </x:c>
    </x:row>
    <x:row r="2413" ht="36" customHeight="1">
      <x:c r="A2413" s="53" t="n">
        <x:v>2394</x:v>
      </x:c>
      <x:c r="B2413" s="53" t="n">
        <x:v>3</x:v>
      </x:c>
      <x:c r="C2413" s="40" t="str">
        <x:v>Low-Value Low-Engagement Shoppers</x:v>
      </x:c>
      <x:c r="D2413" s="60" t="n">
        <x:v>1538.01</x:v>
      </x:c>
      <x:c r="E2413" s="50" t="n">
        <x:v>84</x:v>
      </x:c>
      <x:c r="F2413" s="46" t="n">
        <x:v>4</x:v>
      </x:c>
      <x:c r="G2413" s="46" t="n">
        <x:v>9</x:v>
      </x:c>
      <x:c r="H2413" s="61" t="n">
        <x:v>18.30964285714285</x:v>
      </x:c>
      <x:c r="I2413" s="52" t="n">
        <x:v>0.7857142857142857</x:v>
      </x:c>
      <x:c r="J2413" s="52" t="n">
        <x:v>0.6802686588513728</x:v>
      </x:c>
      <x:c r="K2413" s="60" t="n">
        <x:v>1376.84</x:v>
      </x:c>
      <x:c r="L2413" s="60" t="n">
        <x:v>161.17</x:v>
      </x:c>
      <x:c r="M2413" s="50" t="n">
        <x:v>66</x:v>
      </x:c>
      <x:c r="N2413" s="50" t="n">
        <x:v>18</x:v>
      </x:c>
      <x:c r="O2413" s="50" t="n">
        <x:v>77</x:v>
      </x:c>
      <x:c r="P2413" s="50" t="n">
        <x:v>21</x:v>
      </x:c>
    </x:row>
    <x:row r="2414" ht="36" customHeight="1">
      <x:c r="A2414" s="53" t="n">
        <x:v>2395</x:v>
      </x:c>
      <x:c r="B2414" s="53" t="n">
        <x:v>1</x:v>
      </x:c>
      <x:c r="C2414" s="40" t="str">
        <x:v>High-Value Frequent Shoppers</x:v>
      </x:c>
      <x:c r="D2414" s="60" t="n">
        <x:v>5262.3</x:v>
      </x:c>
      <x:c r="E2414" s="50" t="n">
        <x:v>227</x:v>
      </x:c>
      <x:c r="F2414" s="46" t="n">
        <x:v>10.809523809523808</x:v>
      </x:c>
      <x:c r="G2414" s="46" t="n">
        <x:v>16</x:v>
      </x:c>
      <x:c r="H2414" s="61" t="n">
        <x:v>23.181938325991187</x:v>
      </x:c>
      <x:c r="I2414" s="52" t="n">
        <x:v>0.9074889867841408</x:v>
      </x:c>
      <x:c r="J2414" s="52" t="n">
        <x:v>0.4764722649791916</x:v>
      </x:c>
      <x:c r="K2414" s="60" t="n">
        <x:v>4981.21</x:v>
      </x:c>
      <x:c r="L2414" s="60" t="n">
        <x:v>281.09</x:v>
      </x:c>
      <x:c r="M2414" s="50" t="n">
        <x:v>206</x:v>
      </x:c>
      <x:c r="N2414" s="50" t="n">
        <x:v>21</x:v>
      </x:c>
      <x:c r="O2414" s="50" t="n">
        <x:v>172</x:v>
      </x:c>
      <x:c r="P2414" s="50" t="n">
        <x:v>21</x:v>
      </x:c>
    </x:row>
    <x:row r="2415" ht="36" customHeight="1">
      <x:c r="A2415" s="53" t="n">
        <x:v>2396</x:v>
      </x:c>
      <x:c r="B2415" s="53" t="n">
        <x:v>2</x:v>
      </x:c>
      <x:c r="C2415" s="40" t="str">
        <x:v>Large-Basket Occasional Shoppers</x:v>
      </x:c>
      <x:c r="D2415" s="60" t="n">
        <x:v>550.48</x:v>
      </x:c>
      <x:c r="E2415" s="50" t="n">
        <x:v>17</x:v>
      </x:c>
      <x:c r="F2415" s="46" t="n">
        <x:v>1.5454545454545456</x:v>
      </x:c>
      <x:c r="G2415" s="46" t="n">
        <x:v>69</x:v>
      </x:c>
      <x:c r="H2415" s="61" t="n">
        <x:v>32.38117647058824</x:v>
      </x:c>
      <x:c r="I2415" s="52" t="n">
        <x:v>0.9411764705882352</x:v>
      </x:c>
      <x:c r="J2415" s="52" t="n">
        <x:v>0.5092828077314343</x:v>
      </x:c>
      <x:c r="K2415" s="60" t="n">
        <x:v>543.49</x:v>
      </x:c>
      <x:c r="L2415" s="60" t="n">
        <x:v>6.99</x:v>
      </x:c>
      <x:c r="M2415" s="50" t="n">
        <x:v>16</x:v>
      </x:c>
      <x:c r="N2415" s="50" t="n">
        <x:v>1</x:v>
      </x:c>
      <x:c r="O2415" s="50" t="n">
        <x:v>77</x:v>
      </x:c>
      <x:c r="P2415" s="50" t="n">
        <x:v>11</x:v>
      </x:c>
    </x:row>
    <x:row r="2416" ht="36" customHeight="1">
      <x:c r="A2416" s="53" t="n">
        <x:v>2397</x:v>
      </x:c>
      <x:c r="B2416" s="53" t="n">
        <x:v>2</x:v>
      </x:c>
      <x:c r="C2416" s="40" t="str">
        <x:v>Large-Basket Occasional Shoppers</x:v>
      </x:c>
      <x:c r="D2416" s="60" t="n">
        <x:v>1095.1</x:v>
      </x:c>
      <x:c r="E2416" s="50" t="n">
        <x:v>35</x:v>
      </x:c>
      <x:c r="F2416" s="46" t="n">
        <x:v>4.375</x:v>
      </x:c>
      <x:c r="G2416" s="46" t="n">
        <x:v>7</x:v>
      </x:c>
      <x:c r="H2416" s="61" t="n">
        <x:v>31.288571428571423</x:v>
      </x:c>
      <x:c r="I2416" s="52" t="n">
        <x:v>0.7428571428571428</x:v>
      </x:c>
      <x:c r="J2416" s="52" t="n">
        <x:v>0.3231120445621404</x:v>
      </x:c>
      <x:c r="K2416" s="60" t="n">
        <x:v>976.67</x:v>
      </x:c>
      <x:c r="L2416" s="60" t="n">
        <x:v>118.43</x:v>
      </x:c>
      <x:c r="M2416" s="50" t="n">
        <x:v>26</x:v>
      </x:c>
      <x:c r="N2416" s="50" t="n">
        <x:v>9</x:v>
      </x:c>
      <x:c r="O2416" s="50" t="n">
        <x:v>94</x:v>
      </x:c>
      <x:c r="P2416" s="50" t="n">
        <x:v>8</x:v>
      </x:c>
    </x:row>
    <x:row r="2417" ht="36" customHeight="1">
      <x:c r="A2417" s="53" t="n">
        <x:v>2398</x:v>
      </x:c>
      <x:c r="B2417" s="53" t="n">
        <x:v>2</x:v>
      </x:c>
      <x:c r="C2417" s="40" t="str">
        <x:v>Large-Basket Occasional Shoppers</x:v>
      </x:c>
      <x:c r="D2417" s="60" t="n">
        <x:v>2035.1</x:v>
      </x:c>
      <x:c r="E2417" s="50" t="n">
        <x:v>75</x:v>
      </x:c>
      <x:c r="F2417" s="46" t="n">
        <x:v>4.411764705882352</x:v>
      </x:c>
      <x:c r="G2417" s="46" t="n">
        <x:v>66</x:v>
      </x:c>
      <x:c r="H2417" s="61" t="n">
        <x:v>27.134666666666664</x:v>
      </x:c>
      <x:c r="I2417" s="52" t="n">
        <x:v>0.9066666666666666</x:v>
      </x:c>
      <x:c r="J2417" s="52" t="n">
        <x:v>0.5494029777406515</x:v>
      </x:c>
      <x:c r="K2417" s="60" t="n">
        <x:v>1965.54</x:v>
      </x:c>
      <x:c r="L2417" s="60" t="n">
        <x:v>69.56</x:v>
      </x:c>
      <x:c r="M2417" s="50" t="n">
        <x:v>68</x:v>
      </x:c>
      <x:c r="N2417" s="50" t="n">
        <x:v>7</x:v>
      </x:c>
      <x:c r="O2417" s="50" t="n">
        <x:v>108</x:v>
      </x:c>
      <x:c r="P2417" s="50" t="n">
        <x:v>17</x:v>
      </x:c>
    </x:row>
    <x:row r="2418" ht="36" customHeight="1">
      <x:c r="A2418" s="53" t="n">
        <x:v>2399</x:v>
      </x:c>
      <x:c r="B2418" s="53" t="n">
        <x:v>3</x:v>
      </x:c>
      <x:c r="C2418" s="40" t="str">
        <x:v>Low-Value Low-Engagement Shoppers</x:v>
      </x:c>
      <x:c r="D2418" s="60" t="n">
        <x:v>188.49</x:v>
      </x:c>
      <x:c r="E2418" s="50" t="n">
        <x:v>10</x:v>
      </x:c>
      <x:c r="F2418" s="46" t="n">
        <x:v>1.4285714285714286</x:v>
      </x:c>
      <x:c r="G2418" s="46" t="n">
        <x:v>28</x:v>
      </x:c>
      <x:c r="H2418" s="61" t="n">
        <x:v>18.849</x:v>
      </x:c>
      <x:c r="I2418" s="52" t="n">
        <x:v>0.9</x:v>
      </x:c>
      <x:c r="J2418" s="52" t="n">
        <x:v>0.3037296408297522</x:v>
      </x:c>
      <x:c r="K2418" s="60" t="n">
        <x:v>172.99</x:v>
      </x:c>
      <x:c r="L2418" s="60" t="n">
        <x:v>15.5</x:v>
      </x:c>
      <x:c r="M2418" s="50" t="n">
        <x:v>9</x:v>
      </x:c>
      <x:c r="N2418" s="50" t="n">
        <x:v>1</x:v>
      </x:c>
      <x:c r="O2418" s="50" t="n">
        <x:v>32</x:v>
      </x:c>
      <x:c r="P2418" s="50" t="n">
        <x:v>7</x:v>
      </x:c>
    </x:row>
    <x:row r="2419" ht="36" customHeight="1">
      <x:c r="A2419" s="53" t="n">
        <x:v>2400</x:v>
      </x:c>
      <x:c r="B2419" s="53" t="n">
        <x:v>1</x:v>
      </x:c>
      <x:c r="C2419" s="40" t="str">
        <x:v>High-Value Frequent Shoppers</x:v>
      </x:c>
      <x:c r="D2419" s="60" t="n">
        <x:v>14681.32</x:v>
      </x:c>
      <x:c r="E2419" s="50" t="n">
        <x:v>390</x:v>
      </x:c>
      <x:c r="F2419" s="46" t="n">
        <x:v>18.57142857142857</x:v>
      </x:c>
      <x:c r="G2419" s="46" t="n">
        <x:v>0</x:v>
      </x:c>
      <x:c r="H2419" s="61" t="n">
        <x:v>37.644410256410254</x:v>
      </x:c>
      <x:c r="I2419" s="52" t="n">
        <x:v>0.7615384615384615</x:v>
      </x:c>
      <x:c r="J2419" s="52" t="n">
        <x:v>0.6549738034454667</x:v>
      </x:c>
      <x:c r="K2419" s="60" t="n">
        <x:v>13106.24</x:v>
      </x:c>
      <x:c r="L2419" s="60" t="n">
        <x:v>1575.08</x:v>
      </x:c>
      <x:c r="M2419" s="50" t="n">
        <x:v>297</x:v>
      </x:c>
      <x:c r="N2419" s="50" t="n">
        <x:v>93</x:v>
      </x:c>
      <x:c r="O2419" s="50" t="n">
        <x:v>166</x:v>
      </x:c>
      <x:c r="P2419" s="50" t="n">
        <x:v>21</x:v>
      </x:c>
    </x:row>
    <x:row r="2420" ht="36" customHeight="1">
      <x:c r="A2420" s="53" t="n">
        <x:v>2401</x:v>
      </x:c>
      <x:c r="B2420" s="53" t="n">
        <x:v>3</x:v>
      </x:c>
      <x:c r="C2420" s="40" t="str">
        <x:v>Low-Value Low-Engagement Shoppers</x:v>
      </x:c>
      <x:c r="D2420" s="60" t="n">
        <x:v>727.45</x:v>
      </x:c>
      <x:c r="E2420" s="50" t="n">
        <x:v>66</x:v>
      </x:c>
      <x:c r="F2420" s="46" t="n">
        <x:v>3.142857142857143</x:v>
      </x:c>
      <x:c r="G2420" s="46" t="n">
        <x:v>10</x:v>
      </x:c>
      <x:c r="H2420" s="61" t="n">
        <x:v>11.021969696969697</x:v>
      </x:c>
      <x:c r="I2420" s="52" t="n">
        <x:v>0.6515151515151515</x:v>
      </x:c>
      <x:c r="J2420" s="52" t="n">
        <x:v>0.3998212935596948</x:v>
      </x:c>
      <x:c r="K2420" s="60" t="n">
        <x:v>550.12</x:v>
      </x:c>
      <x:c r="L2420" s="60" t="n">
        <x:v>177.33</x:v>
      </x:c>
      <x:c r="M2420" s="50" t="n">
        <x:v>43</x:v>
      </x:c>
      <x:c r="N2420" s="50" t="n">
        <x:v>23</x:v>
      </x:c>
      <x:c r="O2420" s="50" t="n">
        <x:v>57</x:v>
      </x:c>
      <x:c r="P2420" s="50" t="n">
        <x:v>21</x:v>
      </x:c>
    </x:row>
    <x:row r="2421" ht="36" customHeight="1">
      <x:c r="A2421" s="53" t="n">
        <x:v>2402</x:v>
      </x:c>
      <x:c r="B2421" s="53" t="n">
        <x:v>2</x:v>
      </x:c>
      <x:c r="C2421" s="40" t="str">
        <x:v>Large-Basket Occasional Shoppers</x:v>
      </x:c>
      <x:c r="D2421" s="60" t="n">
        <x:v>1088.9</x:v>
      </x:c>
      <x:c r="E2421" s="50" t="n">
        <x:v>36</x:v>
      </x:c>
      <x:c r="F2421" s="46" t="n">
        <x:v>2.117647058823529</x:v>
      </x:c>
      <x:c r="G2421" s="46" t="n">
        <x:v>0</x:v>
      </x:c>
      <x:c r="H2421" s="61" t="n">
        <x:v>30.247222222222224</x:v>
      </x:c>
      <x:c r="I2421" s="52" t="n">
        <x:v>0.7777777777777777</x:v>
      </x:c>
      <x:c r="J2421" s="52" t="n">
        <x:v>0.3435118008999908</x:v>
      </x:c>
      <x:c r="K2421" s="60" t="n">
        <x:v>967.05</x:v>
      </x:c>
      <x:c r="L2421" s="60" t="n">
        <x:v>121.85</x:v>
      </x:c>
      <x:c r="M2421" s="50" t="n">
        <x:v>28</x:v>
      </x:c>
      <x:c r="N2421" s="50" t="n">
        <x:v>8</x:v>
      </x:c>
      <x:c r="O2421" s="50" t="n">
        <x:v>91</x:v>
      </x:c>
      <x:c r="P2421" s="50" t="n">
        <x:v>17</x:v>
      </x:c>
    </x:row>
    <x:row r="2422" ht="36" customHeight="1">
      <x:c r="A2422" s="53" t="n">
        <x:v>2403</x:v>
      </x:c>
      <x:c r="B2422" s="53" t="n">
        <x:v>3</x:v>
      </x:c>
      <x:c r="C2422" s="40" t="str">
        <x:v>Low-Value Low-Engagement Shoppers</x:v>
      </x:c>
      <x:c r="D2422" s="60" t="n">
        <x:v>118.69</x:v>
      </x:c>
      <x:c r="E2422" s="50" t="n">
        <x:v>10</x:v>
      </x:c>
      <x:c r="F2422" s="46" t="n">
        <x:v>1.6666666666666667</x:v>
      </x:c>
      <x:c r="G2422" s="46" t="n">
        <x:v>109</x:v>
      </x:c>
      <x:c r="H2422" s="61" t="n">
        <x:v>11.869</x:v>
      </x:c>
      <x:c r="I2422" s="52" t="n">
        <x:v>0.9</x:v>
      </x:c>
      <x:c r="J2422" s="52" t="n">
        <x:v>0.4581683376864099</x:v>
      </x:c>
      <x:c r="K2422" s="60" t="n">
        <x:v>113.7</x:v>
      </x:c>
      <x:c r="L2422" s="60" t="n">
        <x:v>4.99</x:v>
      </x:c>
      <x:c r="M2422" s="50" t="n">
        <x:v>9</x:v>
      </x:c>
      <x:c r="N2422" s="50" t="n">
        <x:v>1</x:v>
      </x:c>
      <x:c r="O2422" s="50" t="n">
        <x:v>24</x:v>
      </x:c>
      <x:c r="P2422" s="50" t="n">
        <x:v>6</x:v>
      </x:c>
    </x:row>
    <x:row r="2423" ht="36" customHeight="1">
      <x:c r="A2423" s="53" t="n">
        <x:v>2404</x:v>
      </x:c>
      <x:c r="B2423" s="53" t="n">
        <x:v>2</x:v>
      </x:c>
      <x:c r="C2423" s="40" t="str">
        <x:v>Large-Basket Occasional Shoppers</x:v>
      </x:c>
      <x:c r="D2423" s="60" t="n">
        <x:v>559.76</x:v>
      </x:c>
      <x:c r="E2423" s="50" t="n">
        <x:v>18</x:v>
      </x:c>
      <x:c r="F2423" s="46" t="n">
        <x:v>2</x:v>
      </x:c>
      <x:c r="G2423" s="46" t="n">
        <x:v>19</x:v>
      </x:c>
      <x:c r="H2423" s="61" t="n">
        <x:v>31.09777777777777</x:v>
      </x:c>
      <x:c r="I2423" s="52" t="n">
        <x:v>0.9444444444444444</x:v>
      </x:c>
      <x:c r="J2423" s="52" t="n">
        <x:v>0.6734314706302701</x:v>
      </x:c>
      <x:c r="K2423" s="60" t="n">
        <x:v>556.47</x:v>
      </x:c>
      <x:c r="L2423" s="60" t="n">
        <x:v>3.29</x:v>
      </x:c>
      <x:c r="M2423" s="50" t="n">
        <x:v>17</x:v>
      </x:c>
      <x:c r="N2423" s="50" t="n">
        <x:v>1</x:v>
      </x:c>
      <x:c r="O2423" s="50" t="n">
        <x:v>60</x:v>
      </x:c>
      <x:c r="P2423" s="50" t="n">
        <x:v>9</x:v>
      </x:c>
    </x:row>
    <x:row r="2424" ht="36" customHeight="1">
      <x:c r="A2424" s="53" t="n">
        <x:v>2405</x:v>
      </x:c>
      <x:c r="B2424" s="53" t="n">
        <x:v>1</x:v>
      </x:c>
      <x:c r="C2424" s="40" t="str">
        <x:v>High-Value Frequent Shoppers</x:v>
      </x:c>
      <x:c r="D2424" s="60" t="n">
        <x:v>3425.7</x:v>
      </x:c>
      <x:c r="E2424" s="50" t="n">
        <x:v>151</x:v>
      </x:c>
      <x:c r="F2424" s="46" t="n">
        <x:v>6.565217391304348</x:v>
      </x:c>
      <x:c r="G2424" s="46" t="n">
        <x:v>5</x:v>
      </x:c>
      <x:c r="H2424" s="61" t="n">
        <x:v>22.686754966887417</x:v>
      </x:c>
      <x:c r="I2424" s="52" t="n">
        <x:v>0.7880794701986754</x:v>
      </x:c>
      <x:c r="J2424" s="52" t="n">
        <x:v>0.5198149283358146</x:v>
      </x:c>
      <x:c r="K2424" s="60" t="n">
        <x:v>3008.27</x:v>
      </x:c>
      <x:c r="L2424" s="60" t="n">
        <x:v>417.43</x:v>
      </x:c>
      <x:c r="M2424" s="50" t="n">
        <x:v>119</x:v>
      </x:c>
      <x:c r="N2424" s="50" t="n">
        <x:v>32</x:v>
      </x:c>
      <x:c r="O2424" s="50" t="n">
        <x:v>116</x:v>
      </x:c>
      <x:c r="P2424" s="50" t="n">
        <x:v>23</x:v>
      </x:c>
    </x:row>
    <x:row r="2425" ht="36" customHeight="1">
      <x:c r="A2425" s="53" t="n">
        <x:v>2406</x:v>
      </x:c>
      <x:c r="B2425" s="53" t="n">
        <x:v>1</x:v>
      </x:c>
      <x:c r="C2425" s="40" t="str">
        <x:v>High-Value Frequent Shoppers</x:v>
      </x:c>
      <x:c r="D2425" s="60" t="n">
        <x:v>4860.81</x:v>
      </x:c>
      <x:c r="E2425" s="50" t="n">
        <x:v>138</x:v>
      </x:c>
      <x:c r="F2425" s="46" t="n">
        <x:v>6</x:v>
      </x:c>
      <x:c r="G2425" s="46" t="n">
        <x:v>16</x:v>
      </x:c>
      <x:c r="H2425" s="61" t="n">
        <x:v>35.223260869565216</x:v>
      </x:c>
      <x:c r="I2425" s="52" t="n">
        <x:v>0.7681159420289855</x:v>
      </x:c>
      <x:c r="J2425" s="52" t="n">
        <x:v>0.4133241167624325</x:v>
      </x:c>
      <x:c r="K2425" s="60" t="n">
        <x:v>4285.52</x:v>
      </x:c>
      <x:c r="L2425" s="60" t="n">
        <x:v>575.29</x:v>
      </x:c>
      <x:c r="M2425" s="50" t="n">
        <x:v>106</x:v>
      </x:c>
      <x:c r="N2425" s="50" t="n">
        <x:v>32</x:v>
      </x:c>
      <x:c r="O2425" s="50" t="n">
        <x:v>164</x:v>
      </x:c>
      <x:c r="P2425" s="50" t="n">
        <x:v>23</x:v>
      </x:c>
    </x:row>
    <x:row r="2426" ht="36" customHeight="1">
      <x:c r="A2426" s="53" t="n">
        <x:v>2407</x:v>
      </x:c>
      <x:c r="B2426" s="53" t="n">
        <x:v>1</x:v>
      </x:c>
      <x:c r="C2426" s="40" t="str">
        <x:v>High-Value Frequent Shoppers</x:v>
      </x:c>
      <x:c r="D2426" s="60" t="n">
        <x:v>6665.22</x:v>
      </x:c>
      <x:c r="E2426" s="50" t="n">
        <x:v>178</x:v>
      </x:c>
      <x:c r="F2426" s="46" t="n">
        <x:v>8.090909090909092</x:v>
      </x:c>
      <x:c r="G2426" s="46" t="n">
        <x:v>2</x:v>
      </x:c>
      <x:c r="H2426" s="61" t="n">
        <x:v>37.44505617977528</x:v>
      </x:c>
      <x:c r="I2426" s="52" t="n">
        <x:v>0.9325842696629212</x:v>
      </x:c>
      <x:c r="J2426" s="52" t="n">
        <x:v>0.8141801770984303</x:v>
      </x:c>
      <x:c r="K2426" s="60" t="n">
        <x:v>6586.67</x:v>
      </x:c>
      <x:c r="L2426" s="60" t="n">
        <x:v>78.55</x:v>
      </x:c>
      <x:c r="M2426" s="50" t="n">
        <x:v>166</x:v>
      </x:c>
      <x:c r="N2426" s="50" t="n">
        <x:v>12</x:v>
      </x:c>
      <x:c r="O2426" s="50" t="n">
        <x:v>123</x:v>
      </x:c>
      <x:c r="P2426" s="50" t="n">
        <x:v>22</x:v>
      </x:c>
    </x:row>
    <x:row r="2427" ht="36" customHeight="1">
      <x:c r="A2427" s="53" t="n">
        <x:v>2408</x:v>
      </x:c>
      <x:c r="B2427" s="53" t="n">
        <x:v>2</x:v>
      </x:c>
      <x:c r="C2427" s="40" t="str">
        <x:v>Large-Basket Occasional Shoppers</x:v>
      </x:c>
      <x:c r="D2427" s="60" t="n">
        <x:v>2108.17</x:v>
      </x:c>
      <x:c r="E2427" s="50" t="n">
        <x:v>26</x:v>
      </x:c>
      <x:c r="F2427" s="46" t="n">
        <x:v>2.363636363636364</x:v>
      </x:c>
      <x:c r="G2427" s="46" t="n">
        <x:v>19</x:v>
      </x:c>
      <x:c r="H2427" s="61" t="n">
        <x:v>81.08346153846153</x:v>
      </x:c>
      <x:c r="I2427" s="52" t="n">
        <x:v>0.9615384615384616</x:v>
      </x:c>
      <x:c r="J2427" s="52" t="n">
        <x:v>0.4907573867382611</x:v>
      </x:c>
      <x:c r="K2427" s="60" t="n">
        <x:v>2064.82</x:v>
      </x:c>
      <x:c r="L2427" s="60" t="n">
        <x:v>43.35</x:v>
      </x:c>
      <x:c r="M2427" s="50" t="n">
        <x:v>25</x:v>
      </x:c>
      <x:c r="N2427" s="50" t="n">
        <x:v>1</x:v>
      </x:c>
      <x:c r="O2427" s="50" t="n">
        <x:v>105</x:v>
      </x:c>
      <x:c r="P2427" s="50" t="n">
        <x:v>11</x:v>
      </x:c>
    </x:row>
    <x:row r="2428" ht="36" customHeight="1">
      <x:c r="A2428" s="53" t="n">
        <x:v>2409</x:v>
      </x:c>
      <x:c r="B2428" s="53" t="n">
        <x:v>2</x:v>
      </x:c>
      <x:c r="C2428" s="40" t="str">
        <x:v>Large-Basket Occasional Shoppers</x:v>
      </x:c>
      <x:c r="D2428" s="60" t="n">
        <x:v>906.55</x:v>
      </x:c>
      <x:c r="E2428" s="50" t="n">
        <x:v>8</x:v>
      </x:c>
      <x:c r="F2428" s="46" t="n">
        <x:v>1.1428571428571428</x:v>
      </x:c>
      <x:c r="G2428" s="46" t="n">
        <x:v>7</x:v>
      </x:c>
      <x:c r="H2428" s="61" t="n">
        <x:v>113.31875</x:v>
      </x:c>
      <x:c r="I2428" s="52" t="n">
        <x:v>1</x:v>
      </x:c>
      <x:c r="J2428" s="52" t="n">
        <x:v>0.6133693673818322</x:v>
      </x:c>
      <x:c r="K2428" s="60" t="n">
        <x:v>906.55</x:v>
      </x:c>
      <x:c r="L2428" s="60" t="n">
        <x:v>0</x:v>
      </x:c>
      <x:c r="M2428" s="50" t="n">
        <x:v>8</x:v>
      </x:c>
      <x:c r="N2428" s="50" t="n">
        <x:v>0</x:v>
      </x:c>
      <x:c r="O2428" s="50" t="n">
        <x:v>104</x:v>
      </x:c>
      <x:c r="P2428" s="50" t="n">
        <x:v>7</x:v>
      </x:c>
    </x:row>
    <x:row r="2429" ht="36" customHeight="1">
      <x:c r="A2429" s="53" t="n">
        <x:v>2410</x:v>
      </x:c>
      <x:c r="B2429" s="53" t="n">
        <x:v>2</x:v>
      </x:c>
      <x:c r="C2429" s="40" t="str">
        <x:v>Large-Basket Occasional Shoppers</x:v>
      </x:c>
      <x:c r="D2429" s="60" t="n">
        <x:v>2636.57</x:v>
      </x:c>
      <x:c r="E2429" s="50" t="n">
        <x:v>63</x:v>
      </x:c>
      <x:c r="F2429" s="46" t="n">
        <x:v>2.863636363636364</x:v>
      </x:c>
      <x:c r="G2429" s="46" t="n">
        <x:v>18</x:v>
      </x:c>
      <x:c r="H2429" s="61" t="n">
        <x:v>41.850317460317456</x:v>
      </x:c>
      <x:c r="I2429" s="52" t="n">
        <x:v>0.8888888888888888</x:v>
      </x:c>
      <x:c r="J2429" s="52" t="n">
        <x:v>0.4812047470766943</x:v>
      </x:c>
      <x:c r="K2429" s="60" t="n">
        <x:v>2521.54</x:v>
      </x:c>
      <x:c r="L2429" s="60" t="n">
        <x:v>115.03</x:v>
      </x:c>
      <x:c r="M2429" s="50" t="n">
        <x:v>56</x:v>
      </x:c>
      <x:c r="N2429" s="50" t="n">
        <x:v>7</x:v>
      </x:c>
      <x:c r="O2429" s="50" t="n">
        <x:v>142</x:v>
      </x:c>
      <x:c r="P2429" s="50" t="n">
        <x:v>22</x:v>
      </x:c>
    </x:row>
    <x:row r="2430" ht="36" customHeight="1">
      <x:c r="A2430" s="53" t="n">
        <x:v>2411</x:v>
      </x:c>
      <x:c r="B2430" s="53" t="n">
        <x:v>1</x:v>
      </x:c>
      <x:c r="C2430" s="40" t="str">
        <x:v>High-Value Frequent Shoppers</x:v>
      </x:c>
      <x:c r="D2430" s="60" t="n">
        <x:v>2019.25</x:v>
      </x:c>
      <x:c r="E2430" s="50" t="n">
        <x:v>76</x:v>
      </x:c>
      <x:c r="F2430" s="46" t="n">
        <x:v>4.470588235294118</x:v>
      </x:c>
      <x:c r="G2430" s="46" t="n">
        <x:v>8</x:v>
      </x:c>
      <x:c r="H2430" s="61" t="n">
        <x:v>26.56907894736842</x:v>
      </x:c>
      <x:c r="I2430" s="52" t="n">
        <x:v>0.7368421052631579</x:v>
      </x:c>
      <x:c r="J2430" s="52" t="n">
        <x:v>0.3109273245016714</x:v>
      </x:c>
      <x:c r="K2430" s="60" t="n">
        <x:v>1775.4</x:v>
      </x:c>
      <x:c r="L2430" s="60" t="n">
        <x:v>243.85</x:v>
      </x:c>
      <x:c r="M2430" s="50" t="n">
        <x:v>56</x:v>
      </x:c>
      <x:c r="N2430" s="50" t="n">
        <x:v>20</x:v>
      </x:c>
      <x:c r="O2430" s="50" t="n">
        <x:v>130</x:v>
      </x:c>
      <x:c r="P2430" s="50" t="n">
        <x:v>17</x:v>
      </x:c>
    </x:row>
    <x:row r="2431" ht="36" customHeight="1">
      <x:c r="A2431" s="53" t="n">
        <x:v>2412</x:v>
      </x:c>
      <x:c r="B2431" s="53" t="n">
        <x:v>1</x:v>
      </x:c>
      <x:c r="C2431" s="40" t="str">
        <x:v>High-Value Frequent Shoppers</x:v>
      </x:c>
      <x:c r="D2431" s="60" t="n">
        <x:v>12763.78</x:v>
      </x:c>
      <x:c r="E2431" s="50" t="n">
        <x:v>279</x:v>
      </x:c>
      <x:c r="F2431" s="46" t="n">
        <x:v>13.285714285714285</x:v>
      </x:c>
      <x:c r="G2431" s="46" t="n">
        <x:v>1</x:v>
      </x:c>
      <x:c r="H2431" s="61" t="n">
        <x:v>45.74831541218638</x:v>
      </x:c>
      <x:c r="I2431" s="52" t="n">
        <x:v>0.8853046594982078</x:v>
      </x:c>
      <x:c r="J2431" s="52" t="n">
        <x:v>0.5361805045213878</x:v>
      </x:c>
      <x:c r="K2431" s="60" t="n">
        <x:v>12321.96</x:v>
      </x:c>
      <x:c r="L2431" s="60" t="n">
        <x:v>441.82</x:v>
      </x:c>
      <x:c r="M2431" s="50" t="n">
        <x:v>247</x:v>
      </x:c>
      <x:c r="N2431" s="50" t="n">
        <x:v>32</x:v>
      </x:c>
      <x:c r="O2431" s="50" t="n">
        <x:v>196</x:v>
      </x:c>
      <x:c r="P2431" s="50" t="n">
        <x:v>21</x:v>
      </x:c>
    </x:row>
    <x:row r="2432" ht="36" customHeight="1">
      <x:c r="A2432" s="53" t="n">
        <x:v>2413</x:v>
      </x:c>
      <x:c r="B2432" s="53" t="n">
        <x:v>3</x:v>
      </x:c>
      <x:c r="C2432" s="40" t="str">
        <x:v>Low-Value Low-Engagement Shoppers</x:v>
      </x:c>
      <x:c r="D2432" s="60" t="n">
        <x:v>301.41</x:v>
      </x:c>
      <x:c r="E2432" s="50" t="n">
        <x:v>16</x:v>
      </x:c>
      <x:c r="F2432" s="46" t="n">
        <x:v>1.6</x:v>
      </x:c>
      <x:c r="G2432" s="46" t="n">
        <x:v>93</x:v>
      </x:c>
      <x:c r="H2432" s="61" t="n">
        <x:v>18.838125</x:v>
      </x:c>
      <x:c r="I2432" s="52" t="n">
        <x:v>0.625</x:v>
      </x:c>
      <x:c r="J2432" s="52" t="n">
        <x:v>0.3030423675392322</x:v>
      </x:c>
      <x:c r="K2432" s="60" t="n">
        <x:v>258.65</x:v>
      </x:c>
      <x:c r="L2432" s="60" t="n">
        <x:v>42.76</x:v>
      </x:c>
      <x:c r="M2432" s="50" t="n">
        <x:v>10</x:v>
      </x:c>
      <x:c r="N2432" s="50" t="n">
        <x:v>6</x:v>
      </x:c>
      <x:c r="O2432" s="50" t="n">
        <x:v>55</x:v>
      </x:c>
      <x:c r="P2432" s="50" t="n">
        <x:v>10</x:v>
      </x:c>
    </x:row>
    <x:row r="2433" ht="36" customHeight="1">
      <x:c r="A2433" s="53" t="n">
        <x:v>2414</x:v>
      </x:c>
      <x:c r="B2433" s="53" t="n">
        <x:v>2</x:v>
      </x:c>
      <x:c r="C2433" s="40" t="str">
        <x:v>Large-Basket Occasional Shoppers</x:v>
      </x:c>
      <x:c r="D2433" s="60" t="n">
        <x:v>178.68</x:v>
      </x:c>
      <x:c r="E2433" s="50" t="n">
        <x:v>6</x:v>
      </x:c>
      <x:c r="F2433" s="46" t="n">
        <x:v>1</x:v>
      </x:c>
      <x:c r="G2433" s="46" t="n">
        <x:v>111</x:v>
      </x:c>
      <x:c r="H2433" s="61" t="n">
        <x:v>29.78</x:v>
      </x:c>
      <x:c r="I2433" s="52" t="n">
        <x:v>1</x:v>
      </x:c>
      <x:c r="J2433" s="52" t="n">
        <x:v>0.5262480411909558</x:v>
      </x:c>
      <x:c r="K2433" s="60" t="n">
        <x:v>178.68</x:v>
      </x:c>
      <x:c r="L2433" s="60" t="n">
        <x:v>0</x:v>
      </x:c>
      <x:c r="M2433" s="50" t="n">
        <x:v>6</x:v>
      </x:c>
      <x:c r="N2433" s="50" t="n">
        <x:v>0</x:v>
      </x:c>
      <x:c r="O2433" s="50" t="n">
        <x:v>47</x:v>
      </x:c>
      <x:c r="P2433" s="50" t="n">
        <x:v>6</x:v>
      </x:c>
    </x:row>
    <x:row r="2434" ht="36" customHeight="1">
      <x:c r="A2434" s="53" t="n">
        <x:v>2415</x:v>
      </x:c>
      <x:c r="B2434" s="53" t="n">
        <x:v>1</x:v>
      </x:c>
      <x:c r="C2434" s="40" t="str">
        <x:v>High-Value Frequent Shoppers</x:v>
      </x:c>
      <x:c r="D2434" s="60" t="n">
        <x:v>1676.34</x:v>
      </x:c>
      <x:c r="E2434" s="50" t="n">
        <x:v>126</x:v>
      </x:c>
      <x:c r="F2434" s="46" t="n">
        <x:v>7.411764705882353</x:v>
      </x:c>
      <x:c r="G2434" s="46" t="n">
        <x:v>4</x:v>
      </x:c>
      <x:c r="H2434" s="61" t="n">
        <x:v>13.304285714285712</x:v>
      </x:c>
      <x:c r="I2434" s="52" t="n">
        <x:v>0.8095238095238095</x:v>
      </x:c>
      <x:c r="J2434" s="52" t="n">
        <x:v>0.3538303685409881</x:v>
      </x:c>
      <x:c r="K2434" s="60" t="n">
        <x:v>1551.52</x:v>
      </x:c>
      <x:c r="L2434" s="60" t="n">
        <x:v>124.82</x:v>
      </x:c>
      <x:c r="M2434" s="50" t="n">
        <x:v>102</x:v>
      </x:c>
      <x:c r="N2434" s="50" t="n">
        <x:v>24</x:v>
      </x:c>
      <x:c r="O2434" s="50" t="n">
        <x:v>109</x:v>
      </x:c>
      <x:c r="P2434" s="50" t="n">
        <x:v>17</x:v>
      </x:c>
    </x:row>
    <x:row r="2435" ht="36" customHeight="1">
      <x:c r="A2435" s="53" t="n">
        <x:v>2416</x:v>
      </x:c>
      <x:c r="B2435" s="53" t="n">
        <x:v>1</x:v>
      </x:c>
      <x:c r="C2435" s="40" t="str">
        <x:v>High-Value Frequent Shoppers</x:v>
      </x:c>
      <x:c r="D2435" s="60" t="n">
        <x:v>4422.98</x:v>
      </x:c>
      <x:c r="E2435" s="50" t="n">
        <x:v>110</x:v>
      </x:c>
      <x:c r="F2435" s="46" t="n">
        <x:v>5</x:v>
      </x:c>
      <x:c r="G2435" s="46" t="n">
        <x:v>0</x:v>
      </x:c>
      <x:c r="H2435" s="61" t="n">
        <x:v>40.20890909090909</x:v>
      </x:c>
      <x:c r="I2435" s="52" t="n">
        <x:v>0.8454545454545453</x:v>
      </x:c>
      <x:c r="J2435" s="52" t="n">
        <x:v>0.4279784217880252</x:v>
      </x:c>
      <x:c r="K2435" s="60" t="n">
        <x:v>4167.62</x:v>
      </x:c>
      <x:c r="L2435" s="60" t="n">
        <x:v>255.36</x:v>
      </x:c>
      <x:c r="M2435" s="50" t="n">
        <x:v>93</x:v>
      </x:c>
      <x:c r="N2435" s="50" t="n">
        <x:v>17</x:v>
      </x:c>
      <x:c r="O2435" s="50" t="n">
        <x:v>152</x:v>
      </x:c>
      <x:c r="P2435" s="50" t="n">
        <x:v>22</x:v>
      </x:c>
    </x:row>
    <x:row r="2436" ht="36" customHeight="1">
      <x:c r="A2436" s="53" t="n">
        <x:v>2417</x:v>
      </x:c>
      <x:c r="B2436" s="53" t="n">
        <x:v>3</x:v>
      </x:c>
      <x:c r="C2436" s="40" t="str">
        <x:v>Low-Value Low-Engagement Shoppers</x:v>
      </x:c>
      <x:c r="D2436" s="60" t="n">
        <x:v>196.11</x:v>
      </x:c>
      <x:c r="E2436" s="50" t="n">
        <x:v>9</x:v>
      </x:c>
      <x:c r="F2436" s="46" t="n">
        <x:v>1</x:v>
      </x:c>
      <x:c r="G2436" s="46" t="n">
        <x:v>5</x:v>
      </x:c>
      <x:c r="H2436" s="61" t="n">
        <x:v>21.79</x:v>
      </x:c>
      <x:c r="I2436" s="52" t="n">
        <x:v>0.7777777777777777</x:v>
      </x:c>
      <x:c r="J2436" s="52" t="n">
        <x:v>0.3893223191066238</x:v>
      </x:c>
      <x:c r="K2436" s="60" t="n">
        <x:v>185.39</x:v>
      </x:c>
      <x:c r="L2436" s="60" t="n">
        <x:v>10.72</x:v>
      </x:c>
      <x:c r="M2436" s="50" t="n">
        <x:v>7</x:v>
      </x:c>
      <x:c r="N2436" s="50" t="n">
        <x:v>2</x:v>
      </x:c>
      <x:c r="O2436" s="50" t="n">
        <x:v>44</x:v>
      </x:c>
      <x:c r="P2436" s="50" t="n">
        <x:v>9</x:v>
      </x:c>
    </x:row>
    <x:row r="2437" ht="36" customHeight="1">
      <x:c r="A2437" s="53" t="n">
        <x:v>2418</x:v>
      </x:c>
      <x:c r="B2437" s="53" t="n">
        <x:v>2</x:v>
      </x:c>
      <x:c r="C2437" s="40" t="str">
        <x:v>Large-Basket Occasional Shoppers</x:v>
      </x:c>
      <x:c r="D2437" s="60" t="n">
        <x:v>1572.61</x:v>
      </x:c>
      <x:c r="E2437" s="50" t="n">
        <x:v>112</x:v>
      </x:c>
      <x:c r="F2437" s="46" t="n">
        <x:v>5.6</x:v>
      </x:c>
      <x:c r="G2437" s="46" t="n">
        <x:v>4</x:v>
      </x:c>
      <x:c r="H2437" s="61" t="n">
        <x:v>14.041160714285716</x:v>
      </x:c>
      <x:c r="I2437" s="52" t="n">
        <x:v>0.875</x:v>
      </x:c>
      <x:c r="J2437" s="52" t="n">
        <x:v>0.4517331061102244</x:v>
      </x:c>
      <x:c r="K2437" s="60" t="n">
        <x:v>1509.05</x:v>
      </x:c>
      <x:c r="L2437" s="60" t="n">
        <x:v>63.56</x:v>
      </x:c>
      <x:c r="M2437" s="50" t="n">
        <x:v>98</x:v>
      </x:c>
      <x:c r="N2437" s="50" t="n">
        <x:v>14</x:v>
      </x:c>
      <x:c r="O2437" s="50" t="n">
        <x:v>99</x:v>
      </x:c>
      <x:c r="P2437" s="50" t="n">
        <x:v>20</x:v>
      </x:c>
    </x:row>
    <x:row r="2438" ht="36" customHeight="1">
      <x:c r="A2438" s="53" t="n">
        <x:v>2419</x:v>
      </x:c>
      <x:c r="B2438" s="53" t="n">
        <x:v>3</x:v>
      </x:c>
      <x:c r="C2438" s="40" t="str">
        <x:v>Low-Value Low-Engagement Shoppers</x:v>
      </x:c>
      <x:c r="D2438" s="60" t="n">
        <x:v>1199.37</x:v>
      </x:c>
      <x:c r="E2438" s="50" t="n">
        <x:v>65</x:v>
      </x:c>
      <x:c r="F2438" s="46" t="n">
        <x:v>3.25</x:v>
      </x:c>
      <x:c r="G2438" s="46" t="n">
        <x:v>19</x:v>
      </x:c>
      <x:c r="H2438" s="61" t="n">
        <x:v>18.451846153846155</x:v>
      </x:c>
      <x:c r="I2438" s="52" t="n">
        <x:v>0.7538461538461538</x:v>
      </x:c>
      <x:c r="J2438" s="52" t="n">
        <x:v>0.3992179227427732</x:v>
      </x:c>
      <x:c r="K2438" s="60" t="n">
        <x:v>1073.61</x:v>
      </x:c>
      <x:c r="L2438" s="60" t="n">
        <x:v>125.76</x:v>
      </x:c>
      <x:c r="M2438" s="50" t="n">
        <x:v>49</x:v>
      </x:c>
      <x:c r="N2438" s="50" t="n">
        <x:v>16</x:v>
      </x:c>
      <x:c r="O2438" s="50" t="n">
        <x:v>90</x:v>
      </x:c>
      <x:c r="P2438" s="50" t="n">
        <x:v>20</x:v>
      </x:c>
    </x:row>
    <x:row r="2439" ht="36" customHeight="1">
      <x:c r="A2439" s="53" t="n">
        <x:v>2420</x:v>
      </x:c>
      <x:c r="B2439" s="53" t="n">
        <x:v>2</x:v>
      </x:c>
      <x:c r="C2439" s="40" t="str">
        <x:v>Large-Basket Occasional Shoppers</x:v>
      </x:c>
      <x:c r="D2439" s="60" t="n">
        <x:v>4583.46</x:v>
      </x:c>
      <x:c r="E2439" s="50" t="n">
        <x:v>102</x:v>
      </x:c>
      <x:c r="F2439" s="46" t="n">
        <x:v>4.857142857142857</x:v>
      </x:c>
      <x:c r="G2439" s="46" t="n">
        <x:v>45</x:v>
      </x:c>
      <x:c r="H2439" s="61" t="n">
        <x:v>44.93588235294118</x:v>
      </x:c>
      <x:c r="I2439" s="52" t="n">
        <x:v>0.8137254901960784</x:v>
      </x:c>
      <x:c r="J2439" s="52" t="n">
        <x:v>0.4730465630768022</x:v>
      </x:c>
      <x:c r="K2439" s="60" t="n">
        <x:v>4357.37</x:v>
      </x:c>
      <x:c r="L2439" s="60" t="n">
        <x:v>226.09</x:v>
      </x:c>
      <x:c r="M2439" s="50" t="n">
        <x:v>83</x:v>
      </x:c>
      <x:c r="N2439" s="50" t="n">
        <x:v>19</x:v>
      </x:c>
      <x:c r="O2439" s="50" t="n">
        <x:v>124</x:v>
      </x:c>
      <x:c r="P2439" s="50" t="n">
        <x:v>21</x:v>
      </x:c>
    </x:row>
    <x:row r="2440" ht="36" customHeight="1">
      <x:c r="A2440" s="53" t="n">
        <x:v>2421</x:v>
      </x:c>
      <x:c r="B2440" s="53" t="n">
        <x:v>1</x:v>
      </x:c>
      <x:c r="C2440" s="40" t="str">
        <x:v>High-Value Frequent Shoppers</x:v>
      </x:c>
      <x:c r="D2440" s="60" t="n">
        <x:v>8749.76</x:v>
      </x:c>
      <x:c r="E2440" s="50" t="n">
        <x:v>81</x:v>
      </x:c>
      <x:c r="F2440" s="46" t="n">
        <x:v>3.5217391304347823</x:v>
      </x:c>
      <x:c r="G2440" s="46" t="n">
        <x:v>6</x:v>
      </x:c>
      <x:c r="H2440" s="61" t="n">
        <x:v>108.02172839506171</x:v>
      </x:c>
      <x:c r="I2440" s="52" t="n">
        <x:v>0.9629629629629628</x:v>
      </x:c>
      <x:c r="J2440" s="52" t="n">
        <x:v>0.5280921991003181</x:v>
      </x:c>
      <x:c r="K2440" s="60" t="n">
        <x:v>8720.39</x:v>
      </x:c>
      <x:c r="L2440" s="60" t="n">
        <x:v>29.37</x:v>
      </x:c>
      <x:c r="M2440" s="50" t="n">
        <x:v>78</x:v>
      </x:c>
      <x:c r="N2440" s="50" t="n">
        <x:v>3</x:v>
      </x:c>
      <x:c r="O2440" s="50" t="n">
        <x:v>172</x:v>
      </x:c>
      <x:c r="P2440" s="50" t="n">
        <x:v>23</x:v>
      </x:c>
    </x:row>
    <x:row r="2441" ht="36" customHeight="1">
      <x:c r="A2441" s="53" t="n">
        <x:v>2422</x:v>
      </x:c>
      <x:c r="B2441" s="53" t="n">
        <x:v>2</x:v>
      </x:c>
      <x:c r="C2441" s="40" t="str">
        <x:v>Large-Basket Occasional Shoppers</x:v>
      </x:c>
      <x:c r="D2441" s="60" t="n">
        <x:v>368.07</x:v>
      </x:c>
      <x:c r="E2441" s="50" t="n">
        <x:v>5</x:v>
      </x:c>
      <x:c r="F2441" s="46" t="n">
        <x:v>1.6666666666666667</x:v>
      </x:c>
      <x:c r="G2441" s="46" t="n">
        <x:v>270</x:v>
      </x:c>
      <x:c r="H2441" s="61" t="n">
        <x:v>73.614</x:v>
      </x:c>
      <x:c r="I2441" s="52" t="n">
        <x:v>1</x:v>
      </x:c>
      <x:c r="J2441" s="52" t="n">
        <x:v>0.4317928654875431</x:v>
      </x:c>
      <x:c r="K2441" s="60" t="n">
        <x:v>368.07</x:v>
      </x:c>
      <x:c r="L2441" s="60" t="n">
        <x:v>0</x:v>
      </x:c>
      <x:c r="M2441" s="50" t="n">
        <x:v>5</x:v>
      </x:c>
      <x:c r="N2441" s="50" t="n">
        <x:v>0</x:v>
      </x:c>
      <x:c r="O2441" s="50" t="n">
        <x:v>58</x:v>
      </x:c>
      <x:c r="P2441" s="50" t="n">
        <x:v>3</x:v>
      </x:c>
    </x:row>
    <x:row r="2442" ht="36" customHeight="1">
      <x:c r="A2442" s="53" t="n">
        <x:v>2423</x:v>
      </x:c>
      <x:c r="B2442" s="53" t="n">
        <x:v>2</x:v>
      </x:c>
      <x:c r="C2442" s="40" t="str">
        <x:v>Large-Basket Occasional Shoppers</x:v>
      </x:c>
      <x:c r="D2442" s="60" t="n">
        <x:v>2838.62</x:v>
      </x:c>
      <x:c r="E2442" s="50" t="n">
        <x:v>59</x:v>
      </x:c>
      <x:c r="F2442" s="46" t="n">
        <x:v>2.8095238095238093</x:v>
      </x:c>
      <x:c r="G2442" s="46" t="n">
        <x:v>0</x:v>
      </x:c>
      <x:c r="H2442" s="61" t="n">
        <x:v>48.112203389830505</x:v>
      </x:c>
      <x:c r="I2442" s="52" t="n">
        <x:v>0.847457627118644</x:v>
      </x:c>
      <x:c r="J2442" s="52" t="n">
        <x:v>0.5887755317724809</x:v>
      </x:c>
      <x:c r="K2442" s="60" t="n">
        <x:v>2781.04</x:v>
      </x:c>
      <x:c r="L2442" s="60" t="n">
        <x:v>57.58</x:v>
      </x:c>
      <x:c r="M2442" s="50" t="n">
        <x:v>50</x:v>
      </x:c>
      <x:c r="N2442" s="50" t="n">
        <x:v>9</x:v>
      </x:c>
      <x:c r="O2442" s="50" t="n">
        <x:v>114</x:v>
      </x:c>
      <x:c r="P2442" s="50" t="n">
        <x:v>21</x:v>
      </x:c>
    </x:row>
    <x:row r="2443" ht="36" customHeight="1">
      <x:c r="A2443" s="53" t="n">
        <x:v>2424</x:v>
      </x:c>
      <x:c r="B2443" s="53" t="n">
        <x:v>1</x:v>
      </x:c>
      <x:c r="C2443" s="40" t="str">
        <x:v>High-Value Frequent Shoppers</x:v>
      </x:c>
      <x:c r="D2443" s="60" t="n">
        <x:v>4122.83</x:v>
      </x:c>
      <x:c r="E2443" s="50" t="n">
        <x:v>113</x:v>
      </x:c>
      <x:c r="F2443" s="46" t="n">
        <x:v>4.913043478260869</x:v>
      </x:c>
      <x:c r="G2443" s="46" t="n">
        <x:v>1</x:v>
      </x:c>
      <x:c r="H2443" s="61" t="n">
        <x:v>36.485221238938045</x:v>
      </x:c>
      <x:c r="I2443" s="52" t="n">
        <x:v>0.8584070796460176</x:v>
      </x:c>
      <x:c r="J2443" s="52" t="n">
        <x:v>0.362782360660032</x:v>
      </x:c>
      <x:c r="K2443" s="60" t="n">
        <x:v>3889.32</x:v>
      </x:c>
      <x:c r="L2443" s="60" t="n">
        <x:v>233.51</x:v>
      </x:c>
      <x:c r="M2443" s="50" t="n">
        <x:v>97</x:v>
      </x:c>
      <x:c r="N2443" s="50" t="n">
        <x:v>16</x:v>
      </x:c>
      <x:c r="O2443" s="50" t="n">
        <x:v>180</x:v>
      </x:c>
      <x:c r="P2443" s="50" t="n">
        <x:v>23</x:v>
      </x:c>
    </x:row>
    <x:row r="2444" ht="36" customHeight="1">
      <x:c r="A2444" s="53" t="n">
        <x:v>2425</x:v>
      </x:c>
      <x:c r="B2444" s="53" t="n">
        <x:v>1</x:v>
      </x:c>
      <x:c r="C2444" s="40" t="str">
        <x:v>High-Value Frequent Shoppers</x:v>
      </x:c>
      <x:c r="D2444" s="60" t="n">
        <x:v>4361.02</x:v>
      </x:c>
      <x:c r="E2444" s="50" t="n">
        <x:v>119</x:v>
      </x:c>
      <x:c r="F2444" s="46" t="n">
        <x:v>6.263157894736842</x:v>
      </x:c>
      <x:c r="G2444" s="46" t="n">
        <x:v>1</x:v>
      </x:c>
      <x:c r="H2444" s="61" t="n">
        <x:v>36.6472268907563</x:v>
      </x:c>
      <x:c r="I2444" s="52" t="n">
        <x:v>0.8655462184873949</x:v>
      </x:c>
      <x:c r="J2444" s="52" t="n">
        <x:v>0.5981674012043054</x:v>
      </x:c>
      <x:c r="K2444" s="60" t="n">
        <x:v>4156.77</x:v>
      </x:c>
      <x:c r="L2444" s="60" t="n">
        <x:v>204.25</x:v>
      </x:c>
      <x:c r="M2444" s="50" t="n">
        <x:v>103</x:v>
      </x:c>
      <x:c r="N2444" s="50" t="n">
        <x:v>16</x:v>
      </x:c>
      <x:c r="O2444" s="50" t="n">
        <x:v>154</x:v>
      </x:c>
      <x:c r="P2444" s="50" t="n">
        <x:v>19</x:v>
      </x:c>
    </x:row>
    <x:row r="2445" ht="36" customHeight="1">
      <x:c r="A2445" s="53" t="n">
        <x:v>2426</x:v>
      </x:c>
      <x:c r="B2445" s="53" t="n">
        <x:v>2</x:v>
      </x:c>
      <x:c r="C2445" s="40" t="str">
        <x:v>Large-Basket Occasional Shoppers</x:v>
      </x:c>
      <x:c r="D2445" s="60" t="n">
        <x:v>2437.06</x:v>
      </x:c>
      <x:c r="E2445" s="50" t="n">
        <x:v>115</x:v>
      </x:c>
      <x:c r="F2445" s="46" t="n">
        <x:v>5.476190476190476</x:v>
      </x:c>
      <x:c r="G2445" s="46" t="n">
        <x:v>8</x:v>
      </x:c>
      <x:c r="H2445" s="61" t="n">
        <x:v>21.19182608695652</x:v>
      </x:c>
      <x:c r="I2445" s="52" t="n">
        <x:v>0.9652173913043478</x:v>
      </x:c>
      <x:c r="J2445" s="52" t="n">
        <x:v>0.7343151173955503</x:v>
      </x:c>
      <x:c r="K2445" s="60" t="n">
        <x:v>2413.09</x:v>
      </x:c>
      <x:c r="L2445" s="60" t="n">
        <x:v>23.97</x:v>
      </x:c>
      <x:c r="M2445" s="50" t="n">
        <x:v>111</x:v>
      </x:c>
      <x:c r="N2445" s="50" t="n">
        <x:v>4</x:v>
      </x:c>
      <x:c r="O2445" s="50" t="n">
        <x:v>87</x:v>
      </x:c>
      <x:c r="P2445" s="50" t="n">
        <x:v>21</x:v>
      </x:c>
    </x:row>
    <x:row r="2446" ht="36" customHeight="1">
      <x:c r="A2446" s="53" t="n">
        <x:v>2427</x:v>
      </x:c>
      <x:c r="B2446" s="53" t="n">
        <x:v>1</x:v>
      </x:c>
      <x:c r="C2446" s="40" t="str">
        <x:v>High-Value Frequent Shoppers</x:v>
      </x:c>
      <x:c r="D2446" s="60" t="n">
        <x:v>8725.94</x:v>
      </x:c>
      <x:c r="E2446" s="50" t="n">
        <x:v>345</x:v>
      </x:c>
      <x:c r="F2446" s="46" t="n">
        <x:v>14.375</x:v>
      </x:c>
      <x:c r="G2446" s="46" t="n">
        <x:v>1</x:v>
      </x:c>
      <x:c r="H2446" s="61" t="n">
        <x:v>25.292579710144928</x:v>
      </x:c>
      <x:c r="I2446" s="52" t="n">
        <x:v>0.927536231884058</x:v>
      </x:c>
      <x:c r="J2446" s="52" t="n">
        <x:v>0.6684448896050167</x:v>
      </x:c>
      <x:c r="K2446" s="60" t="n">
        <x:v>8454.57</x:v>
      </x:c>
      <x:c r="L2446" s="60" t="n">
        <x:v>271.37</x:v>
      </x:c>
      <x:c r="M2446" s="50" t="n">
        <x:v>320</x:v>
      </x:c>
      <x:c r="N2446" s="50" t="n">
        <x:v>25</x:v>
      </x:c>
      <x:c r="O2446" s="50" t="n">
        <x:v>172</x:v>
      </x:c>
      <x:c r="P2446" s="50" t="n">
        <x:v>24</x:v>
      </x:c>
    </x:row>
    <x:row r="2447" ht="36" customHeight="1">
      <x:c r="A2447" s="53" t="n">
        <x:v>2428</x:v>
      </x:c>
      <x:c r="B2447" s="53" t="n">
        <x:v>3</x:v>
      </x:c>
      <x:c r="C2447" s="40" t="str">
        <x:v>Low-Value Low-Engagement Shoppers</x:v>
      </x:c>
      <x:c r="D2447" s="60" t="n">
        <x:v>323.27</x:v>
      </x:c>
      <x:c r="E2447" s="50" t="n">
        <x:v>19</x:v>
      </x:c>
      <x:c r="F2447" s="46" t="n">
        <x:v>1.4615384615384617</x:v>
      </x:c>
      <x:c r="G2447" s="46" t="n">
        <x:v>9</x:v>
      </x:c>
      <x:c r="H2447" s="61" t="n">
        <x:v>17.01421052631579</x:v>
      </x:c>
      <x:c r="I2447" s="52" t="n">
        <x:v>0.7894736842105263</x:v>
      </x:c>
      <x:c r="J2447" s="52" t="n">
        <x:v>0.8509295635227518</x:v>
      </x:c>
      <x:c r="K2447" s="60" t="n">
        <x:v>294.68</x:v>
      </x:c>
      <x:c r="L2447" s="60" t="n">
        <x:v>28.59</x:v>
      </x:c>
      <x:c r="M2447" s="50" t="n">
        <x:v>15</x:v>
      </x:c>
      <x:c r="N2447" s="50" t="n">
        <x:v>4</x:v>
      </x:c>
      <x:c r="O2447" s="50" t="n">
        <x:v>14</x:v>
      </x:c>
      <x:c r="P2447" s="50" t="n">
        <x:v>13</x:v>
      </x:c>
    </x:row>
    <x:row r="2448" ht="36" customHeight="1">
      <x:c r="A2448" s="53" t="n">
        <x:v>2429</x:v>
      </x:c>
      <x:c r="B2448" s="53" t="n">
        <x:v>2</x:v>
      </x:c>
      <x:c r="C2448" s="40" t="str">
        <x:v>Large-Basket Occasional Shoppers</x:v>
      </x:c>
      <x:c r="D2448" s="60" t="n">
        <x:v>1807.16</x:v>
      </x:c>
      <x:c r="E2448" s="50" t="n">
        <x:v>66</x:v>
      </x:c>
      <x:c r="F2448" s="46" t="n">
        <x:v>3.142857142857143</x:v>
      </x:c>
      <x:c r="G2448" s="46" t="n">
        <x:v>8</x:v>
      </x:c>
      <x:c r="H2448" s="61" t="n">
        <x:v>27.38121212121212</x:v>
      </x:c>
      <x:c r="I2448" s="52" t="n">
        <x:v>0.8636363636363636</x:v>
      </x:c>
      <x:c r="J2448" s="52" t="n">
        <x:v>0.6026195798933132</x:v>
      </x:c>
      <x:c r="K2448" s="60" t="n">
        <x:v>1764.71</x:v>
      </x:c>
      <x:c r="L2448" s="60" t="n">
        <x:v>42.45</x:v>
      </x:c>
      <x:c r="M2448" s="50" t="n">
        <x:v>57</x:v>
      </x:c>
      <x:c r="N2448" s="50" t="n">
        <x:v>9</x:v>
      </x:c>
      <x:c r="O2448" s="50" t="n">
        <x:v>129</x:v>
      </x:c>
      <x:c r="P2448" s="50" t="n">
        <x:v>21</x:v>
      </x:c>
    </x:row>
    <x:row r="2449" ht="36" customHeight="1">
      <x:c r="A2449" s="53" t="n">
        <x:v>2430</x:v>
      </x:c>
      <x:c r="B2449" s="53" t="n">
        <x:v>2</x:v>
      </x:c>
      <x:c r="C2449" s="40" t="str">
        <x:v>Large-Basket Occasional Shoppers</x:v>
      </x:c>
      <x:c r="D2449" s="60" t="n">
        <x:v>1885.95</x:v>
      </x:c>
      <x:c r="E2449" s="50" t="n">
        <x:v>60</x:v>
      </x:c>
      <x:c r="F2449" s="46" t="n">
        <x:v>3.333333333333333</x:v>
      </x:c>
      <x:c r="G2449" s="46" t="n">
        <x:v>56</x:v>
      </x:c>
      <x:c r="H2449" s="61" t="n">
        <x:v>31.4325</x:v>
      </x:c>
      <x:c r="I2449" s="52" t="n">
        <x:v>0.9166666666666666</x:v>
      </x:c>
      <x:c r="J2449" s="52" t="n">
        <x:v>0.5480951244730772</x:v>
      </x:c>
      <x:c r="K2449" s="60" t="n">
        <x:v>1828.19</x:v>
      </x:c>
      <x:c r="L2449" s="60" t="n">
        <x:v>57.76</x:v>
      </x:c>
      <x:c r="M2449" s="50" t="n">
        <x:v>55</x:v>
      </x:c>
      <x:c r="N2449" s="50" t="n">
        <x:v>5</x:v>
      </x:c>
      <x:c r="O2449" s="50" t="n">
        <x:v>123</x:v>
      </x:c>
      <x:c r="P2449" s="50" t="n">
        <x:v>18</x:v>
      </x:c>
    </x:row>
    <x:row r="2450" ht="36" customHeight="1">
      <x:c r="A2450" s="53" t="n">
        <x:v>2431</x:v>
      </x:c>
      <x:c r="B2450" s="53" t="n">
        <x:v>2</x:v>
      </x:c>
      <x:c r="C2450" s="40" t="str">
        <x:v>Large-Basket Occasional Shoppers</x:v>
      </x:c>
      <x:c r="D2450" s="60" t="n">
        <x:v>978.85</x:v>
      </x:c>
      <x:c r="E2450" s="50" t="n">
        <x:v>43</x:v>
      </x:c>
      <x:c r="F2450" s="46" t="n">
        <x:v>2.5294117647058822</x:v>
      </x:c>
      <x:c r="G2450" s="46" t="n">
        <x:v>12</x:v>
      </x:c>
      <x:c r="H2450" s="61" t="n">
        <x:v>22.76395348837209</x:v>
      </x:c>
      <x:c r="I2450" s="52" t="n">
        <x:v>0.8372093023255813</x:v>
      </x:c>
      <x:c r="J2450" s="52" t="n">
        <x:v>0.3721918577923072</x:v>
      </x:c>
      <x:c r="K2450" s="60" t="n">
        <x:v>908.4</x:v>
      </x:c>
      <x:c r="L2450" s="60" t="n">
        <x:v>70.45</x:v>
      </x:c>
      <x:c r="M2450" s="50" t="n">
        <x:v>36</x:v>
      </x:c>
      <x:c r="N2450" s="50" t="n">
        <x:v>7</x:v>
      </x:c>
      <x:c r="O2450" s="50" t="n">
        <x:v>91</x:v>
      </x:c>
      <x:c r="P2450" s="50" t="n">
        <x:v>17</x:v>
      </x:c>
    </x:row>
    <x:row r="2451" ht="36" customHeight="1">
      <x:c r="A2451" s="53" t="n">
        <x:v>2432</x:v>
      </x:c>
      <x:c r="B2451" s="53" t="n">
        <x:v>1</x:v>
      </x:c>
      <x:c r="C2451" s="40" t="str">
        <x:v>High-Value Frequent Shoppers</x:v>
      </x:c>
      <x:c r="D2451" s="60" t="n">
        <x:v>4948.11</x:v>
      </x:c>
      <x:c r="E2451" s="50" t="n">
        <x:v>238</x:v>
      </x:c>
      <x:c r="F2451" s="46" t="n">
        <x:v>11.9</x:v>
      </x:c>
      <x:c r="G2451" s="46" t="n">
        <x:v>2</x:v>
      </x:c>
      <x:c r="H2451" s="61" t="n">
        <x:v>20.790378151260505</x:v>
      </x:c>
      <x:c r="I2451" s="52" t="n">
        <x:v>0.8865546218487395</x:v>
      </x:c>
      <x:c r="J2451" s="52" t="n">
        <x:v>0.614982286165829</x:v>
      </x:c>
      <x:c r="K2451" s="60" t="n">
        <x:v>4834.87</x:v>
      </x:c>
      <x:c r="L2451" s="60" t="n">
        <x:v>113.24</x:v>
      </x:c>
      <x:c r="M2451" s="50" t="n">
        <x:v>211</x:v>
      </x:c>
      <x:c r="N2451" s="50" t="n">
        <x:v>27</x:v>
      </x:c>
      <x:c r="O2451" s="50" t="n">
        <x:v>153</x:v>
      </x:c>
      <x:c r="P2451" s="50" t="n">
        <x:v>20</x:v>
      </x:c>
    </x:row>
    <x:row r="2452" ht="36" customHeight="1">
      <x:c r="A2452" s="53" t="n">
        <x:v>2433</x:v>
      </x:c>
      <x:c r="B2452" s="53" t="n">
        <x:v>3</x:v>
      </x:c>
      <x:c r="C2452" s="40" t="str">
        <x:v>Low-Value Low-Engagement Shoppers</x:v>
      </x:c>
      <x:c r="D2452" s="60" t="n">
        <x:v>609.75</x:v>
      </x:c>
      <x:c r="E2452" s="50" t="n">
        <x:v>30</x:v>
      </x:c>
      <x:c r="F2452" s="46" t="n">
        <x:v>1.875</x:v>
      </x:c>
      <x:c r="G2452" s="46" t="n">
        <x:v>93</x:v>
      </x:c>
      <x:c r="H2452" s="61" t="n">
        <x:v>20.325</x:v>
      </x:c>
      <x:c r="I2452" s="52" t="n">
        <x:v>0.7333333333333333</x:v>
      </x:c>
      <x:c r="J2452" s="52" t="n">
        <x:v>0.4761131611316113</x:v>
      </x:c>
      <x:c r="K2452" s="60" t="n">
        <x:v>517.23</x:v>
      </x:c>
      <x:c r="L2452" s="60" t="n">
        <x:v>92.52</x:v>
      </x:c>
      <x:c r="M2452" s="50" t="n">
        <x:v>22</x:v>
      </x:c>
      <x:c r="N2452" s="50" t="n">
        <x:v>8</x:v>
      </x:c>
      <x:c r="O2452" s="50" t="n">
        <x:v>63</x:v>
      </x:c>
      <x:c r="P2452" s="50" t="n">
        <x:v>16</x:v>
      </x:c>
    </x:row>
    <x:row r="2453" ht="36" customHeight="1">
      <x:c r="A2453" s="53" t="n">
        <x:v>2434</x:v>
      </x:c>
      <x:c r="B2453" s="53" t="n">
        <x:v>2</x:v>
      </x:c>
      <x:c r="C2453" s="40" t="str">
        <x:v>Large-Basket Occasional Shoppers</x:v>
      </x:c>
      <x:c r="D2453" s="60" t="n">
        <x:v>771.51</x:v>
      </x:c>
      <x:c r="E2453" s="50" t="n">
        <x:v>23</x:v>
      </x:c>
      <x:c r="F2453" s="46" t="n">
        <x:v>1.6428571428571428</x:v>
      </x:c>
      <x:c r="G2453" s="46" t="n">
        <x:v>39</x:v>
      </x:c>
      <x:c r="H2453" s="61" t="n">
        <x:v>33.54391304347826</x:v>
      </x:c>
      <x:c r="I2453" s="52" t="n">
        <x:v>0.9130434782608696</x:v>
      </x:c>
      <x:c r="J2453" s="52" t="n">
        <x:v>0.5415743153037549</x:v>
      </x:c>
      <x:c r="K2453" s="60" t="n">
        <x:v>732.01</x:v>
      </x:c>
      <x:c r="L2453" s="60" t="n">
        <x:v>39.5</x:v>
      </x:c>
      <x:c r="M2453" s="50" t="n">
        <x:v>21</x:v>
      </x:c>
      <x:c r="N2453" s="50" t="n">
        <x:v>2</x:v>
      </x:c>
      <x:c r="O2453" s="50" t="n">
        <x:v>87</x:v>
      </x:c>
      <x:c r="P2453" s="50" t="n">
        <x:v>14</x:v>
      </x:c>
    </x:row>
    <x:row r="2454" ht="36" customHeight="1">
      <x:c r="A2454" s="53" t="n">
        <x:v>2435</x:v>
      </x:c>
      <x:c r="B2454" s="53" t="n">
        <x:v>2</x:v>
      </x:c>
      <x:c r="C2454" s="40" t="str">
        <x:v>Large-Basket Occasional Shoppers</x:v>
      </x:c>
      <x:c r="D2454" s="60" t="n">
        <x:v>3303.85</x:v>
      </x:c>
      <x:c r="E2454" s="50" t="n">
        <x:v>45</x:v>
      </x:c>
      <x:c r="F2454" s="46" t="n">
        <x:v>2.5</x:v>
      </x:c>
      <x:c r="G2454" s="46" t="n">
        <x:v>8</x:v>
      </x:c>
      <x:c r="H2454" s="61" t="n">
        <x:v>73.4188888888889</x:v>
      </x:c>
      <x:c r="I2454" s="52" t="n">
        <x:v>1</x:v>
      </x:c>
      <x:c r="J2454" s="52" t="n">
        <x:v>0.6669521921394737</x:v>
      </x:c>
      <x:c r="K2454" s="60" t="n">
        <x:v>3303.85</x:v>
      </x:c>
      <x:c r="L2454" s="60" t="n">
        <x:v>0</x:v>
      </x:c>
      <x:c r="M2454" s="50" t="n">
        <x:v>45</x:v>
      </x:c>
      <x:c r="N2454" s="50" t="n">
        <x:v>0</x:v>
      </x:c>
      <x:c r="O2454" s="50" t="n">
        <x:v>120</x:v>
      </x:c>
      <x:c r="P2454" s="50" t="n">
        <x:v>18</x:v>
      </x:c>
    </x:row>
    <x:row r="2455" ht="36" customHeight="1">
      <x:c r="A2455" s="53" t="n">
        <x:v>2436</x:v>
      </x:c>
      <x:c r="B2455" s="53" t="n">
        <x:v>2</x:v>
      </x:c>
      <x:c r="C2455" s="40" t="str">
        <x:v>Large-Basket Occasional Shoppers</x:v>
      </x:c>
      <x:c r="D2455" s="60" t="n">
        <x:v>972.68</x:v>
      </x:c>
      <x:c r="E2455" s="50" t="n">
        <x:v>15</x:v>
      </x:c>
      <x:c r="F2455" s="46" t="n">
        <x:v>1.3636363636363635</x:v>
      </x:c>
      <x:c r="G2455" s="46" t="n">
        <x:v>115</x:v>
      </x:c>
      <x:c r="H2455" s="61" t="n">
        <x:v>64.84533333333333</x:v>
      </x:c>
      <x:c r="I2455" s="52" t="n">
        <x:v>0.8666666666666666</x:v>
      </x:c>
      <x:c r="J2455" s="52" t="n">
        <x:v>0.6273800222066866</x:v>
      </x:c>
      <x:c r="K2455" s="60" t="n">
        <x:v>956.2</x:v>
      </x:c>
      <x:c r="L2455" s="60" t="n">
        <x:v>16.48</x:v>
      </x:c>
      <x:c r="M2455" s="50" t="n">
        <x:v>13</x:v>
      </x:c>
      <x:c r="N2455" s="50" t="n">
        <x:v>2</x:v>
      </x:c>
      <x:c r="O2455" s="50" t="n">
        <x:v>105</x:v>
      </x:c>
      <x:c r="P2455" s="50" t="n">
        <x:v>11</x:v>
      </x:c>
    </x:row>
    <x:row r="2456" ht="36" customHeight="1">
      <x:c r="A2456" s="53" t="n">
        <x:v>2437</x:v>
      </x:c>
      <x:c r="B2456" s="53" t="n">
        <x:v>2</x:v>
      </x:c>
      <x:c r="C2456" s="40" t="str">
        <x:v>Large-Basket Occasional Shoppers</x:v>
      </x:c>
      <x:c r="D2456" s="60" t="n">
        <x:v>4841.94</x:v>
      </x:c>
      <x:c r="E2456" s="50" t="n">
        <x:v>74</x:v>
      </x:c>
      <x:c r="F2456" s="46" t="n">
        <x:v>3.7</x:v>
      </x:c>
      <x:c r="G2456" s="46" t="n">
        <x:v>12</x:v>
      </x:c>
      <x:c r="H2456" s="61" t="n">
        <x:v>65.43162162162162</x:v>
      </x:c>
      <x:c r="I2456" s="52" t="n">
        <x:v>0.9729729729729728</x:v>
      </x:c>
      <x:c r="J2456" s="52" t="n">
        <x:v>0.4113351260032135</x:v>
      </x:c>
      <x:c r="K2456" s="60" t="n">
        <x:v>4826.63</x:v>
      </x:c>
      <x:c r="L2456" s="60" t="n">
        <x:v>15.31</x:v>
      </x:c>
      <x:c r="M2456" s="50" t="n">
        <x:v>72</x:v>
      </x:c>
      <x:c r="N2456" s="50" t="n">
        <x:v>2</x:v>
      </x:c>
      <x:c r="O2456" s="50" t="n">
        <x:v>165</x:v>
      </x:c>
      <x:c r="P2456" s="50" t="n">
        <x:v>20</x:v>
      </x:c>
    </x:row>
    <x:row r="2457" ht="36" customHeight="1">
      <x:c r="A2457" s="53" t="n">
        <x:v>2438</x:v>
      </x:c>
      <x:c r="B2457" s="53" t="n">
        <x:v>1</x:v>
      </x:c>
      <x:c r="C2457" s="40" t="str">
        <x:v>High-Value Frequent Shoppers</x:v>
      </x:c>
      <x:c r="D2457" s="60" t="n">
        <x:v>3061.58</x:v>
      </x:c>
      <x:c r="E2457" s="50" t="n">
        <x:v>184</x:v>
      </x:c>
      <x:c r="F2457" s="46" t="n">
        <x:v>8.761904761904763</x:v>
      </x:c>
      <x:c r="G2457" s="46" t="n">
        <x:v>0</x:v>
      </x:c>
      <x:c r="H2457" s="61" t="n">
        <x:v>16.639021739130435</x:v>
      </x:c>
      <x:c r="I2457" s="52" t="n">
        <x:v>0.7010869565217391</x:v>
      </x:c>
      <x:c r="J2457" s="52" t="n">
        <x:v>0.462601009936046</x:v>
      </x:c>
      <x:c r="K2457" s="60" t="n">
        <x:v>2578.49</x:v>
      </x:c>
      <x:c r="L2457" s="60" t="n">
        <x:v>483.09</x:v>
      </x:c>
      <x:c r="M2457" s="50" t="n">
        <x:v>129</x:v>
      </x:c>
      <x:c r="N2457" s="50" t="n">
        <x:v>55</x:v>
      </x:c>
      <x:c r="O2457" s="50" t="n">
        <x:v>138</x:v>
      </x:c>
      <x:c r="P2457" s="50" t="n">
        <x:v>21</x:v>
      </x:c>
    </x:row>
    <x:row r="2458" ht="36" customHeight="1">
      <x:c r="A2458" s="53" t="n">
        <x:v>2439</x:v>
      </x:c>
      <x:c r="B2458" s="53" t="n">
        <x:v>3</x:v>
      </x:c>
      <x:c r="C2458" s="40" t="str">
        <x:v>Low-Value Low-Engagement Shoppers</x:v>
      </x:c>
      <x:c r="D2458" s="60" t="n">
        <x:v>596.88</x:v>
      </x:c>
      <x:c r="E2458" s="50" t="n">
        <x:v>72</x:v>
      </x:c>
      <x:c r="F2458" s="46" t="n">
        <x:v>3.130434782608696</x:v>
      </x:c>
      <x:c r="G2458" s="46" t="n">
        <x:v>5</x:v>
      </x:c>
      <x:c r="H2458" s="61" t="n">
        <x:v>8.29</x:v>
      </x:c>
      <x:c r="I2458" s="52" t="n">
        <x:v>0.9027777777777776</x:v>
      </x:c>
      <x:c r="J2458" s="52" t="n">
        <x:v>0.7032904436402626</x:v>
      </x:c>
      <x:c r="K2458" s="60" t="n">
        <x:v>569.38</x:v>
      </x:c>
      <x:c r="L2458" s="60" t="n">
        <x:v>27.5</x:v>
      </x:c>
      <x:c r="M2458" s="50" t="n">
        <x:v>65</x:v>
      </x:c>
      <x:c r="N2458" s="50" t="n">
        <x:v>7</x:v>
      </x:c>
      <x:c r="O2458" s="50" t="n">
        <x:v>59</x:v>
      </x:c>
      <x:c r="P2458" s="50" t="n">
        <x:v>23</x:v>
      </x:c>
    </x:row>
    <x:row r="2459" ht="36" customHeight="1">
      <x:c r="A2459" s="53" t="n">
        <x:v>2440</x:v>
      </x:c>
      <x:c r="B2459" s="53" t="n">
        <x:v>1</x:v>
      </x:c>
      <x:c r="C2459" s="40" t="str">
        <x:v>High-Value Frequent Shoppers</x:v>
      </x:c>
      <x:c r="D2459" s="60" t="n">
        <x:v>2563.57</x:v>
      </x:c>
      <x:c r="E2459" s="50" t="n">
        <x:v>139</x:v>
      </x:c>
      <x:c r="F2459" s="46" t="n">
        <x:v>6.3181818181818175</x:v>
      </x:c>
      <x:c r="G2459" s="46" t="n">
        <x:v>0</x:v>
      </x:c>
      <x:c r="H2459" s="61" t="n">
        <x:v>18.442949640287768</x:v>
      </x:c>
      <x:c r="I2459" s="52" t="n">
        <x:v>0.6690647482014388</x:v>
      </x:c>
      <x:c r="J2459" s="52" t="n">
        <x:v>0.4959646118498812</x:v>
      </x:c>
      <x:c r="K2459" s="60" t="n">
        <x:v>2221.67</x:v>
      </x:c>
      <x:c r="L2459" s="60" t="n">
        <x:v>341.9</x:v>
      </x:c>
      <x:c r="M2459" s="50" t="n">
        <x:v>93</x:v>
      </x:c>
      <x:c r="N2459" s="50" t="n">
        <x:v>46</x:v>
      </x:c>
      <x:c r="O2459" s="50" t="n">
        <x:v>115</x:v>
      </x:c>
      <x:c r="P2459" s="50" t="n">
        <x:v>22</x:v>
      </x:c>
    </x:row>
    <x:row r="2460" ht="36" customHeight="1">
      <x:c r="A2460" s="53" t="n">
        <x:v>2441</x:v>
      </x:c>
      <x:c r="B2460" s="53" t="n">
        <x:v>2</x:v>
      </x:c>
      <x:c r="C2460" s="40" t="str">
        <x:v>Large-Basket Occasional Shoppers</x:v>
      </x:c>
      <x:c r="D2460" s="60" t="n">
        <x:v>1223.56</x:v>
      </x:c>
      <x:c r="E2460" s="50" t="n">
        <x:v>99</x:v>
      </x:c>
      <x:c r="F2460" s="46" t="n">
        <x:v>4.304347826086957</x:v>
      </x:c>
      <x:c r="G2460" s="46" t="n">
        <x:v>9</x:v>
      </x:c>
      <x:c r="H2460" s="61" t="n">
        <x:v>12.35919191919192</x:v>
      </x:c>
      <x:c r="I2460" s="52" t="n">
        <x:v>0.9191919191919192</x:v>
      </x:c>
      <x:c r="J2460" s="52" t="n">
        <x:v>0.6249141848376867</x:v>
      </x:c>
      <x:c r="K2460" s="60" t="n">
        <x:v>1176.89</x:v>
      </x:c>
      <x:c r="L2460" s="60" t="n">
        <x:v>46.67</x:v>
      </x:c>
      <x:c r="M2460" s="50" t="n">
        <x:v>91</x:v>
      </x:c>
      <x:c r="N2460" s="50" t="n">
        <x:v>8</x:v>
      </x:c>
      <x:c r="O2460" s="50" t="n">
        <x:v>109</x:v>
      </x:c>
      <x:c r="P2460" s="50" t="n">
        <x:v>23</x:v>
      </x:c>
    </x:row>
    <x:row r="2461" ht="36" customHeight="1">
      <x:c r="A2461" s="53" t="n">
        <x:v>2442</x:v>
      </x:c>
      <x:c r="B2461" s="53" t="n">
        <x:v>2</x:v>
      </x:c>
      <x:c r="C2461" s="40" t="str">
        <x:v>Large-Basket Occasional Shoppers</x:v>
      </x:c>
      <x:c r="D2461" s="60" t="n">
        <x:v>624.33</x:v>
      </x:c>
      <x:c r="E2461" s="50" t="n">
        <x:v>36</x:v>
      </x:c>
      <x:c r="F2461" s="46" t="n">
        <x:v>2.4</x:v>
      </x:c>
      <x:c r="G2461" s="46" t="n">
        <x:v>20</x:v>
      </x:c>
      <x:c r="H2461" s="61" t="n">
        <x:v>17.3425</x:v>
      </x:c>
      <x:c r="I2461" s="52" t="n">
        <x:v>0.9722222222222222</x:v>
      </x:c>
      <x:c r="J2461" s="52" t="n">
        <x:v>0.6217385036759406</x:v>
      </x:c>
      <x:c r="K2461" s="60" t="n">
        <x:v>618.95</x:v>
      </x:c>
      <x:c r="L2461" s="60" t="n">
        <x:v>5.38</x:v>
      </x:c>
      <x:c r="M2461" s="50" t="n">
        <x:v>35</x:v>
      </x:c>
      <x:c r="N2461" s="50" t="n">
        <x:v>1</x:v>
      </x:c>
      <x:c r="O2461" s="50" t="n">
        <x:v>61</x:v>
      </x:c>
      <x:c r="P2461" s="50" t="n">
        <x:v>15</x:v>
      </x:c>
    </x:row>
    <x:row r="2462" ht="36" customHeight="1">
      <x:c r="A2462" s="53" t="n">
        <x:v>2443</x:v>
      </x:c>
      <x:c r="B2462" s="53" t="n">
        <x:v>2</x:v>
      </x:c>
      <x:c r="C2462" s="40" t="str">
        <x:v>Large-Basket Occasional Shoppers</x:v>
      </x:c>
      <x:c r="D2462" s="60" t="n">
        <x:v>4029.19</x:v>
      </x:c>
      <x:c r="E2462" s="50" t="n">
        <x:v>152</x:v>
      </x:c>
      <x:c r="F2462" s="46" t="n">
        <x:v>10.857142857142856</x:v>
      </x:c>
      <x:c r="G2462" s="46" t="n">
        <x:v>258</x:v>
      </x:c>
      <x:c r="H2462" s="61" t="n">
        <x:v>26.50782894736842</x:v>
      </x:c>
      <x:c r="I2462" s="52" t="n">
        <x:v>0.9144736842105264</x:v>
      </x:c>
      <x:c r="J2462" s="52" t="n">
        <x:v>0.6579784026069755</x:v>
      </x:c>
      <x:c r="K2462" s="60" t="n">
        <x:v>3890.58</x:v>
      </x:c>
      <x:c r="L2462" s="60" t="n">
        <x:v>138.61</x:v>
      </x:c>
      <x:c r="M2462" s="50" t="n">
        <x:v>139</x:v>
      </x:c>
      <x:c r="N2462" s="50" t="n">
        <x:v>13</x:v>
      </x:c>
      <x:c r="O2462" s="50" t="n">
        <x:v>136</x:v>
      </x:c>
      <x:c r="P2462" s="50" t="n">
        <x:v>14</x:v>
      </x:c>
    </x:row>
    <x:row r="2463" ht="36" customHeight="1">
      <x:c r="A2463" s="53" t="n">
        <x:v>2444</x:v>
      </x:c>
      <x:c r="B2463" s="53" t="n">
        <x:v>3</x:v>
      </x:c>
      <x:c r="C2463" s="40" t="str">
        <x:v>Low-Value Low-Engagement Shoppers</x:v>
      </x:c>
      <x:c r="D2463" s="60" t="n">
        <x:v>69.94</x:v>
      </x:c>
      <x:c r="E2463" s="50" t="n">
        <x:v>6</x:v>
      </x:c>
      <x:c r="F2463" s="46" t="n">
        <x:v>2</x:v>
      </x:c>
      <x:c r="G2463" s="46" t="n">
        <x:v>2</x:v>
      </x:c>
      <x:c r="H2463" s="61" t="n">
        <x:v>11.656666666666666</x:v>
      </x:c>
      <x:c r="I2463" s="52" t="n">
        <x:v>0.8333333333333333</x:v>
      </x:c>
      <x:c r="J2463" s="52" t="n">
        <x:v>0.4904203603088361</x:v>
      </x:c>
      <x:c r="K2463" s="60" t="n">
        <x:v>66.45</x:v>
      </x:c>
      <x:c r="L2463" s="60" t="n">
        <x:v>3.49</x:v>
      </x:c>
      <x:c r="M2463" s="50" t="n">
        <x:v>5</x:v>
      </x:c>
      <x:c r="N2463" s="50" t="n">
        <x:v>1</x:v>
      </x:c>
      <x:c r="O2463" s="50" t="n">
        <x:v>12</x:v>
      </x:c>
      <x:c r="P2463" s="50" t="n">
        <x:v>3</x:v>
      </x:c>
    </x:row>
    <x:row r="2464" ht="36" customHeight="1">
      <x:c r="A2464" s="53" t="n">
        <x:v>2445</x:v>
      </x:c>
      <x:c r="B2464" s="53" t="n">
        <x:v>1</x:v>
      </x:c>
      <x:c r="C2464" s="40" t="str">
        <x:v>High-Value Frequent Shoppers</x:v>
      </x:c>
      <x:c r="D2464" s="60" t="n">
        <x:v>6546.05</x:v>
      </x:c>
      <x:c r="E2464" s="50" t="n">
        <x:v>217</x:v>
      </x:c>
      <x:c r="F2464" s="46" t="n">
        <x:v>9.041666666666666</x:v>
      </x:c>
      <x:c r="G2464" s="46" t="n">
        <x:v>1</x:v>
      </x:c>
      <x:c r="H2464" s="61" t="n">
        <x:v>30.166129032258063</x:v>
      </x:c>
      <x:c r="I2464" s="52" t="n">
        <x:v>0.9170506912442395</x:v>
      </x:c>
      <x:c r="J2464" s="52" t="n">
        <x:v>0.702842171996853</x:v>
      </x:c>
      <x:c r="K2464" s="60" t="n">
        <x:v>6450.19</x:v>
      </x:c>
      <x:c r="L2464" s="60" t="n">
        <x:v>95.86</x:v>
      </x:c>
      <x:c r="M2464" s="50" t="n">
        <x:v>199</x:v>
      </x:c>
      <x:c r="N2464" s="50" t="n">
        <x:v>18</x:v>
      </x:c>
      <x:c r="O2464" s="50" t="n">
        <x:v>179</x:v>
      </x:c>
      <x:c r="P2464" s="50" t="n">
        <x:v>24</x:v>
      </x:c>
    </x:row>
    <x:row r="2465" ht="36" customHeight="1">
      <x:c r="A2465" s="53" t="n">
        <x:v>2446</x:v>
      </x:c>
      <x:c r="B2465" s="53" t="n">
        <x:v>1</x:v>
      </x:c>
      <x:c r="C2465" s="40" t="str">
        <x:v>High-Value Frequent Shoppers</x:v>
      </x:c>
      <x:c r="D2465" s="60" t="n">
        <x:v>6455.78</x:v>
      </x:c>
      <x:c r="E2465" s="50" t="n">
        <x:v>190</x:v>
      </x:c>
      <x:c r="F2465" s="46" t="n">
        <x:v>8.636363636363635</x:v>
      </x:c>
      <x:c r="G2465" s="46" t="n">
        <x:v>4</x:v>
      </x:c>
      <x:c r="H2465" s="61" t="n">
        <x:v>33.97778947368421</x:v>
      </x:c>
      <x:c r="I2465" s="52" t="n">
        <x:v>0.9052631578947368</x:v>
      </x:c>
      <x:c r="J2465" s="52" t="n">
        <x:v>0.6579933021261567</x:v>
      </x:c>
      <x:c r="K2465" s="60" t="n">
        <x:v>6302.6</x:v>
      </x:c>
      <x:c r="L2465" s="60" t="n">
        <x:v>153.18</x:v>
      </x:c>
      <x:c r="M2465" s="50" t="n">
        <x:v>172</x:v>
      </x:c>
      <x:c r="N2465" s="50" t="n">
        <x:v>18</x:v>
      </x:c>
      <x:c r="O2465" s="50" t="n">
        <x:v>149</x:v>
      </x:c>
      <x:c r="P2465" s="50" t="n">
        <x:v>22</x:v>
      </x:c>
    </x:row>
    <x:row r="2466" ht="36" customHeight="1">
      <x:c r="A2466" s="53" t="n">
        <x:v>2447</x:v>
      </x:c>
      <x:c r="B2466" s="53" t="n">
        <x:v>1</x:v>
      </x:c>
      <x:c r="C2466" s="40" t="str">
        <x:v>High-Value Frequent Shoppers</x:v>
      </x:c>
      <x:c r="D2466" s="60" t="n">
        <x:v>7520.94</x:v>
      </x:c>
      <x:c r="E2466" s="50" t="n">
        <x:v>130</x:v>
      </x:c>
      <x:c r="F2466" s="46" t="n">
        <x:v>5.909090909090909</x:v>
      </x:c>
      <x:c r="G2466" s="46" t="n">
        <x:v>4</x:v>
      </x:c>
      <x:c r="H2466" s="61" t="n">
        <x:v>57.85338461538461</x:v>
      </x:c>
      <x:c r="I2466" s="52" t="n">
        <x:v>0.9</x:v>
      </x:c>
      <x:c r="J2466" s="52" t="n">
        <x:v>0.3206939558087153</x:v>
      </x:c>
      <x:c r="K2466" s="60" t="n">
        <x:v>7004.47</x:v>
      </x:c>
      <x:c r="L2466" s="60" t="n">
        <x:v>516.47</x:v>
      </x:c>
      <x:c r="M2466" s="50" t="n">
        <x:v>117</x:v>
      </x:c>
      <x:c r="N2466" s="50" t="n">
        <x:v>13</x:v>
      </x:c>
      <x:c r="O2466" s="50" t="n">
        <x:v>154</x:v>
      </x:c>
      <x:c r="P2466" s="50" t="n">
        <x:v>22</x:v>
      </x:c>
    </x:row>
    <x:row r="2467" ht="36" customHeight="1">
      <x:c r="A2467" s="53" t="n">
        <x:v>2448</x:v>
      </x:c>
      <x:c r="B2467" s="53" t="n">
        <x:v>1</x:v>
      </x:c>
      <x:c r="C2467" s="40" t="str">
        <x:v>High-Value Frequent Shoppers</x:v>
      </x:c>
      <x:c r="D2467" s="60" t="n">
        <x:v>9300.73</x:v>
      </x:c>
      <x:c r="E2467" s="50" t="n">
        <x:v>203</x:v>
      </x:c>
      <x:c r="F2467" s="46" t="n">
        <x:v>8.458333333333332</x:v>
      </x:c>
      <x:c r="G2467" s="46" t="n">
        <x:v>6</x:v>
      </x:c>
      <x:c r="H2467" s="61" t="n">
        <x:v>45.81640394088669</x:v>
      </x:c>
      <x:c r="I2467" s="52" t="n">
        <x:v>0.9359605911330048</x:v>
      </x:c>
      <x:c r="J2467" s="52" t="n">
        <x:v>0.6173773456492124</x:v>
      </x:c>
      <x:c r="K2467" s="60" t="n">
        <x:v>9156.63</x:v>
      </x:c>
      <x:c r="L2467" s="60" t="n">
        <x:v>144.1</x:v>
      </x:c>
      <x:c r="M2467" s="50" t="n">
        <x:v>190</x:v>
      </x:c>
      <x:c r="N2467" s="50" t="n">
        <x:v>13</x:v>
      </x:c>
      <x:c r="O2467" s="50" t="n">
        <x:v>181</x:v>
      </x:c>
      <x:c r="P2467" s="50" t="n">
        <x:v>24</x:v>
      </x:c>
    </x:row>
    <x:row r="2468" ht="36" customHeight="1">
      <x:c r="A2468" s="53" t="n">
        <x:v>2449</x:v>
      </x:c>
      <x:c r="B2468" s="53" t="n">
        <x:v>1</x:v>
      </x:c>
      <x:c r="C2468" s="40" t="str">
        <x:v>High-Value Frequent Shoppers</x:v>
      </x:c>
      <x:c r="D2468" s="60" t="n">
        <x:v>10866.87</x:v>
      </x:c>
      <x:c r="E2468" s="50" t="n">
        <x:v>288</x:v>
      </x:c>
      <x:c r="F2468" s="46" t="n">
        <x:v>12.52173913043478</x:v>
      </x:c>
      <x:c r="G2468" s="46" t="n">
        <x:v>0</x:v>
      </x:c>
      <x:c r="H2468" s="61" t="n">
        <x:v>37.7321875</x:v>
      </x:c>
      <x:c r="I2468" s="52" t="n">
        <x:v>0.892361111111111</x:v>
      </x:c>
      <x:c r="J2468" s="52" t="n">
        <x:v>0.3842780855941039</x:v>
      </x:c>
      <x:c r="K2468" s="60" t="n">
        <x:v>10561.05</x:v>
      </x:c>
      <x:c r="L2468" s="60" t="n">
        <x:v>305.82</x:v>
      </x:c>
      <x:c r="M2468" s="50" t="n">
        <x:v>257</x:v>
      </x:c>
      <x:c r="N2468" s="50" t="n">
        <x:v>31</x:v>
      </x:c>
      <x:c r="O2468" s="50" t="n">
        <x:v>193</x:v>
      </x:c>
      <x:c r="P2468" s="50" t="n">
        <x:v>23</x:v>
      </x:c>
    </x:row>
    <x:row r="2469" ht="36" customHeight="1">
      <x:c r="A2469" s="53" t="n">
        <x:v>2450</x:v>
      </x:c>
      <x:c r="B2469" s="53" t="n">
        <x:v>2</x:v>
      </x:c>
      <x:c r="C2469" s="40" t="str">
        <x:v>Large-Basket Occasional Shoppers</x:v>
      </x:c>
      <x:c r="D2469" s="60" t="n">
        <x:v>3060.77</x:v>
      </x:c>
      <x:c r="E2469" s="50" t="n">
        <x:v>84</x:v>
      </x:c>
      <x:c r="F2469" s="46" t="n">
        <x:v>4.421052631578947</x:v>
      </x:c>
      <x:c r="G2469" s="46" t="n">
        <x:v>13</x:v>
      </x:c>
      <x:c r="H2469" s="61" t="n">
        <x:v>36.437738095238096</x:v>
      </x:c>
      <x:c r="I2469" s="52" t="n">
        <x:v>0.9285714285714284</x:v>
      </x:c>
      <x:c r="J2469" s="52" t="n">
        <x:v>0.6893004048000994</x:v>
      </x:c>
      <x:c r="K2469" s="60" t="n">
        <x:v>2984.13</x:v>
      </x:c>
      <x:c r="L2469" s="60" t="n">
        <x:v>76.64</x:v>
      </x:c>
      <x:c r="M2469" s="50" t="n">
        <x:v>78</x:v>
      </x:c>
      <x:c r="N2469" s="50" t="n">
        <x:v>6</x:v>
      </x:c>
      <x:c r="O2469" s="50" t="n">
        <x:v>162</x:v>
      </x:c>
      <x:c r="P2469" s="50" t="n">
        <x:v>19</x:v>
      </x:c>
    </x:row>
    <x:row r="2470" ht="36" customHeight="1">
      <x:c r="A2470" s="53" t="n">
        <x:v>2451</x:v>
      </x:c>
      <x:c r="B2470" s="53" t="n">
        <x:v>1</x:v>
      </x:c>
      <x:c r="C2470" s="40" t="str">
        <x:v>High-Value Frequent Shoppers</x:v>
      </x:c>
      <x:c r="D2470" s="60" t="n">
        <x:v>8335.74</x:v>
      </x:c>
      <x:c r="E2470" s="50" t="n">
        <x:v>192</x:v>
      </x:c>
      <x:c r="F2470" s="46" t="n">
        <x:v>8</x:v>
      </x:c>
      <x:c r="G2470" s="46" t="n">
        <x:v>4</x:v>
      </x:c>
      <x:c r="H2470" s="61" t="n">
        <x:v>43.4153125</x:v>
      </x:c>
      <x:c r="I2470" s="52" t="n">
        <x:v>0.8802083333333333</x:v>
      </x:c>
      <x:c r="J2470" s="52" t="n">
        <x:v>0.5530306847382475</x:v>
      </x:c>
      <x:c r="K2470" s="60" t="n">
        <x:v>7696.13</x:v>
      </x:c>
      <x:c r="L2470" s="60" t="n">
        <x:v>639.61</x:v>
      </x:c>
      <x:c r="M2470" s="50" t="n">
        <x:v>169</x:v>
      </x:c>
      <x:c r="N2470" s="50" t="n">
        <x:v>23</x:v>
      </x:c>
      <x:c r="O2470" s="50" t="n">
        <x:v>187</x:v>
      </x:c>
      <x:c r="P2470" s="50" t="n">
        <x:v>24</x:v>
      </x:c>
    </x:row>
    <x:row r="2471" ht="36" customHeight="1">
      <x:c r="A2471" s="53" t="n">
        <x:v>2452</x:v>
      </x:c>
      <x:c r="B2471" s="53" t="n">
        <x:v>1</x:v>
      </x:c>
      <x:c r="C2471" s="40" t="str">
        <x:v>High-Value Frequent Shoppers</x:v>
      </x:c>
      <x:c r="D2471" s="60" t="n">
        <x:v>3060.36</x:v>
      </x:c>
      <x:c r="E2471" s="50" t="n">
        <x:v>145</x:v>
      </x:c>
      <x:c r="F2471" s="46" t="n">
        <x:v>6.304347826086957</x:v>
      </x:c>
      <x:c r="G2471" s="46" t="n">
        <x:v>1</x:v>
      </x:c>
      <x:c r="H2471" s="61" t="n">
        <x:v>21.10593103448276</x:v>
      </x:c>
      <x:c r="I2471" s="52" t="n">
        <x:v>0.7724137931034482</x:v>
      </x:c>
      <x:c r="J2471" s="52" t="n">
        <x:v>0.4610797422525454</x:v>
      </x:c>
      <x:c r="K2471" s="60" t="n">
        <x:v>2800.65</x:v>
      </x:c>
      <x:c r="L2471" s="60" t="n">
        <x:v>259.71</x:v>
      </x:c>
      <x:c r="M2471" s="50" t="n">
        <x:v>112</x:v>
      </x:c>
      <x:c r="N2471" s="50" t="n">
        <x:v>33</x:v>
      </x:c>
      <x:c r="O2471" s="50" t="n">
        <x:v>130</x:v>
      </x:c>
      <x:c r="P2471" s="50" t="n">
        <x:v>23</x:v>
      </x:c>
    </x:row>
    <x:row r="2472" ht="36" customHeight="1">
      <x:c r="A2472" s="53" t="n">
        <x:v>2453</x:v>
      </x:c>
      <x:c r="B2472" s="53" t="n">
        <x:v>1</x:v>
      </x:c>
      <x:c r="C2472" s="40" t="str">
        <x:v>High-Value Frequent Shoppers</x:v>
      </x:c>
      <x:c r="D2472" s="60" t="n">
        <x:v>4551.68</x:v>
      </x:c>
      <x:c r="E2472" s="50" t="n">
        <x:v>110</x:v>
      </x:c>
      <x:c r="F2472" s="46" t="n">
        <x:v>5.238095238095238</x:v>
      </x:c>
      <x:c r="G2472" s="46" t="n">
        <x:v>6</x:v>
      </x:c>
      <x:c r="H2472" s="61" t="n">
        <x:v>41.37890909090909</x:v>
      </x:c>
      <x:c r="I2472" s="52" t="n">
        <x:v>0.8727272727272727</x:v>
      </x:c>
      <x:c r="J2472" s="52" t="n">
        <x:v>0.3841241036276715</x:v>
      </x:c>
      <x:c r="K2472" s="60" t="n">
        <x:v>4246.23</x:v>
      </x:c>
      <x:c r="L2472" s="60" t="n">
        <x:v>305.45</x:v>
      </x:c>
      <x:c r="M2472" s="50" t="n">
        <x:v>96</x:v>
      </x:c>
      <x:c r="N2472" s="50" t="n">
        <x:v>14</x:v>
      </x:c>
      <x:c r="O2472" s="50" t="n">
        <x:v>192</x:v>
      </x:c>
      <x:c r="P2472" s="50" t="n">
        <x:v>21</x:v>
      </x:c>
    </x:row>
    <x:row r="2473" ht="36" customHeight="1">
      <x:c r="A2473" s="53" t="n">
        <x:v>2454</x:v>
      </x:c>
      <x:c r="B2473" s="53" t="n">
        <x:v>3</x:v>
      </x:c>
      <x:c r="C2473" s="40" t="str">
        <x:v>Low-Value Low-Engagement Shoppers</x:v>
      </x:c>
      <x:c r="D2473" s="60" t="n">
        <x:v>392.87</x:v>
      </x:c>
      <x:c r="E2473" s="50" t="n">
        <x:v>30</x:v>
      </x:c>
      <x:c r="F2473" s="46" t="n">
        <x:v>2.142857142857143</x:v>
      </x:c>
      <x:c r="G2473" s="46" t="n">
        <x:v>7</x:v>
      </x:c>
      <x:c r="H2473" s="61" t="n">
        <x:v>13.095666666666666</x:v>
      </x:c>
      <x:c r="I2473" s="52" t="n">
        <x:v>0.6333333333333333</x:v>
      </x:c>
      <x:c r="J2473" s="52" t="n">
        <x:v>0.3892890778119988</x:v>
      </x:c>
      <x:c r="K2473" s="60" t="n">
        <x:v>294.86</x:v>
      </x:c>
      <x:c r="L2473" s="60" t="n">
        <x:v>98.01</x:v>
      </x:c>
      <x:c r="M2473" s="50" t="n">
        <x:v>19</x:v>
      </x:c>
      <x:c r="N2473" s="50" t="n">
        <x:v>11</x:v>
      </x:c>
      <x:c r="O2473" s="50" t="n">
        <x:v>53</x:v>
      </x:c>
      <x:c r="P2473" s="50" t="n">
        <x:v>14</x:v>
      </x:c>
    </x:row>
    <x:row r="2474" ht="36" customHeight="1">
      <x:c r="A2474" s="53" t="n">
        <x:v>2455</x:v>
      </x:c>
      <x:c r="B2474" s="53" t="n">
        <x:v>1</x:v>
      </x:c>
      <x:c r="C2474" s="40" t="str">
        <x:v>High-Value Frequent Shoppers</x:v>
      </x:c>
      <x:c r="D2474" s="60" t="n">
        <x:v>5339.03</x:v>
      </x:c>
      <x:c r="E2474" s="50" t="n">
        <x:v>109</x:v>
      </x:c>
      <x:c r="F2474" s="46" t="n">
        <x:v>4.954545454545455</x:v>
      </x:c>
      <x:c r="G2474" s="46" t="n">
        <x:v>1</x:v>
      </x:c>
      <x:c r="H2474" s="61" t="n">
        <x:v>48.98192660550458</x:v>
      </x:c>
      <x:c r="I2474" s="52" t="n">
        <x:v>0.8623853211009174</x:v>
      </x:c>
      <x:c r="J2474" s="52" t="n">
        <x:v>0.4805311077105766</x:v>
      </x:c>
      <x:c r="K2474" s="60" t="n">
        <x:v>5091.21</x:v>
      </x:c>
      <x:c r="L2474" s="60" t="n">
        <x:v>247.82</x:v>
      </x:c>
      <x:c r="M2474" s="50" t="n">
        <x:v>94</x:v>
      </x:c>
      <x:c r="N2474" s="50" t="n">
        <x:v>15</x:v>
      </x:c>
      <x:c r="O2474" s="50" t="n">
        <x:v>153</x:v>
      </x:c>
      <x:c r="P2474" s="50" t="n">
        <x:v>22</x:v>
      </x:c>
    </x:row>
    <x:row r="2475" ht="36" customHeight="1">
      <x:c r="A2475" s="53" t="n">
        <x:v>2456</x:v>
      </x:c>
      <x:c r="B2475" s="53" t="n">
        <x:v>2</x:v>
      </x:c>
      <x:c r="C2475" s="40" t="str">
        <x:v>Large-Basket Occasional Shoppers</x:v>
      </x:c>
      <x:c r="D2475" s="60" t="n">
        <x:v>1271.24</x:v>
      </x:c>
      <x:c r="E2475" s="50" t="n">
        <x:v>76</x:v>
      </x:c>
      <x:c r="F2475" s="46" t="n">
        <x:v>3.619047619047619</x:v>
      </x:c>
      <x:c r="G2475" s="46" t="n">
        <x:v>9</x:v>
      </x:c>
      <x:c r="H2475" s="61" t="n">
        <x:v>16.726842105263156</x:v>
      </x:c>
      <x:c r="I2475" s="52" t="n">
        <x:v>0.8552631578947368</x:v>
      </x:c>
      <x:c r="J2475" s="52" t="n">
        <x:v>0.4357556401623611</x:v>
      </x:c>
      <x:c r="K2475" s="60" t="n">
        <x:v>1225.21</x:v>
      </x:c>
      <x:c r="L2475" s="60" t="n">
        <x:v>46.03</x:v>
      </x:c>
      <x:c r="M2475" s="50" t="n">
        <x:v>65</x:v>
      </x:c>
      <x:c r="N2475" s="50" t="n">
        <x:v>11</x:v>
      </x:c>
      <x:c r="O2475" s="50" t="n">
        <x:v>106</x:v>
      </x:c>
      <x:c r="P2475" s="50" t="n">
        <x:v>21</x:v>
      </x:c>
    </x:row>
    <x:row r="2476" ht="36" customHeight="1">
      <x:c r="A2476" s="53" t="n">
        <x:v>2457</x:v>
      </x:c>
      <x:c r="B2476" s="53" t="n">
        <x:v>2</x:v>
      </x:c>
      <x:c r="C2476" s="40" t="str">
        <x:v>Large-Basket Occasional Shoppers</x:v>
      </x:c>
      <x:c r="D2476" s="60" t="n">
        <x:v>1540.47</x:v>
      </x:c>
      <x:c r="E2476" s="50" t="n">
        <x:v>77</x:v>
      </x:c>
      <x:c r="F2476" s="46" t="n">
        <x:v>3.6666666666666665</x:v>
      </x:c>
      <x:c r="G2476" s="46" t="n">
        <x:v>32</x:v>
      </x:c>
      <x:c r="H2476" s="61" t="n">
        <x:v>20.00610389610389</x:v>
      </x:c>
      <x:c r="I2476" s="52" t="n">
        <x:v>0.935064935064935</x:v>
      </x:c>
      <x:c r="J2476" s="52" t="n">
        <x:v>0.5986354813790596</x:v>
      </x:c>
      <x:c r="K2476" s="60" t="n">
        <x:v>1522.36</x:v>
      </x:c>
      <x:c r="L2476" s="60" t="n">
        <x:v>18.11</x:v>
      </x:c>
      <x:c r="M2476" s="50" t="n">
        <x:v>72</x:v>
      </x:c>
      <x:c r="N2476" s="50" t="n">
        <x:v>5</x:v>
      </x:c>
      <x:c r="O2476" s="50" t="n">
        <x:v>113</x:v>
      </x:c>
      <x:c r="P2476" s="50" t="n">
        <x:v>21</x:v>
      </x:c>
    </x:row>
    <x:row r="2477" ht="36" customHeight="1">
      <x:c r="A2477" s="53" t="n">
        <x:v>2458</x:v>
      </x:c>
      <x:c r="B2477" s="53" t="n">
        <x:v>2</x:v>
      </x:c>
      <x:c r="C2477" s="40" t="str">
        <x:v>Large-Basket Occasional Shoppers</x:v>
      </x:c>
      <x:c r="D2477" s="60" t="n">
        <x:v>1118.33</x:v>
      </x:c>
      <x:c r="E2477" s="50" t="n">
        <x:v>56</x:v>
      </x:c>
      <x:c r="F2477" s="46" t="n">
        <x:v>3.294117647058824</x:v>
      </x:c>
      <x:c r="G2477" s="46" t="n">
        <x:v>2</x:v>
      </x:c>
      <x:c r="H2477" s="61" t="n">
        <x:v>19.97017857142857</x:v>
      </x:c>
      <x:c r="I2477" s="52" t="n">
        <x:v>0.8035714285714285</x:v>
      </x:c>
      <x:c r="J2477" s="52" t="n">
        <x:v>0.373422871603194</x:v>
      </x:c>
      <x:c r="K2477" s="60" t="n">
        <x:v>1044.8</x:v>
      </x:c>
      <x:c r="L2477" s="60" t="n">
        <x:v>73.53</x:v>
      </x:c>
      <x:c r="M2477" s="50" t="n">
        <x:v>45</x:v>
      </x:c>
      <x:c r="N2477" s="50" t="n">
        <x:v>11</x:v>
      </x:c>
      <x:c r="O2477" s="50" t="n">
        <x:v>98</x:v>
      </x:c>
      <x:c r="P2477" s="50" t="n">
        <x:v>17</x:v>
      </x:c>
    </x:row>
    <x:row r="2478" ht="36" customHeight="1">
      <x:c r="A2478" s="53" t="n">
        <x:v>2459</x:v>
      </x:c>
      <x:c r="B2478" s="53" t="n">
        <x:v>1</x:v>
      </x:c>
      <x:c r="C2478" s="40" t="str">
        <x:v>High-Value Frequent Shoppers</x:v>
      </x:c>
      <x:c r="D2478" s="60" t="n">
        <x:v>20671.5</x:v>
      </x:c>
      <x:c r="E2478" s="50" t="n">
        <x:v>970</x:v>
      </x:c>
      <x:c r="F2478" s="46" t="n">
        <x:v>42.17391304347826</x:v>
      </x:c>
      <x:c r="G2478" s="46" t="n">
        <x:v>7</x:v>
      </x:c>
      <x:c r="H2478" s="61" t="n">
        <x:v>21.31082474226804</x:v>
      </x:c>
      <x:c r="I2478" s="52" t="n">
        <x:v>0.7556701030927835</x:v>
      </x:c>
      <x:c r="J2478" s="52" t="n">
        <x:v>0.5788409162373315</x:v>
      </x:c>
      <x:c r="K2478" s="60" t="n">
        <x:v>19109.08</x:v>
      </x:c>
      <x:c r="L2478" s="60" t="n">
        <x:v>1562.42</x:v>
      </x:c>
      <x:c r="M2478" s="50" t="n">
        <x:v>733</x:v>
      </x:c>
      <x:c r="N2478" s="50" t="n">
        <x:v>237</x:v>
      </x:c>
      <x:c r="O2478" s="50" t="n">
        <x:v>233</x:v>
      </x:c>
      <x:c r="P2478" s="50" t="n">
        <x:v>23</x:v>
      </x:c>
    </x:row>
    <x:row r="2479" ht="36" customHeight="1">
      <x:c r="A2479" s="53" t="n">
        <x:v>2460</x:v>
      </x:c>
      <x:c r="B2479" s="53" t="n">
        <x:v>2</x:v>
      </x:c>
      <x:c r="C2479" s="40" t="str">
        <x:v>Large-Basket Occasional Shoppers</x:v>
      </x:c>
      <x:c r="D2479" s="60" t="n">
        <x:v>966.05</x:v>
      </x:c>
      <x:c r="E2479" s="50" t="n">
        <x:v>30</x:v>
      </x:c>
      <x:c r="F2479" s="46" t="n">
        <x:v>2.142857142857143</x:v>
      </x:c>
      <x:c r="G2479" s="46" t="n">
        <x:v>0</x:v>
      </x:c>
      <x:c r="H2479" s="61" t="n">
        <x:v>32.20166666666666</x:v>
      </x:c>
      <x:c r="I2479" s="52" t="n">
        <x:v>0.8666666666666666</x:v>
      </x:c>
      <x:c r="J2479" s="52" t="n">
        <x:v>0.3319082863205838</x:v>
      </x:c>
      <x:c r="K2479" s="60" t="n">
        <x:v>865.53</x:v>
      </x:c>
      <x:c r="L2479" s="60" t="n">
        <x:v>100.52</x:v>
      </x:c>
      <x:c r="M2479" s="50" t="n">
        <x:v>26</x:v>
      </x:c>
      <x:c r="N2479" s="50" t="n">
        <x:v>4</x:v>
      </x:c>
      <x:c r="O2479" s="50" t="n">
        <x:v>61</x:v>
      </x:c>
      <x:c r="P2479" s="50" t="n">
        <x:v>14</x:v>
      </x:c>
    </x:row>
    <x:row r="2480" ht="36" customHeight="1">
      <x:c r="A2480" s="53" t="n">
        <x:v>2461</x:v>
      </x:c>
      <x:c r="B2480" s="53" t="n">
        <x:v>2</x:v>
      </x:c>
      <x:c r="C2480" s="40" t="str">
        <x:v>Large-Basket Occasional Shoppers</x:v>
      </x:c>
      <x:c r="D2480" s="60" t="n">
        <x:v>1051.1</x:v>
      </x:c>
      <x:c r="E2480" s="50" t="n">
        <x:v>22</x:v>
      </x:c>
      <x:c r="F2480" s="46" t="n">
        <x:v>1.8333333333333333</x:v>
      </x:c>
      <x:c r="G2480" s="46" t="n">
        <x:v>13</x:v>
      </x:c>
      <x:c r="H2480" s="61" t="n">
        <x:v>47.77727272727273</x:v>
      </x:c>
      <x:c r="I2480" s="52" t="n">
        <x:v>0.9545454545454544</x:v>
      </x:c>
      <x:c r="J2480" s="52" t="n">
        <x:v>0.3559509085719722</x:v>
      </x:c>
      <x:c r="K2480" s="60" t="n">
        <x:v>1047.41</x:v>
      </x:c>
      <x:c r="L2480" s="60" t="n">
        <x:v>3.69</x:v>
      </x:c>
      <x:c r="M2480" s="50" t="n">
        <x:v>21</x:v>
      </x:c>
      <x:c r="N2480" s="50" t="n">
        <x:v>1</x:v>
      </x:c>
      <x:c r="O2480" s="50" t="n">
        <x:v>89</x:v>
      </x:c>
      <x:c r="P2480" s="50" t="n">
        <x:v>12</x:v>
      </x:c>
    </x:row>
    <x:row r="2481" ht="36" customHeight="1">
      <x:c r="A2481" s="53" t="n">
        <x:v>2462</x:v>
      </x:c>
      <x:c r="B2481" s="53" t="n">
        <x:v>1</x:v>
      </x:c>
      <x:c r="C2481" s="40" t="str">
        <x:v>High-Value Frequent Shoppers</x:v>
      </x:c>
      <x:c r="D2481" s="60" t="n">
        <x:v>11593.06</x:v>
      </x:c>
      <x:c r="E2481" s="50" t="n">
        <x:v>187</x:v>
      </x:c>
      <x:c r="F2481" s="46" t="n">
        <x:v>8.130434782608694</x:v>
      </x:c>
      <x:c r="G2481" s="46" t="n">
        <x:v>1</x:v>
      </x:c>
      <x:c r="H2481" s="61" t="n">
        <x:v>61.99497326203209</x:v>
      </x:c>
      <x:c r="I2481" s="52" t="n">
        <x:v>0.8930481283422459</x:v>
      </x:c>
      <x:c r="J2481" s="52" t="n">
        <x:v>0.4824946994149948</x:v>
      </x:c>
      <x:c r="K2481" s="60" t="n">
        <x:v>10907.65</x:v>
      </x:c>
      <x:c r="L2481" s="60" t="n">
        <x:v>685.41</x:v>
      </x:c>
      <x:c r="M2481" s="50" t="n">
        <x:v>167</x:v>
      </x:c>
      <x:c r="N2481" s="50" t="n">
        <x:v>20</x:v>
      </x:c>
      <x:c r="O2481" s="50" t="n">
        <x:v>180</x:v>
      </x:c>
      <x:c r="P2481" s="50" t="n">
        <x:v>23</x:v>
      </x:c>
    </x:row>
    <x:row r="2482" ht="36" customHeight="1">
      <x:c r="A2482" s="53" t="n">
        <x:v>2463</x:v>
      </x:c>
      <x:c r="B2482" s="53" t="n">
        <x:v>3</x:v>
      </x:c>
      <x:c r="C2482" s="40" t="str">
        <x:v>Low-Value Low-Engagement Shoppers</x:v>
      </x:c>
      <x:c r="D2482" s="60" t="n">
        <x:v>158.42</x:v>
      </x:c>
      <x:c r="E2482" s="50" t="n">
        <x:v>12</x:v>
      </x:c>
      <x:c r="F2482" s="46" t="n">
        <x:v>1.3333333333333333</x:v>
      </x:c>
      <x:c r="G2482" s="46" t="n">
        <x:v>216</x:v>
      </x:c>
      <x:c r="H2482" s="61" t="n">
        <x:v>13.201666666666666</x:v>
      </x:c>
      <x:c r="I2482" s="52" t="n">
        <x:v>0.9166666666666666</x:v>
      </x:c>
      <x:c r="J2482" s="52" t="n">
        <x:v>0.5741699280393889</x:v>
      </x:c>
      <x:c r="K2482" s="60" t="n">
        <x:v>143.42</x:v>
      </x:c>
      <x:c r="L2482" s="60" t="n">
        <x:v>15</x:v>
      </x:c>
      <x:c r="M2482" s="50" t="n">
        <x:v>11</x:v>
      </x:c>
      <x:c r="N2482" s="50" t="n">
        <x:v>1</x:v>
      </x:c>
      <x:c r="O2482" s="50" t="n">
        <x:v>32</x:v>
      </x:c>
      <x:c r="P2482" s="50" t="n">
        <x:v>9</x:v>
      </x:c>
    </x:row>
    <x:row r="2483" ht="36" customHeight="1">
      <x:c r="A2483" s="53" t="n">
        <x:v>2464</x:v>
      </x:c>
      <x:c r="B2483" s="53" t="n">
        <x:v>3</x:v>
      </x:c>
      <x:c r="C2483" s="40" t="str">
        <x:v>Low-Value Low-Engagement Shoppers</x:v>
      </x:c>
      <x:c r="D2483" s="60" t="n">
        <x:v>1121.48</x:v>
      </x:c>
      <x:c r="E2483" s="50" t="n">
        <x:v>51</x:v>
      </x:c>
      <x:c r="F2483" s="46" t="n">
        <x:v>2.833333333333333</x:v>
      </x:c>
      <x:c r="G2483" s="46" t="n">
        <x:v>16</x:v>
      </x:c>
      <x:c r="H2483" s="61" t="n">
        <x:v>21.98980392156863</x:v>
      </x:c>
      <x:c r="I2483" s="52" t="n">
        <x:v>0.7254901960784313</x:v>
      </x:c>
      <x:c r="J2483" s="52" t="n">
        <x:v>0.4425758818703855</x:v>
      </x:c>
      <x:c r="K2483" s="60" t="n">
        <x:v>1005.62</x:v>
      </x:c>
      <x:c r="L2483" s="60" t="n">
        <x:v>115.86</x:v>
      </x:c>
      <x:c r="M2483" s="50" t="n">
        <x:v>37</x:v>
      </x:c>
      <x:c r="N2483" s="50" t="n">
        <x:v>14</x:v>
      </x:c>
      <x:c r="O2483" s="50" t="n">
        <x:v>96</x:v>
      </x:c>
      <x:c r="P2483" s="50" t="n">
        <x:v>18</x:v>
      </x:c>
    </x:row>
    <x:row r="2484" ht="36" customHeight="1">
      <x:c r="A2484" s="53" t="n">
        <x:v>2465</x:v>
      </x:c>
      <x:c r="B2484" s="53" t="n">
        <x:v>3</x:v>
      </x:c>
      <x:c r="C2484" s="40" t="str">
        <x:v>Low-Value Low-Engagement Shoppers</x:v>
      </x:c>
      <x:c r="D2484" s="60" t="n">
        <x:v>2089.29</x:v>
      </x:c>
      <x:c r="E2484" s="50" t="n">
        <x:v>165</x:v>
      </x:c>
      <x:c r="F2484" s="46" t="n">
        <x:v>7.5</x:v>
      </x:c>
      <x:c r="G2484" s="46" t="n">
        <x:v>25</x:v>
      </x:c>
      <x:c r="H2484" s="61" t="n">
        <x:v>12.662363636363636</x:v>
      </x:c>
      <x:c r="I2484" s="52" t="n">
        <x:v>0.7818181818181817</x:v>
      </x:c>
      <x:c r="J2484" s="52" t="n">
        <x:v>0.5961977513892279</x:v>
      </x:c>
      <x:c r="K2484" s="60" t="n">
        <x:v>1886.07</x:v>
      </x:c>
      <x:c r="L2484" s="60" t="n">
        <x:v>203.22</x:v>
      </x:c>
      <x:c r="M2484" s="50" t="n">
        <x:v>129</x:v>
      </x:c>
      <x:c r="N2484" s="50" t="n">
        <x:v>36</x:v>
      </x:c>
      <x:c r="O2484" s="50" t="n">
        <x:v>115</x:v>
      </x:c>
      <x:c r="P2484" s="50" t="n">
        <x:v>22</x:v>
      </x:c>
    </x:row>
    <x:row r="2485" ht="36" customHeight="1">
      <x:c r="A2485" s="53" t="n">
        <x:v>2466</x:v>
      </x:c>
      <x:c r="B2485" s="53" t="n">
        <x:v>1</x:v>
      </x:c>
      <x:c r="C2485" s="40" t="str">
        <x:v>High-Value Frequent Shoppers</x:v>
      </x:c>
      <x:c r="D2485" s="60" t="n">
        <x:v>2581.82</x:v>
      </x:c>
      <x:c r="E2485" s="50" t="n">
        <x:v>99</x:v>
      </x:c>
      <x:c r="F2485" s="46" t="n">
        <x:v>4.7142857142857135</x:v>
      </x:c>
      <x:c r="G2485" s="46" t="n">
        <x:v>1</x:v>
      </x:c>
      <x:c r="H2485" s="61" t="n">
        <x:v>26.078989898989896</x:v>
      </x:c>
      <x:c r="I2485" s="52" t="n">
        <x:v>0.7979797979797979</x:v>
      </x:c>
      <x:c r="J2485" s="52" t="n">
        <x:v>0.506882741631872</x:v>
      </x:c>
      <x:c r="K2485" s="60" t="n">
        <x:v>2403.06</x:v>
      </x:c>
      <x:c r="L2485" s="60" t="n">
        <x:v>178.76</x:v>
      </x:c>
      <x:c r="M2485" s="50" t="n">
        <x:v>79</x:v>
      </x:c>
      <x:c r="N2485" s="50" t="n">
        <x:v>20</x:v>
      </x:c>
      <x:c r="O2485" s="50" t="n">
        <x:v>112</x:v>
      </x:c>
      <x:c r="P2485" s="50" t="n">
        <x:v>21</x:v>
      </x:c>
    </x:row>
    <x:row r="2486" ht="36" customHeight="1">
      <x:c r="A2486" s="53" t="n">
        <x:v>2467</x:v>
      </x:c>
      <x:c r="B2486" s="53" t="n">
        <x:v>1</x:v>
      </x:c>
      <x:c r="C2486" s="40" t="str">
        <x:v>High-Value Frequent Shoppers</x:v>
      </x:c>
      <x:c r="D2486" s="60" t="n">
        <x:v>12850.56</x:v>
      </x:c>
      <x:c r="E2486" s="50" t="n">
        <x:v>396</x:v>
      </x:c>
      <x:c r="F2486" s="46" t="n">
        <x:v>18</x:v>
      </x:c>
      <x:c r="G2486" s="46" t="n">
        <x:v>2</x:v>
      </x:c>
      <x:c r="H2486" s="61" t="n">
        <x:v>32.450909090909086</x:v>
      </x:c>
      <x:c r="I2486" s="52" t="n">
        <x:v>0.9065656565656564</x:v>
      </x:c>
      <x:c r="J2486" s="52" t="n">
        <x:v>0.6626318230489566</x:v>
      </x:c>
      <x:c r="K2486" s="60" t="n">
        <x:v>12350.23</x:v>
      </x:c>
      <x:c r="L2486" s="60" t="n">
        <x:v>500.33</x:v>
      </x:c>
      <x:c r="M2486" s="50" t="n">
        <x:v>359</x:v>
      </x:c>
      <x:c r="N2486" s="50" t="n">
        <x:v>37</x:v>
      </x:c>
      <x:c r="O2486" s="50" t="n">
        <x:v>187</x:v>
      </x:c>
      <x:c r="P2486" s="50" t="n">
        <x:v>22</x:v>
      </x:c>
    </x:row>
    <x:row r="2487" ht="36" customHeight="1">
      <x:c r="A2487" s="53" t="n">
        <x:v>2468</x:v>
      </x:c>
      <x:c r="B2487" s="53" t="n">
        <x:v>2</x:v>
      </x:c>
      <x:c r="C2487" s="40" t="str">
        <x:v>Large-Basket Occasional Shoppers</x:v>
      </x:c>
      <x:c r="D2487" s="60" t="n">
        <x:v>2506.89</x:v>
      </x:c>
      <x:c r="E2487" s="50" t="n">
        <x:v>90</x:v>
      </x:c>
      <x:c r="F2487" s="46" t="n">
        <x:v>4.7368421052631575</x:v>
      </x:c>
      <x:c r="G2487" s="46" t="n">
        <x:v>49</x:v>
      </x:c>
      <x:c r="H2487" s="61" t="n">
        <x:v>27.854333333333333</x:v>
      </x:c>
      <x:c r="I2487" s="52" t="n">
        <x:v>0.9</x:v>
      </x:c>
      <x:c r="J2487" s="52" t="n">
        <x:v>0.5973417262025856</x:v>
      </x:c>
      <x:c r="K2487" s="60" t="n">
        <x:v>2454.73</x:v>
      </x:c>
      <x:c r="L2487" s="60" t="n">
        <x:v>52.16</x:v>
      </x:c>
      <x:c r="M2487" s="50" t="n">
        <x:v>81</x:v>
      </x:c>
      <x:c r="N2487" s="50" t="n">
        <x:v>9</x:v>
      </x:c>
      <x:c r="O2487" s="50" t="n">
        <x:v>140</x:v>
      </x:c>
      <x:c r="P2487" s="50" t="n">
        <x:v>19</x:v>
      </x:c>
    </x:row>
    <x:row r="2488" ht="36" customHeight="1">
      <x:c r="A2488" s="53" t="n">
        <x:v>2469</x:v>
      </x:c>
      <x:c r="B2488" s="53" t="n">
        <x:v>3</x:v>
      </x:c>
      <x:c r="C2488" s="40" t="str">
        <x:v>Low-Value Low-Engagement Shoppers</x:v>
      </x:c>
      <x:c r="D2488" s="60" t="n">
        <x:v>660.92</x:v>
      </x:c>
      <x:c r="E2488" s="50" t="n">
        <x:v>37</x:v>
      </x:c>
      <x:c r="F2488" s="46" t="n">
        <x:v>1.947368421052632</x:v>
      </x:c>
      <x:c r="G2488" s="46" t="n">
        <x:v>18</x:v>
      </x:c>
      <x:c r="H2488" s="61" t="n">
        <x:v>17.862702702702702</x:v>
      </x:c>
      <x:c r="I2488" s="52" t="n">
        <x:v>0.8648648648648648</x:v>
      </x:c>
      <x:c r="J2488" s="52" t="n">
        <x:v>0.4634448949948556</x:v>
      </x:c>
      <x:c r="K2488" s="60" t="n">
        <x:v>602.47</x:v>
      </x:c>
      <x:c r="L2488" s="60" t="n">
        <x:v>58.45</x:v>
      </x:c>
      <x:c r="M2488" s="50" t="n">
        <x:v>32</x:v>
      </x:c>
      <x:c r="N2488" s="50" t="n">
        <x:v>5</x:v>
      </x:c>
      <x:c r="O2488" s="50" t="n">
        <x:v>74</x:v>
      </x:c>
      <x:c r="P2488" s="50" t="n">
        <x:v>19</x:v>
      </x:c>
    </x:row>
    <x:row r="2489" ht="36" customHeight="1">
      <x:c r="A2489" s="53" t="n">
        <x:v>2470</x:v>
      </x:c>
      <x:c r="B2489" s="53" t="n">
        <x:v>3</x:v>
      </x:c>
      <x:c r="C2489" s="40" t="str">
        <x:v>Low-Value Low-Engagement Shoppers</x:v>
      </x:c>
      <x:c r="D2489" s="60" t="n">
        <x:v>1042.06</x:v>
      </x:c>
      <x:c r="E2489" s="50" t="n">
        <x:v>90</x:v>
      </x:c>
      <x:c r="F2489" s="46" t="n">
        <x:v>4.285714285714286</x:v>
      </x:c>
      <x:c r="G2489" s="46" t="n">
        <x:v>21</x:v>
      </x:c>
      <x:c r="H2489" s="61" t="n">
        <x:v>11.578444444444443</x:v>
      </x:c>
      <x:c r="I2489" s="52" t="n">
        <x:v>0.9</x:v>
      </x:c>
      <x:c r="J2489" s="52" t="n">
        <x:v>0.6436673512081837</x:v>
      </x:c>
      <x:c r="K2489" s="60" t="n">
        <x:v>960.55</x:v>
      </x:c>
      <x:c r="L2489" s="60" t="n">
        <x:v>81.51</x:v>
      </x:c>
      <x:c r="M2489" s="50" t="n">
        <x:v>81</x:v>
      </x:c>
      <x:c r="N2489" s="50" t="n">
        <x:v>9</x:v>
      </x:c>
      <x:c r="O2489" s="50" t="n">
        <x:v>80</x:v>
      </x:c>
      <x:c r="P2489" s="50" t="n">
        <x:v>21</x:v>
      </x:c>
    </x:row>
    <x:row r="2490" ht="36" customHeight="1">
      <x:c r="A2490" s="53" t="n">
        <x:v>2471</x:v>
      </x:c>
      <x:c r="B2490" s="53" t="n">
        <x:v>2</x:v>
      </x:c>
      <x:c r="C2490" s="40" t="str">
        <x:v>Large-Basket Occasional Shoppers</x:v>
      </x:c>
      <x:c r="D2490" s="60" t="n">
        <x:v>947.61</x:v>
      </x:c>
      <x:c r="E2490" s="50" t="n">
        <x:v>51</x:v>
      </x:c>
      <x:c r="F2490" s="46" t="n">
        <x:v>2.833333333333333</x:v>
      </x:c>
      <x:c r="G2490" s="46" t="n">
        <x:v>0</x:v>
      </x:c>
      <x:c r="H2490" s="61" t="n">
        <x:v>18.58058823529412</x:v>
      </x:c>
      <x:c r="I2490" s="52" t="n">
        <x:v>0.9019607843137254</x:v>
      </x:c>
      <x:c r="J2490" s="52" t="n">
        <x:v>0.4938424035204356</x:v>
      </x:c>
      <x:c r="K2490" s="60" t="n">
        <x:v>923.28</x:v>
      </x:c>
      <x:c r="L2490" s="60" t="n">
        <x:v>24.33</x:v>
      </x:c>
      <x:c r="M2490" s="50" t="n">
        <x:v>46</x:v>
      </x:c>
      <x:c r="N2490" s="50" t="n">
        <x:v>5</x:v>
      </x:c>
      <x:c r="O2490" s="50" t="n">
        <x:v>104</x:v>
      </x:c>
      <x:c r="P2490" s="50" t="n">
        <x:v>18</x:v>
      </x:c>
    </x:row>
    <x:row r="2491" ht="36" customHeight="1">
      <x:c r="A2491" s="53" t="n">
        <x:v>2472</x:v>
      </x:c>
      <x:c r="B2491" s="53" t="n">
        <x:v>2</x:v>
      </x:c>
      <x:c r="C2491" s="40" t="str">
        <x:v>Large-Basket Occasional Shoppers</x:v>
      </x:c>
      <x:c r="D2491" s="60" t="n">
        <x:v>1220.81</x:v>
      </x:c>
      <x:c r="E2491" s="50" t="n">
        <x:v>41</x:v>
      </x:c>
      <x:c r="F2491" s="46" t="n">
        <x:v>2.5625</x:v>
      </x:c>
      <x:c r="G2491" s="46" t="n">
        <x:v>5</x:v>
      </x:c>
      <x:c r="H2491" s="61" t="n">
        <x:v>29.775853658536583</x:v>
      </x:c>
      <x:c r="I2491" s="52" t="n">
        <x:v>0.8536585365853658</x:v>
      </x:c>
      <x:c r="J2491" s="52" t="n">
        <x:v>0.3896593245468172</x:v>
      </x:c>
      <x:c r="K2491" s="60" t="n">
        <x:v>1137.12</x:v>
      </x:c>
      <x:c r="L2491" s="60" t="n">
        <x:v>83.69</x:v>
      </x:c>
      <x:c r="M2491" s="50" t="n">
        <x:v>35</x:v>
      </x:c>
      <x:c r="N2491" s="50" t="n">
        <x:v>6</x:v>
      </x:c>
      <x:c r="O2491" s="50" t="n">
        <x:v>117</x:v>
      </x:c>
      <x:c r="P2491" s="50" t="n">
        <x:v>16</x:v>
      </x:c>
    </x:row>
    <x:row r="2492" ht="36" customHeight="1">
      <x:c r="A2492" s="53" t="n">
        <x:v>2473</x:v>
      </x:c>
      <x:c r="B2492" s="53" t="n">
        <x:v>2</x:v>
      </x:c>
      <x:c r="C2492" s="40" t="str">
        <x:v>Large-Basket Occasional Shoppers</x:v>
      </x:c>
      <x:c r="D2492" s="60" t="n">
        <x:v>330.68</x:v>
      </x:c>
      <x:c r="E2492" s="50" t="n">
        <x:v>9</x:v>
      </x:c>
      <x:c r="F2492" s="46" t="n">
        <x:v>1.8</x:v>
      </x:c>
      <x:c r="G2492" s="46" t="n">
        <x:v>108</x:v>
      </x:c>
      <x:c r="H2492" s="61" t="n">
        <x:v>36.74222222222223</x:v>
      </x:c>
      <x:c r="I2492" s="52" t="n">
        <x:v>1</x:v>
      </x:c>
      <x:c r="J2492" s="52" t="n">
        <x:v>0.4321700737873472</x:v>
      </x:c>
      <x:c r="K2492" s="60" t="n">
        <x:v>330.68</x:v>
      </x:c>
      <x:c r="L2492" s="60" t="n">
        <x:v>0</x:v>
      </x:c>
      <x:c r="M2492" s="50" t="n">
        <x:v>9</x:v>
      </x:c>
      <x:c r="N2492" s="50" t="n">
        <x:v>0</x:v>
      </x:c>
      <x:c r="O2492" s="50" t="n">
        <x:v>62</x:v>
      </x:c>
      <x:c r="P2492" s="50" t="n">
        <x:v>5</x:v>
      </x:c>
    </x:row>
    <x:row r="2493" ht="36" customHeight="1">
      <x:c r="A2493" s="53" t="n">
        <x:v>2474</x:v>
      </x:c>
      <x:c r="B2493" s="53" t="n">
        <x:v>3</x:v>
      </x:c>
      <x:c r="C2493" s="40" t="str">
        <x:v>Low-Value Low-Engagement Shoppers</x:v>
      </x:c>
      <x:c r="D2493" s="60" t="n">
        <x:v>511.41</x:v>
      </x:c>
      <x:c r="E2493" s="50" t="n">
        <x:v>49</x:v>
      </x:c>
      <x:c r="F2493" s="46" t="n">
        <x:v>2.5789473684210527</x:v>
      </x:c>
      <x:c r="G2493" s="46" t="n">
        <x:v>21</x:v>
      </x:c>
      <x:c r="H2493" s="61" t="n">
        <x:v>10.436938775510203</x:v>
      </x:c>
      <x:c r="I2493" s="52" t="n">
        <x:v>0.979591836734694</x:v>
      </x:c>
      <x:c r="J2493" s="52" t="n">
        <x:v>0.8731937193250034</x:v>
      </x:c>
      <x:c r="K2493" s="60" t="n">
        <x:v>505.41</x:v>
      </x:c>
      <x:c r="L2493" s="60" t="n">
        <x:v>6</x:v>
      </x:c>
      <x:c r="M2493" s="50" t="n">
        <x:v>48</x:v>
      </x:c>
      <x:c r="N2493" s="50" t="n">
        <x:v>1</x:v>
      </x:c>
      <x:c r="O2493" s="50" t="n">
        <x:v>51</x:v>
      </x:c>
      <x:c r="P2493" s="50" t="n">
        <x:v>19</x:v>
      </x:c>
    </x:row>
    <x:row r="2494" ht="36" customHeight="1">
      <x:c r="A2494" s="53" t="n">
        <x:v>2475</x:v>
      </x:c>
      <x:c r="B2494" s="53" t="n">
        <x:v>1</x:v>
      </x:c>
      <x:c r="C2494" s="40" t="str">
        <x:v>High-Value Frequent Shoppers</x:v>
      </x:c>
      <x:c r="D2494" s="60" t="n">
        <x:v>5079.02</x:v>
      </x:c>
      <x:c r="E2494" s="50" t="n">
        <x:v>124</x:v>
      </x:c>
      <x:c r="F2494" s="46" t="n">
        <x:v>5.904761904761905</x:v>
      </x:c>
      <x:c r="G2494" s="46" t="n">
        <x:v>26</x:v>
      </x:c>
      <x:c r="H2494" s="61" t="n">
        <x:v>40.95983870967741</x:v>
      </x:c>
      <x:c r="I2494" s="52" t="n">
        <x:v>0.9032258064516128</x:v>
      </x:c>
      <x:c r="J2494" s="52" t="n">
        <x:v>0.4923823887285342</x:v>
      </x:c>
      <x:c r="K2494" s="60" t="n">
        <x:v>4984.31</x:v>
      </x:c>
      <x:c r="L2494" s="60" t="n">
        <x:v>94.71</x:v>
      </x:c>
      <x:c r="M2494" s="50" t="n">
        <x:v>112</x:v>
      </x:c>
      <x:c r="N2494" s="50" t="n">
        <x:v>12</x:v>
      </x:c>
      <x:c r="O2494" s="50" t="n">
        <x:v>160</x:v>
      </x:c>
      <x:c r="P2494" s="50" t="n">
        <x:v>21</x:v>
      </x:c>
    </x:row>
    <x:row r="2495" ht="36" customHeight="1">
      <x:c r="A2495" s="53" t="n">
        <x:v>2476</x:v>
      </x:c>
      <x:c r="B2495" s="53" t="n">
        <x:v>3</x:v>
      </x:c>
      <x:c r="C2495" s="40" t="str">
        <x:v>Low-Value Low-Engagement Shoppers</x:v>
      </x:c>
      <x:c r="D2495" s="60" t="n">
        <x:v>403.26</x:v>
      </x:c>
      <x:c r="E2495" s="50" t="n">
        <x:v>14</x:v>
      </x:c>
      <x:c r="F2495" s="46" t="n">
        <x:v>2</x:v>
      </x:c>
      <x:c r="G2495" s="46" t="n">
        <x:v>230</x:v>
      </x:c>
      <x:c r="H2495" s="61" t="n">
        <x:v>28.804285714285715</x:v>
      </x:c>
      <x:c r="I2495" s="52" t="n">
        <x:v>0.9285714285714284</x:v>
      </x:c>
      <x:c r="J2495" s="52" t="n">
        <x:v>0.6856122600803451</x:v>
      </x:c>
      <x:c r="K2495" s="60" t="n">
        <x:v>386.46</x:v>
      </x:c>
      <x:c r="L2495" s="60" t="n">
        <x:v>16.8</x:v>
      </x:c>
      <x:c r="M2495" s="50" t="n">
        <x:v>13</x:v>
      </x:c>
      <x:c r="N2495" s="50" t="n">
        <x:v>1</x:v>
      </x:c>
      <x:c r="O2495" s="50" t="n">
        <x:v>34</x:v>
      </x:c>
      <x:c r="P2495" s="50" t="n">
        <x:v>7</x:v>
      </x:c>
    </x:row>
    <x:row r="2496" ht="36" customHeight="1">
      <x:c r="A2496" s="53" t="n">
        <x:v>2477</x:v>
      </x:c>
      <x:c r="B2496" s="53" t="n">
        <x:v>2</x:v>
      </x:c>
      <x:c r="C2496" s="40" t="str">
        <x:v>Large-Basket Occasional Shoppers</x:v>
      </x:c>
      <x:c r="D2496" s="60" t="n">
        <x:v>1871.22</x:v>
      </x:c>
      <x:c r="E2496" s="50" t="n">
        <x:v>40</x:v>
      </x:c>
      <x:c r="F2496" s="46" t="n">
        <x:v>2.5</x:v>
      </x:c>
      <x:c r="G2496" s="46" t="n">
        <x:v>21</x:v>
      </x:c>
      <x:c r="H2496" s="61" t="n">
        <x:v>46.7805</x:v>
      </x:c>
      <x:c r="I2496" s="52" t="n">
        <x:v>0.85</x:v>
      </x:c>
      <x:c r="J2496" s="52" t="n">
        <x:v>0.5857836064172037</x:v>
      </x:c>
      <x:c r="K2496" s="60" t="n">
        <x:v>1824.5</x:v>
      </x:c>
      <x:c r="L2496" s="60" t="n">
        <x:v>46.72</x:v>
      </x:c>
      <x:c r="M2496" s="50" t="n">
        <x:v>34</x:v>
      </x:c>
      <x:c r="N2496" s="50" t="n">
        <x:v>6</x:v>
      </x:c>
      <x:c r="O2496" s="50" t="n">
        <x:v>116</x:v>
      </x:c>
      <x:c r="P2496" s="50" t="n">
        <x:v>16</x:v>
      </x:c>
    </x:row>
    <x:row r="2497" ht="36" customHeight="1">
      <x:c r="A2497" s="53" t="n">
        <x:v>2478</x:v>
      </x:c>
      <x:c r="B2497" s="53" t="n">
        <x:v>1</x:v>
      </x:c>
      <x:c r="C2497" s="40" t="str">
        <x:v>High-Value Frequent Shoppers</x:v>
      </x:c>
      <x:c r="D2497" s="60" t="n">
        <x:v>3354.42</x:v>
      </x:c>
      <x:c r="E2497" s="50" t="n">
        <x:v>146</x:v>
      </x:c>
      <x:c r="F2497" s="46" t="n">
        <x:v>6.083333333333333</x:v>
      </x:c>
      <x:c r="G2497" s="46" t="n">
        <x:v>5</x:v>
      </x:c>
      <x:c r="H2497" s="61" t="n">
        <x:v>22.975479452054795</x:v>
      </x:c>
      <x:c r="I2497" s="52" t="n">
        <x:v>0.917808219178082</x:v>
      </x:c>
      <x:c r="J2497" s="52" t="n">
        <x:v>0.4354225171564681</x:v>
      </x:c>
      <x:c r="K2497" s="60" t="n">
        <x:v>3258.12</x:v>
      </x:c>
      <x:c r="L2497" s="60" t="n">
        <x:v>96.3</x:v>
      </x:c>
      <x:c r="M2497" s="50" t="n">
        <x:v>134</x:v>
      </x:c>
      <x:c r="N2497" s="50" t="n">
        <x:v>12</x:v>
      </x:c>
      <x:c r="O2497" s="50" t="n">
        <x:v>130</x:v>
      </x:c>
      <x:c r="P2497" s="50" t="n">
        <x:v>24</x:v>
      </x:c>
    </x:row>
    <x:row r="2498" ht="36" customHeight="1">
      <x:c r="A2498" s="53" t="n">
        <x:v>2479</x:v>
      </x:c>
      <x:c r="B2498" s="53" t="n">
        <x:v>1</x:v>
      </x:c>
      <x:c r="C2498" s="40" t="str">
        <x:v>High-Value Frequent Shoppers</x:v>
      </x:c>
      <x:c r="D2498" s="60" t="n">
        <x:v>14279.7</x:v>
      </x:c>
      <x:c r="E2498" s="50" t="n">
        <x:v>136</x:v>
      </x:c>
      <x:c r="F2498" s="46" t="n">
        <x:v>6.476190476190476</x:v>
      </x:c>
      <x:c r="G2498" s="46" t="n">
        <x:v>5</x:v>
      </x:c>
      <x:c r="H2498" s="61" t="n">
        <x:v>104.99779411764705</x:v>
      </x:c>
      <x:c r="I2498" s="52" t="n">
        <x:v>0.9338235294117648</x:v>
      </x:c>
      <x:c r="J2498" s="52" t="n">
        <x:v>0.4394987289648942</x:v>
      </x:c>
      <x:c r="K2498" s="60" t="n">
        <x:v>14082.29</x:v>
      </x:c>
      <x:c r="L2498" s="60" t="n">
        <x:v>197.41</x:v>
      </x:c>
      <x:c r="M2498" s="50" t="n">
        <x:v>127</x:v>
      </x:c>
      <x:c r="N2498" s="50" t="n">
        <x:v>9</x:v>
      </x:c>
      <x:c r="O2498" s="50" t="n">
        <x:v>197</x:v>
      </x:c>
      <x:c r="P2498" s="50" t="n">
        <x:v>21</x:v>
      </x:c>
    </x:row>
    <x:row r="2499" ht="36" customHeight="1">
      <x:c r="A2499" s="53" t="n">
        <x:v>2480</x:v>
      </x:c>
      <x:c r="B2499" s="53" t="n">
        <x:v>2</x:v>
      </x:c>
      <x:c r="C2499" s="40" t="str">
        <x:v>Large-Basket Occasional Shoppers</x:v>
      </x:c>
      <x:c r="D2499" s="60" t="n">
        <x:v>1716.05</x:v>
      </x:c>
      <x:c r="E2499" s="50" t="n">
        <x:v>29</x:v>
      </x:c>
      <x:c r="F2499" s="46" t="n">
        <x:v>2.416666666666667</x:v>
      </x:c>
      <x:c r="G2499" s="46" t="n">
        <x:v>24</x:v>
      </x:c>
      <x:c r="H2499" s="61" t="n">
        <x:v>59.17413793103448</x:v>
      </x:c>
      <x:c r="I2499" s="52" t="n">
        <x:v>0.896551724137931</x:v>
      </x:c>
      <x:c r="J2499" s="52" t="n">
        <x:v>0.3911016578771014</x:v>
      </x:c>
      <x:c r="K2499" s="60" t="n">
        <x:v>1696.36</x:v>
      </x:c>
      <x:c r="L2499" s="60" t="n">
        <x:v>19.69</x:v>
      </x:c>
      <x:c r="M2499" s="50" t="n">
        <x:v>26</x:v>
      </x:c>
      <x:c r="N2499" s="50" t="n">
        <x:v>3</x:v>
      </x:c>
      <x:c r="O2499" s="50" t="n">
        <x:v>109</x:v>
      </x:c>
      <x:c r="P2499" s="50" t="n">
        <x:v>12</x:v>
      </x:c>
    </x:row>
    <x:row r="2500" ht="36" customHeight="1">
      <x:c r="A2500" s="53" t="n">
        <x:v>2481</x:v>
      </x:c>
      <x:c r="B2500" s="53" t="n">
        <x:v>1</x:v>
      </x:c>
      <x:c r="C2500" s="40" t="str">
        <x:v>High-Value Frequent Shoppers</x:v>
      </x:c>
      <x:c r="D2500" s="60" t="n">
        <x:v>5403.5</x:v>
      </x:c>
      <x:c r="E2500" s="50" t="n">
        <x:v>148</x:v>
      </x:c>
      <x:c r="F2500" s="46" t="n">
        <x:v>7.047619047619048</x:v>
      </x:c>
      <x:c r="G2500" s="46" t="n">
        <x:v>1</x:v>
      </x:c>
      <x:c r="H2500" s="61" t="n">
        <x:v>36.51013513513514</x:v>
      </x:c>
      <x:c r="I2500" s="52" t="n">
        <x:v>0.9527027027027029</x:v>
      </x:c>
      <x:c r="J2500" s="52" t="n">
        <x:v>0.6906912186545757</x:v>
      </x:c>
      <x:c r="K2500" s="60" t="n">
        <x:v>5324.45</x:v>
      </x:c>
      <x:c r="L2500" s="60" t="n">
        <x:v>79.05</x:v>
      </x:c>
      <x:c r="M2500" s="50" t="n">
        <x:v>141</x:v>
      </x:c>
      <x:c r="N2500" s="50" t="n">
        <x:v>7</x:v>
      </x:c>
      <x:c r="O2500" s="50" t="n">
        <x:v>146</x:v>
      </x:c>
      <x:c r="P2500" s="50" t="n">
        <x:v>21</x:v>
      </x:c>
    </x:row>
    <x:row r="2501" ht="36" customHeight="1">
      <x:c r="A2501" s="53" t="n">
        <x:v>2482</x:v>
      </x:c>
      <x:c r="B2501" s="53" t="n">
        <x:v>2</x:v>
      </x:c>
      <x:c r="C2501" s="40" t="str">
        <x:v>Large-Basket Occasional Shoppers</x:v>
      </x:c>
      <x:c r="D2501" s="60" t="n">
        <x:v>2728.77</x:v>
      </x:c>
      <x:c r="E2501" s="50" t="n">
        <x:v>71</x:v>
      </x:c>
      <x:c r="F2501" s="46" t="n">
        <x:v>3.7368421052631575</x:v>
      </x:c>
      <x:c r="G2501" s="46" t="n">
        <x:v>29</x:v>
      </x:c>
      <x:c r="H2501" s="61" t="n">
        <x:v>38.43338028169014</x:v>
      </x:c>
      <x:c r="I2501" s="52" t="n">
        <x:v>0.9014084507042252</x:v>
      </x:c>
      <x:c r="J2501" s="52" t="n">
        <x:v>0.5294070222114725</x:v>
      </x:c>
      <x:c r="K2501" s="60" t="n">
        <x:v>2680.68</x:v>
      </x:c>
      <x:c r="L2501" s="60" t="n">
        <x:v>48.09</x:v>
      </x:c>
      <x:c r="M2501" s="50" t="n">
        <x:v>64</x:v>
      </x:c>
      <x:c r="N2501" s="50" t="n">
        <x:v>7</x:v>
      </x:c>
      <x:c r="O2501" s="50" t="n">
        <x:v>118</x:v>
      </x:c>
      <x:c r="P2501" s="50" t="n">
        <x:v>19</x:v>
      </x:c>
    </x:row>
    <x:row r="2502" ht="36" customHeight="1">
      <x:c r="A2502" s="53" t="n">
        <x:v>2483</x:v>
      </x:c>
      <x:c r="B2502" s="53" t="n">
        <x:v>2</x:v>
      </x:c>
      <x:c r="C2502" s="40" t="str">
        <x:v>Large-Basket Occasional Shoppers</x:v>
      </x:c>
      <x:c r="D2502" s="60" t="n">
        <x:v>1770.91</x:v>
      </x:c>
      <x:c r="E2502" s="50" t="n">
        <x:v>83</x:v>
      </x:c>
      <x:c r="F2502" s="46" t="n">
        <x:v>5.533333333333333</x:v>
      </x:c>
      <x:c r="G2502" s="46" t="n">
        <x:v>3</x:v>
      </x:c>
      <x:c r="H2502" s="61" t="n">
        <x:v>21.336265060240965</x:v>
      </x:c>
      <x:c r="I2502" s="52" t="n">
        <x:v>0.9518072289156626</x:v>
      </x:c>
      <x:c r="J2502" s="52" t="n">
        <x:v>0.3785229063024094</x:v>
      </x:c>
      <x:c r="K2502" s="60" t="n">
        <x:v>1732.9</x:v>
      </x:c>
      <x:c r="L2502" s="60" t="n">
        <x:v>38.01</x:v>
      </x:c>
      <x:c r="M2502" s="50" t="n">
        <x:v>79</x:v>
      </x:c>
      <x:c r="N2502" s="50" t="n">
        <x:v>4</x:v>
      </x:c>
      <x:c r="O2502" s="50" t="n">
        <x:v>98</x:v>
      </x:c>
      <x:c r="P2502" s="50" t="n">
        <x:v>15</x:v>
      </x:c>
    </x:row>
    <x:row r="2503" ht="36" customHeight="1">
      <x:c r="A2503" s="53" t="n">
        <x:v>2484</x:v>
      </x:c>
      <x:c r="B2503" s="53" t="n">
        <x:v>1</x:v>
      </x:c>
      <x:c r="C2503" s="40" t="str">
        <x:v>High-Value Frequent Shoppers</x:v>
      </x:c>
      <x:c r="D2503" s="60" t="n">
        <x:v>7824.64</x:v>
      </x:c>
      <x:c r="E2503" s="50" t="n">
        <x:v>157</x:v>
      </x:c>
      <x:c r="F2503" s="46" t="n">
        <x:v>7.136363636363637</x:v>
      </x:c>
      <x:c r="G2503" s="46" t="n">
        <x:v>4</x:v>
      </x:c>
      <x:c r="H2503" s="61" t="n">
        <x:v>49.83847133757961</x:v>
      </x:c>
      <x:c r="I2503" s="52" t="n">
        <x:v>0.8726114649681528</x:v>
      </x:c>
      <x:c r="J2503" s="52" t="n">
        <x:v>0.4870690536561426</x:v>
      </x:c>
      <x:c r="K2503" s="60" t="n">
        <x:v>7497.11</x:v>
      </x:c>
      <x:c r="L2503" s="60" t="n">
        <x:v>327.53</x:v>
      </x:c>
      <x:c r="M2503" s="50" t="n">
        <x:v>137</x:v>
      </x:c>
      <x:c r="N2503" s="50" t="n">
        <x:v>20</x:v>
      </x:c>
      <x:c r="O2503" s="50" t="n">
        <x:v>181</x:v>
      </x:c>
      <x:c r="P2503" s="50" t="n">
        <x:v>22</x:v>
      </x:c>
    </x:row>
    <x:row r="2504" ht="36" customHeight="1">
      <x:c r="A2504" s="53" t="n">
        <x:v>2485</x:v>
      </x:c>
      <x:c r="B2504" s="53" t="n">
        <x:v>2</x:v>
      </x:c>
      <x:c r="C2504" s="40" t="str">
        <x:v>Large-Basket Occasional Shoppers</x:v>
      </x:c>
      <x:c r="D2504" s="60" t="n">
        <x:v>1502.2</x:v>
      </x:c>
      <x:c r="E2504" s="50" t="n">
        <x:v>82</x:v>
      </x:c>
      <x:c r="F2504" s="46" t="n">
        <x:v>3.9047619047619047</x:v>
      </x:c>
      <x:c r="G2504" s="46" t="n">
        <x:v>5</x:v>
      </x:c>
      <x:c r="H2504" s="61" t="n">
        <x:v>18.319512195121952</x:v>
      </x:c>
      <x:c r="I2504" s="52" t="n">
        <x:v>0.8658536585365852</x:v>
      </x:c>
      <x:c r="J2504" s="52" t="n">
        <x:v>0.5025429370256956</x:v>
      </x:c>
      <x:c r="K2504" s="60" t="n">
        <x:v>1456.24</x:v>
      </x:c>
      <x:c r="L2504" s="60" t="n">
        <x:v>45.96</x:v>
      </x:c>
      <x:c r="M2504" s="50" t="n">
        <x:v>71</x:v>
      </x:c>
      <x:c r="N2504" s="50" t="n">
        <x:v>11</x:v>
      </x:c>
      <x:c r="O2504" s="50" t="n">
        <x:v>132</x:v>
      </x:c>
      <x:c r="P2504" s="50" t="n">
        <x:v>21</x:v>
      </x:c>
    </x:row>
    <x:row r="2505" ht="36" customHeight="1">
      <x:c r="A2505" s="53" t="n">
        <x:v>2486</x:v>
      </x:c>
      <x:c r="B2505" s="53" t="n">
        <x:v>1</x:v>
      </x:c>
      <x:c r="C2505" s="40" t="str">
        <x:v>High-Value Frequent Shoppers</x:v>
      </x:c>
      <x:c r="D2505" s="60" t="n">
        <x:v>3265.52</x:v>
      </x:c>
      <x:c r="E2505" s="50" t="n">
        <x:v>83</x:v>
      </x:c>
      <x:c r="F2505" s="46" t="n">
        <x:v>3.952380952380952</x:v>
      </x:c>
      <x:c r="G2505" s="46" t="n">
        <x:v>0</x:v>
      </x:c>
      <x:c r="H2505" s="61" t="n">
        <x:v>39.34361445783133</x:v>
      </x:c>
      <x:c r="I2505" s="52" t="n">
        <x:v>0.9036144578313252</x:v>
      </x:c>
      <x:c r="J2505" s="52" t="n">
        <x:v>0.6122271491217325</x:v>
      </x:c>
      <x:c r="K2505" s="60" t="n">
        <x:v>3201.74</x:v>
      </x:c>
      <x:c r="L2505" s="60" t="n">
        <x:v>63.78</x:v>
      </x:c>
      <x:c r="M2505" s="50" t="n">
        <x:v>75</x:v>
      </x:c>
      <x:c r="N2505" s="50" t="n">
        <x:v>8</x:v>
      </x:c>
      <x:c r="O2505" s="50" t="n">
        <x:v>159</x:v>
      </x:c>
      <x:c r="P2505" s="50" t="n">
        <x:v>21</x:v>
      </x:c>
    </x:row>
    <x:row r="2506" ht="36" customHeight="1">
      <x:c r="A2506" s="53" t="n">
        <x:v>2487</x:v>
      </x:c>
      <x:c r="B2506" s="53" t="n">
        <x:v>2</x:v>
      </x:c>
      <x:c r="C2506" s="40" t="str">
        <x:v>Large-Basket Occasional Shoppers</x:v>
      </x:c>
      <x:c r="D2506" s="60" t="n">
        <x:v>601.25</x:v>
      </x:c>
      <x:c r="E2506" s="50" t="n">
        <x:v>26</x:v>
      </x:c>
      <x:c r="F2506" s="46" t="n">
        <x:v>1.625</x:v>
      </x:c>
      <x:c r="G2506" s="46" t="n">
        <x:v>25</x:v>
      </x:c>
      <x:c r="H2506" s="61" t="n">
        <x:v>23.125</x:v>
      </x:c>
      <x:c r="I2506" s="52" t="n">
        <x:v>0.923076923076923</x:v>
      </x:c>
      <x:c r="J2506" s="52" t="n">
        <x:v>0.6125571725571725</x:v>
      </x:c>
      <x:c r="K2506" s="60" t="n">
        <x:v>575</x:v>
      </x:c>
      <x:c r="L2506" s="60" t="n">
        <x:v>26.25</x:v>
      </x:c>
      <x:c r="M2506" s="50" t="n">
        <x:v>24</x:v>
      </x:c>
      <x:c r="N2506" s="50" t="n">
        <x:v>2</x:v>
      </x:c>
      <x:c r="O2506" s="50" t="n">
        <x:v>84</x:v>
      </x:c>
      <x:c r="P2506" s="50" t="n">
        <x:v>16</x:v>
      </x:c>
    </x:row>
    <x:row r="2507" ht="36" customHeight="1">
      <x:c r="A2507" s="53" t="n">
        <x:v>2488</x:v>
      </x:c>
      <x:c r="B2507" s="53" t="n">
        <x:v>1</x:v>
      </x:c>
      <x:c r="C2507" s="40" t="str">
        <x:v>High-Value Frequent Shoppers</x:v>
      </x:c>
      <x:c r="D2507" s="60" t="n">
        <x:v>6327.51</x:v>
      </x:c>
      <x:c r="E2507" s="50" t="n">
        <x:v>119</x:v>
      </x:c>
      <x:c r="F2507" s="46" t="n">
        <x:v>5.409090909090909</x:v>
      </x:c>
      <x:c r="G2507" s="46" t="n">
        <x:v>7</x:v>
      </x:c>
      <x:c r="H2507" s="61" t="n">
        <x:v>53.17235294117647</x:v>
      </x:c>
      <x:c r="I2507" s="52" t="n">
        <x:v>0.9579831932773109</x:v>
      </x:c>
      <x:c r="J2507" s="52" t="n">
        <x:v>0.4866068959195639</x:v>
      </x:c>
      <x:c r="K2507" s="60" t="n">
        <x:v>6249.11</x:v>
      </x:c>
      <x:c r="L2507" s="60" t="n">
        <x:v>78.4</x:v>
      </x:c>
      <x:c r="M2507" s="50" t="n">
        <x:v>114</x:v>
      </x:c>
      <x:c r="N2507" s="50" t="n">
        <x:v>5</x:v>
      </x:c>
      <x:c r="O2507" s="50" t="n">
        <x:v>166</x:v>
      </x:c>
      <x:c r="P2507" s="50" t="n">
        <x:v>22</x:v>
      </x:c>
    </x:row>
    <x:row r="2508" ht="36" customHeight="1">
      <x:c r="A2508" s="53" t="n">
        <x:v>2489</x:v>
      </x:c>
      <x:c r="B2508" s="53" t="n">
        <x:v>1</x:v>
      </x:c>
      <x:c r="C2508" s="40" t="str">
        <x:v>High-Value Frequent Shoppers</x:v>
      </x:c>
      <x:c r="D2508" s="60" t="n">
        <x:v>9403.42</x:v>
      </x:c>
      <x:c r="E2508" s="50" t="n">
        <x:v>139</x:v>
      </x:c>
      <x:c r="F2508" s="46" t="n">
        <x:v>6.3181818181818175</x:v>
      </x:c>
      <x:c r="G2508" s="46" t="n">
        <x:v>9</x:v>
      </x:c>
      <x:c r="H2508" s="61" t="n">
        <x:v>67.65050359712231</x:v>
      </x:c>
      <x:c r="I2508" s="52" t="n">
        <x:v>0.920863309352518</x:v>
      </x:c>
      <x:c r="J2508" s="52" t="n">
        <x:v>0.568463388852141</x:v>
      </x:c>
      <x:c r="K2508" s="60" t="n">
        <x:v>9196.43</x:v>
      </x:c>
      <x:c r="L2508" s="60" t="n">
        <x:v>206.99</x:v>
      </x:c>
      <x:c r="M2508" s="50" t="n">
        <x:v>128</x:v>
      </x:c>
      <x:c r="N2508" s="50" t="n">
        <x:v>11</x:v>
      </x:c>
      <x:c r="O2508" s="50" t="n">
        <x:v>197</x:v>
      </x:c>
      <x:c r="P2508" s="50" t="n">
        <x:v>22</x:v>
      </x:c>
    </x:row>
    <x:row r="2509" ht="36" customHeight="1">
      <x:c r="A2509" s="53" t="n">
        <x:v>2490</x:v>
      </x:c>
      <x:c r="B2509" s="53" t="n">
        <x:v>3</x:v>
      </x:c>
      <x:c r="C2509" s="40" t="str">
        <x:v>Low-Value Low-Engagement Shoppers</x:v>
      </x:c>
      <x:c r="D2509" s="60" t="n">
        <x:v>699.16</x:v>
      </x:c>
      <x:c r="E2509" s="50" t="n">
        <x:v>33</x:v>
      </x:c>
      <x:c r="F2509" s="46" t="n">
        <x:v>2.0625</x:v>
      </x:c>
      <x:c r="G2509" s="46" t="n">
        <x:v>15</x:v>
      </x:c>
      <x:c r="H2509" s="61" t="n">
        <x:v>21.186666666666664</x:v>
      </x:c>
      <x:c r="I2509" s="52" t="n">
        <x:v>0.7575757575757575</x:v>
      </x:c>
      <x:c r="J2509" s="52" t="n">
        <x:v>0.5129011957205789</x:v>
      </x:c>
      <x:c r="K2509" s="60" t="n">
        <x:v>652.68</x:v>
      </x:c>
      <x:c r="L2509" s="60" t="n">
        <x:v>46.48</x:v>
      </x:c>
      <x:c r="M2509" s="50" t="n">
        <x:v>25</x:v>
      </x:c>
      <x:c r="N2509" s="50" t="n">
        <x:v>8</x:v>
      </x:c>
      <x:c r="O2509" s="50" t="n">
        <x:v>98</x:v>
      </x:c>
      <x:c r="P2509" s="50" t="n">
        <x:v>16</x:v>
      </x:c>
    </x:row>
    <x:row r="2510" ht="36" customHeight="1">
      <x:c r="A2510" s="53" t="n">
        <x:v>2491</x:v>
      </x:c>
      <x:c r="B2510" s="53" t="n">
        <x:v>3</x:v>
      </x:c>
      <x:c r="C2510" s="40" t="str">
        <x:v>Low-Value Low-Engagement Shoppers</x:v>
      </x:c>
      <x:c r="D2510" s="60" t="n">
        <x:v>950.77</x:v>
      </x:c>
      <x:c r="E2510" s="50" t="n">
        <x:v>60</x:v>
      </x:c>
      <x:c r="F2510" s="46" t="n">
        <x:v>4</x:v>
      </x:c>
      <x:c r="G2510" s="46" t="n">
        <x:v>141</x:v>
      </x:c>
      <x:c r="H2510" s="61" t="n">
        <x:v>15.846166666666663</x:v>
      </x:c>
      <x:c r="I2510" s="52" t="n">
        <x:v>0.7333333333333333</x:v>
      </x:c>
      <x:c r="J2510" s="52" t="n">
        <x:v>0.5155505537616878</x:v>
      </x:c>
      <x:c r="K2510" s="60" t="n">
        <x:v>871.99</x:v>
      </x:c>
      <x:c r="L2510" s="60" t="n">
        <x:v>78.78</x:v>
      </x:c>
      <x:c r="M2510" s="50" t="n">
        <x:v>44</x:v>
      </x:c>
      <x:c r="N2510" s="50" t="n">
        <x:v>16</x:v>
      </x:c>
      <x:c r="O2510" s="50" t="n">
        <x:v>68</x:v>
      </x:c>
      <x:c r="P2510" s="50" t="n">
        <x:v>15</x:v>
      </x:c>
    </x:row>
    <x:row r="2511" ht="36" customHeight="1">
      <x:c r="A2511" s="53" t="n">
        <x:v>2492</x:v>
      </x:c>
      <x:c r="B2511" s="53" t="n">
        <x:v>1</x:v>
      </x:c>
      <x:c r="C2511" s="40" t="str">
        <x:v>High-Value Frequent Shoppers</x:v>
      </x:c>
      <x:c r="D2511" s="60" t="n">
        <x:v>2858.85</x:v>
      </x:c>
      <x:c r="E2511" s="50" t="n">
        <x:v>133</x:v>
      </x:c>
      <x:c r="F2511" s="46" t="n">
        <x:v>5.782608695652174</x:v>
      </x:c>
      <x:c r="G2511" s="46" t="n">
        <x:v>1</x:v>
      </x:c>
      <x:c r="H2511" s="61" t="n">
        <x:v>21.495112781954887</x:v>
      </x:c>
      <x:c r="I2511" s="52" t="n">
        <x:v>0.6917293233082706</x:v>
      </x:c>
      <x:c r="J2511" s="52" t="n">
        <x:v>0.4693040908057435</x:v>
      </x:c>
      <x:c r="K2511" s="60" t="n">
        <x:v>2559.45</x:v>
      </x:c>
      <x:c r="L2511" s="60" t="n">
        <x:v>299.4</x:v>
      </x:c>
      <x:c r="M2511" s="50" t="n">
        <x:v>92</x:v>
      </x:c>
      <x:c r="N2511" s="50" t="n">
        <x:v>41</x:v>
      </x:c>
      <x:c r="O2511" s="50" t="n">
        <x:v>125</x:v>
      </x:c>
      <x:c r="P2511" s="50" t="n">
        <x:v>23</x:v>
      </x:c>
    </x:row>
    <x:row r="2512" ht="36" customHeight="1">
      <x:c r="A2512" s="53" t="n">
        <x:v>2493</x:v>
      </x:c>
      <x:c r="B2512" s="53" t="n">
        <x:v>2</x:v>
      </x:c>
      <x:c r="C2512" s="40" t="str">
        <x:v>Large-Basket Occasional Shoppers</x:v>
      </x:c>
      <x:c r="D2512" s="60" t="n">
        <x:v>2588.73</x:v>
      </x:c>
      <x:c r="E2512" s="50" t="n">
        <x:v>111</x:v>
      </x:c>
      <x:c r="F2512" s="46" t="n">
        <x:v>6.529411764705881</x:v>
      </x:c>
      <x:c r="G2512" s="46" t="n">
        <x:v>168</x:v>
      </x:c>
      <x:c r="H2512" s="61" t="n">
        <x:v>23.321891891891887</x:v>
      </x:c>
      <x:c r="I2512" s="52" t="n">
        <x:v>0.8648648648648648</x:v>
      </x:c>
      <x:c r="J2512" s="52" t="n">
        <x:v>0.471949566003407</x:v>
      </x:c>
      <x:c r="K2512" s="60" t="n">
        <x:v>2453.15</x:v>
      </x:c>
      <x:c r="L2512" s="60" t="n">
        <x:v>135.58</x:v>
      </x:c>
      <x:c r="M2512" s="50" t="n">
        <x:v>96</x:v>
      </x:c>
      <x:c r="N2512" s="50" t="n">
        <x:v>15</x:v>
      </x:c>
      <x:c r="O2512" s="50" t="n">
        <x:v>107</x:v>
      </x:c>
      <x:c r="P2512" s="50" t="n">
        <x:v>17</x:v>
      </x:c>
    </x:row>
    <x:row r="2513" ht="36" customHeight="1">
      <x:c r="A2513" s="53" t="n">
        <x:v>2494</x:v>
      </x:c>
      <x:c r="B2513" s="53" t="n">
        <x:v>2</x:v>
      </x:c>
      <x:c r="C2513" s="40" t="str">
        <x:v>Large-Basket Occasional Shoppers</x:v>
      </x:c>
      <x:c r="D2513" s="60" t="n">
        <x:v>2120.93</x:v>
      </x:c>
      <x:c r="E2513" s="50" t="n">
        <x:v>35</x:v>
      </x:c>
      <x:c r="F2513" s="46" t="n">
        <x:v>2.1875</x:v>
      </x:c>
      <x:c r="G2513" s="46" t="n">
        <x:v>9</x:v>
      </x:c>
      <x:c r="H2513" s="61" t="n">
        <x:v>60.598</x:v>
      </x:c>
      <x:c r="I2513" s="52" t="n">
        <x:v>1</x:v>
      </x:c>
      <x:c r="J2513" s="52" t="n">
        <x:v>0.5801888794066753</x:v>
      </x:c>
      <x:c r="K2513" s="60" t="n">
        <x:v>2120.93</x:v>
      </x:c>
      <x:c r="L2513" s="60" t="n">
        <x:v>0</x:v>
      </x:c>
      <x:c r="M2513" s="50" t="n">
        <x:v>35</x:v>
      </x:c>
      <x:c r="N2513" s="50" t="n">
        <x:v>0</x:v>
      </x:c>
      <x:c r="O2513" s="50" t="n">
        <x:v>136</x:v>
      </x:c>
      <x:c r="P2513" s="50" t="n">
        <x:v>16</x:v>
      </x:c>
    </x:row>
    <x:row r="2514" ht="36" customHeight="1">
      <x:c r="A2514" s="53" t="n">
        <x:v>2495</x:v>
      </x:c>
      <x:c r="B2514" s="53" t="n">
        <x:v>3</x:v>
      </x:c>
      <x:c r="C2514" s="40" t="str">
        <x:v>Low-Value Low-Engagement Shoppers</x:v>
      </x:c>
      <x:c r="D2514" s="60" t="n">
        <x:v>209</x:v>
      </x:c>
      <x:c r="E2514" s="50" t="n">
        <x:v>20</x:v>
      </x:c>
      <x:c r="F2514" s="46" t="n">
        <x:v>2.8571428571428568</x:v>
      </x:c>
      <x:c r="G2514" s="46" t="n">
        <x:v>67</x:v>
      </x:c>
      <x:c r="H2514" s="61" t="n">
        <x:v>10.45</x:v>
      </x:c>
      <x:c r="I2514" s="52" t="n">
        <x:v>0.65</x:v>
      </x:c>
      <x:c r="J2514" s="52" t="n">
        <x:v>0.5142105263157895</x:v>
      </x:c>
      <x:c r="K2514" s="60" t="n">
        <x:v>164.95</x:v>
      </x:c>
      <x:c r="L2514" s="60" t="n">
        <x:v>44.05</x:v>
      </x:c>
      <x:c r="M2514" s="50" t="n">
        <x:v>13</x:v>
      </x:c>
      <x:c r="N2514" s="50" t="n">
        <x:v>7</x:v>
      </x:c>
      <x:c r="O2514" s="50" t="n">
        <x:v>36</x:v>
      </x:c>
      <x:c r="P2514" s="50" t="n">
        <x:v>7</x:v>
      </x:c>
    </x:row>
    <x:row r="2515" ht="36" customHeight="1">
      <x:c r="A2515" s="53" t="n">
        <x:v>2496</x:v>
      </x:c>
      <x:c r="B2515" s="53" t="n">
        <x:v>2</x:v>
      </x:c>
      <x:c r="C2515" s="40" t="str">
        <x:v>Large-Basket Occasional Shoppers</x:v>
      </x:c>
      <x:c r="D2515" s="60" t="n">
        <x:v>4339.66</x:v>
      </x:c>
      <x:c r="E2515" s="50" t="n">
        <x:v>63</x:v>
      </x:c>
      <x:c r="F2515" s="46" t="n">
        <x:v>3.15</x:v>
      </x:c>
      <x:c r="G2515" s="46" t="n">
        <x:v>28</x:v>
      </x:c>
      <x:c r="H2515" s="61" t="n">
        <x:v>68.88349206349207</x:v>
      </x:c>
      <x:c r="I2515" s="52" t="n">
        <x:v>0.9523809523809524</x:v>
      </x:c>
      <x:c r="J2515" s="52" t="n">
        <x:v>0.6156496131033306</x:v>
      </x:c>
      <x:c r="K2515" s="60" t="n">
        <x:v>4271.89</x:v>
      </x:c>
      <x:c r="L2515" s="60" t="n">
        <x:v>67.77</x:v>
      </x:c>
      <x:c r="M2515" s="50" t="n">
        <x:v>60</x:v>
      </x:c>
      <x:c r="N2515" s="50" t="n">
        <x:v>3</x:v>
      </x:c>
      <x:c r="O2515" s="50" t="n">
        <x:v>139</x:v>
      </x:c>
      <x:c r="P2515" s="50" t="n">
        <x:v>20</x:v>
      </x:c>
    </x:row>
    <x:row r="2516" ht="36" customHeight="1">
      <x:c r="A2516" s="53" t="n">
        <x:v>2497</x:v>
      </x:c>
      <x:c r="B2516" s="53" t="n">
        <x:v>1</x:v>
      </x:c>
      <x:c r="C2516" s="40" t="str">
        <x:v>High-Value Frequent Shoppers</x:v>
      </x:c>
      <x:c r="D2516" s="60" t="n">
        <x:v>7111.98</x:v>
      </x:c>
      <x:c r="E2516" s="50" t="n">
        <x:v>221</x:v>
      </x:c>
      <x:c r="F2516" s="46" t="n">
        <x:v>10.523809523809524</x:v>
      </x:c>
      <x:c r="G2516" s="46" t="n">
        <x:v>11</x:v>
      </x:c>
      <x:c r="H2516" s="61" t="n">
        <x:v>32.18090497737556</x:v>
      </x:c>
      <x:c r="I2516" s="52" t="n">
        <x:v>0.8461538461538461</x:v>
      </x:c>
      <x:c r="J2516" s="52" t="n">
        <x:v>0.5078824743601641</x:v>
      </x:c>
      <x:c r="K2516" s="60" t="n">
        <x:v>6814.16</x:v>
      </x:c>
      <x:c r="L2516" s="60" t="n">
        <x:v>297.82</x:v>
      </x:c>
      <x:c r="M2516" s="50" t="n">
        <x:v>187</x:v>
      </x:c>
      <x:c r="N2516" s="50" t="n">
        <x:v>34</x:v>
      </x:c>
      <x:c r="O2516" s="50" t="n">
        <x:v>177</x:v>
      </x:c>
      <x:c r="P2516" s="50" t="n">
        <x:v>21</x:v>
      </x:c>
    </x:row>
    <x:row r="2517" ht="36" customHeight="1">
      <x:c r="A2517" s="53" t="n">
        <x:v>2498</x:v>
      </x:c>
      <x:c r="B2517" s="53" t="n">
        <x:v>1</x:v>
      </x:c>
      <x:c r="C2517" s="40" t="str">
        <x:v>High-Value Frequent Shoppers</x:v>
      </x:c>
      <x:c r="D2517" s="60" t="n">
        <x:v>2601.6</x:v>
      </x:c>
      <x:c r="E2517" s="50" t="n">
        <x:v>172</x:v>
      </x:c>
      <x:c r="F2517" s="46" t="n">
        <x:v>8.6</x:v>
      </x:c>
      <x:c r="G2517" s="46" t="n">
        <x:v>1</x:v>
      </x:c>
      <x:c r="H2517" s="61" t="n">
        <x:v>15.125581395348837</x:v>
      </x:c>
      <x:c r="I2517" s="52" t="n">
        <x:v>0.7209302325581395</x:v>
      </x:c>
      <x:c r="J2517" s="52" t="n">
        <x:v>0.3934386531365313</x:v>
      </x:c>
      <x:c r="K2517" s="60" t="n">
        <x:v>2198.96</x:v>
      </x:c>
      <x:c r="L2517" s="60" t="n">
        <x:v>402.64</x:v>
      </x:c>
      <x:c r="M2517" s="50" t="n">
        <x:v>124</x:v>
      </x:c>
      <x:c r="N2517" s="50" t="n">
        <x:v>48</x:v>
      </x:c>
      <x:c r="O2517" s="50" t="n">
        <x:v>133</x:v>
      </x:c>
      <x:c r="P2517" s="50" t="n">
        <x:v>20</x:v>
      </x:c>
    </x:row>
    <x:row r="2518" ht="36" customHeight="1">
      <x:c r="A2518" s="53" t="n">
        <x:v>2499</x:v>
      </x:c>
      <x:c r="B2518" s="53" t="n">
        <x:v>1</x:v>
      </x:c>
      <x:c r="C2518" s="40" t="str">
        <x:v>High-Value Frequent Shoppers</x:v>
      </x:c>
      <x:c r="D2518" s="60" t="n">
        <x:v>3394.07</x:v>
      </x:c>
      <x:c r="E2518" s="50" t="n">
        <x:v>90</x:v>
      </x:c>
      <x:c r="F2518" s="46" t="n">
        <x:v>4.090909090909091</x:v>
      </x:c>
      <x:c r="G2518" s="46" t="n">
        <x:v>2</x:v>
      </x:c>
      <x:c r="H2518" s="61" t="n">
        <x:v>37.711888888888886</x:v>
      </x:c>
      <x:c r="I2518" s="52" t="n">
        <x:v>0.8222222222222222</x:v>
      </x:c>
      <x:c r="J2518" s="52" t="n">
        <x:v>0.5230387116352933</x:v>
      </x:c>
      <x:c r="K2518" s="60" t="n">
        <x:v>3207.8</x:v>
      </x:c>
      <x:c r="L2518" s="60" t="n">
        <x:v>186.27</x:v>
      </x:c>
      <x:c r="M2518" s="50" t="n">
        <x:v>74</x:v>
      </x:c>
      <x:c r="N2518" s="50" t="n">
        <x:v>16</x:v>
      </x:c>
      <x:c r="O2518" s="50" t="n">
        <x:v>142</x:v>
      </x:c>
      <x:c r="P2518" s="50" t="n">
        <x:v>22</x:v>
      </x:c>
    </x:row>
    <x:row r="2519" ht="36" customHeight="1">
      <x:c r="A2519" s="53" t="n">
        <x:v>2500</x:v>
      </x:c>
      <x:c r="B2519" s="53" t="n">
        <x:v>1</x:v>
      </x:c>
      <x:c r="C2519" s="40" t="str">
        <x:v>High-Value Frequent Shoppers</x:v>
      </x:c>
      <x:c r="D2519" s="60" t="n">
        <x:v>5486.16</x:v>
      </x:c>
      <x:c r="E2519" s="50" t="n">
        <x:v>113</x:v>
      </x:c>
      <x:c r="F2519" s="46" t="n">
        <x:v>5.136363636363637</x:v>
      </x:c>
      <x:c r="G2519" s="46" t="n">
        <x:v>3</x:v>
      </x:c>
      <x:c r="H2519" s="61" t="n">
        <x:v>48.55008849557522</x:v>
      </x:c>
      <x:c r="I2519" s="52" t="n">
        <x:v>0.9557522123893804</x:v>
      </x:c>
      <x:c r="J2519" s="52" t="n">
        <x:v>0.6032580165361564</x:v>
      </x:c>
      <x:c r="K2519" s="60" t="n">
        <x:v>5434.45</x:v>
      </x:c>
      <x:c r="L2519" s="60" t="n">
        <x:v>51.71</x:v>
      </x:c>
      <x:c r="M2519" s="50" t="n">
        <x:v>108</x:v>
      </x:c>
      <x:c r="N2519" s="50" t="n">
        <x:v>5</x:v>
      </x:c>
      <x:c r="O2519" s="50" t="n">
        <x:v>173</x:v>
      </x:c>
      <x:c r="P2519" s="50" t="n">
        <x:v>22</x:v>
      </x:c>
    </x:row>
  </x:sheetData>
  <x:mergeCells>
    <x:mergeCell ref="A1:K2"/>
    <x:mergeCell ref="A3:K4"/>
    <x:mergeCell ref="A17:K18"/>
  </x:mergeCells>
  <x:conditionalFormatting sqref="K7:K9">
    <x:cfRule type="containsText" dxfId="2" priority="1" operator="containsText" text="PASS"/>
    <x:cfRule type="containsText" dxfId="3" priority="2" operator="containsText" text="FAIL"/>
  </x:conditionalFormatting>
  <x:conditionalFormatting sqref="F13:F15">
    <x:cfRule type="containsText" dxfId="4" priority="3" operator="containsText" text="PASS"/>
    <x:cfRule type="containsText" dxfId="5" priority="4" operator="containsText" text="FAIL"/>
  </x:conditionalFormatting>
  <x:conditionalFormatting sqref="I13:I15">
    <x:cfRule type="containsText" dxfId="6" priority="5" operator="containsText" text="PASS"/>
    <x:cfRule type="containsText" dxfId="7" priority="6" operator="containsText" text="FAIL"/>
  </x:conditionalFormatting>
  <x:conditionalFormatting sqref="K13:K15">
    <x:cfRule type="containsText" dxfId="8" priority="7" operator="containsText" text="PASS"/>
    <x:cfRule type="containsText" dxfId="9" priority="8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75B74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5" hidden="0" customWidth="1"/>
    <x:col min="2" max="2" width="23" hidden="0" customWidth="1"/>
    <x:col min="3" max="3" width="23" hidden="0" customWidth="1"/>
    <x:col min="4" max="4" width="20" hidden="0" customWidth="1"/>
    <x:col min="5" max="5" width="20" hidden="0" customWidth="1"/>
    <x:col min="6" max="6" width="15" hidden="0" customWidth="1"/>
  </x:cols>
  <x:sheetData>
    <x:row r="1" ht="28" customHeight="1">
      <x:c r="A1" s="55" t="str">
        <x:v>Category reconciliation</x:v>
      </x:c>
      <x:c r="B1" s="54"/>
      <x:c r="C1" s="54"/>
      <x:c r="D1" s="54"/>
      <x:c r="E1" s="54"/>
      <x:c r="F1" s="54"/>
    </x:row>
    <x:row r="2" ht="28" customHeight="1">
      <x:c r="A2" s="54"/>
      <x:c r="B2" s="54"/>
      <x:c r="C2" s="54"/>
      <x:c r="D2" s="54"/>
      <x:c r="E2" s="54"/>
      <x:c r="F2" s="54"/>
    </x:row>
    <x:row r="3" ht="25" customHeight="1">
      <x:c r="A3" s="56" t="str">
        <x:v>All 307 categories reconcile to the full dataset. Merchandise charts alone exclude COUPON/MISC ITEMS and (CORP USE ONLY).</x:v>
      </x:c>
      <x:c r="B3" s="34"/>
      <x:c r="C3" s="34"/>
      <x:c r="D3" s="34"/>
      <x:c r="E3" s="34"/>
      <x:c r="F3" s="34"/>
    </x:row>
    <x:row r="4" ht="25" customHeight="1">
      <x:c r="A4" s="34"/>
      <x:c r="B4" s="34"/>
      <x:c r="C4" s="34"/>
      <x:c r="D4" s="34"/>
      <x:c r="E4" s="34"/>
      <x:c r="F4" s="34"/>
    </x:row>
    <x:row r="5" ht="28" customHeight="1">
      <x:c r="A5" s="40"/>
      <x:c r="B5" s="40"/>
      <x:c r="C5" s="40"/>
      <x:c r="D5" s="40"/>
      <x:c r="E5" s="40"/>
      <x:c r="F5" s="40"/>
    </x:row>
    <x:row r="6" ht="42" customHeight="1">
      <x:c r="A6" s="58" t="str">
        <x:v>Category</x:v>
      </x:c>
      <x:c r="B6" s="58" t="str">
        <x:v>Excel sales</x:v>
      </x:c>
      <x:c r="C6" s="58" t="str">
        <x:v>Source control</x:v>
      </x:c>
      <x:c r="D6" s="58" t="str">
        <x:v>Difference</x:v>
      </x:c>
      <x:c r="E6" s="58" t="str">
        <x:v>Tolerance</x:v>
      </x:c>
      <x:c r="F6" s="58" t="str">
        <x:v>Status</x:v>
      </x:c>
    </x:row>
    <x:row r="7" ht="28" customHeight="1">
      <x:c r="A7" s="40" t="str">
        <x:v>ALL CATEGORIES</x:v>
      </x:c>
      <x:c r="B7" s="45" t="n">
        <x:f>SUM(B23:B329)</x:f>
        <x:v>8057443.800000001</x:v>
      </x:c>
      <x:c r="C7" s="46" t="n">
        <x:v>8057443.8</x:v>
      </x:c>
      <x:c r="D7" s="45" t="n">
        <x:f>B7-C7</x:f>
        <x:v>9.313225746154785e-10</x:v>
      </x:c>
      <x:c r="E7" s="46" t="n">
        <x:v>0.01</x:v>
      </x:c>
      <x:c r="F7" s="48" t="str">
        <x:f>IF(ABS(D7)&lt;=E7,"PASS","FAIL")</x:f>
        <x:v>PASS</x:v>
      </x:c>
    </x:row>
    <x:row r="8" ht="28" customHeight="1">
      <x:c r="A8" s="40" t="str">
        <x:v>SOFT DRINKS</x:v>
      </x:c>
      <x:c r="B8" s="45" t="n">
        <x:f>SUMIFS($B$23:$B$329,$A$23:$A$329,A8)</x:f>
        <x:v>327645.21</x:v>
      </x:c>
      <x:c r="C8" s="46" t="n">
        <x:v>327645.21</x:v>
      </x:c>
      <x:c r="D8" s="45" t="n">
        <x:f>B8-C8</x:f>
        <x:v>0</x:v>
      </x:c>
      <x:c r="E8" s="46" t="n">
        <x:v>0.01</x:v>
      </x:c>
      <x:c r="F8" s="48" t="str">
        <x:f>IF(ABS(D8)&lt;=E8,"PASS","FAIL")</x:f>
        <x:v>PASS</x:v>
      </x:c>
    </x:row>
    <x:row r="9" ht="28" customHeight="1">
      <x:c r="A9" s="40" t="str">
        <x:v>BEEF</x:v>
      </x:c>
      <x:c r="B9" s="45" t="n">
        <x:f>SUMIFS($B$23:$B$329,$A$23:$A$329,A9)</x:f>
        <x:v>312103.22</x:v>
      </x:c>
      <x:c r="C9" s="46" t="n">
        <x:v>312103.22</x:v>
      </x:c>
      <x:c r="D9" s="45" t="n">
        <x:f>B9-C9</x:f>
        <x:v>0</x:v>
      </x:c>
      <x:c r="E9" s="46" t="n">
        <x:v>0.01</x:v>
      </x:c>
      <x:c r="F9" s="48" t="str">
        <x:f>IF(ABS(D9)&lt;=E9,"PASS","FAIL")</x:f>
        <x:v>PASS</x:v>
      </x:c>
    </x:row>
    <x:row r="10" ht="28" customHeight="1">
      <x:c r="A10" s="40" t="str">
        <x:v>FLUID MILK PRODUCTS</x:v>
      </x:c>
      <x:c r="B10" s="45" t="n">
        <x:f>SUMIFS($B$23:$B$329,$A$23:$A$329,A10)</x:f>
        <x:v>205356.05</x:v>
      </x:c>
      <x:c r="C10" s="46" t="n">
        <x:v>205356.05</x:v>
      </x:c>
      <x:c r="D10" s="45" t="n">
        <x:f>B10-C10</x:f>
        <x:v>0</x:v>
      </x:c>
      <x:c r="E10" s="46" t="n">
        <x:v>0.01</x:v>
      </x:c>
      <x:c r="F10" s="48" t="str">
        <x:f>IF(ABS(D10)&lt;=E10,"PASS","FAIL")</x:f>
        <x:v>PASS</x:v>
      </x:c>
    </x:row>
    <x:row r="11" ht="28" customHeight="1">
      <x:c r="A11" s="40" t="str">
        <x:v>CHEESE</x:v>
      </x:c>
      <x:c r="B11" s="45" t="n">
        <x:f>SUMIFS($B$23:$B$329,$A$23:$A$329,A11)</x:f>
        <x:v>189528.18</x:v>
      </x:c>
      <x:c r="C11" s="46" t="n">
        <x:v>189528.18</x:v>
      </x:c>
      <x:c r="D11" s="45" t="n">
        <x:f>B11-C11</x:f>
        <x:v>0</x:v>
      </x:c>
      <x:c r="E11" s="46" t="n">
        <x:v>0.01</x:v>
      </x:c>
      <x:c r="F11" s="48" t="str">
        <x:f>IF(ABS(D11)&lt;=E11,"PASS","FAIL")</x:f>
        <x:v>PASS</x:v>
      </x:c>
    </x:row>
    <x:row r="12" ht="28" customHeight="1">
      <x:c r="A12" s="40" t="str">
        <x:v>FRZN MEAT/MEAT DINNERS</x:v>
      </x:c>
      <x:c r="B12" s="45" t="n">
        <x:f>SUMIFS($B$23:$B$329,$A$23:$A$329,A12)</x:f>
        <x:v>160517.17</x:v>
      </x:c>
      <x:c r="C12" s="46" t="n">
        <x:v>160517.17</x:v>
      </x:c>
      <x:c r="D12" s="45" t="n">
        <x:f>B12-C12</x:f>
        <x:v>0</x:v>
      </x:c>
      <x:c r="E12" s="46" t="n">
        <x:v>0.01</x:v>
      </x:c>
      <x:c r="F12" s="48" t="str">
        <x:f>IF(ABS(D12)&lt;=E12,"PASS","FAIL")</x:f>
        <x:v>PASS</x:v>
      </x:c>
    </x:row>
    <x:row r="13" ht="28" customHeight="1">
      <x:c r="A13" s="40" t="str">
        <x:v>BAG SNACKS</x:v>
      </x:c>
      <x:c r="B13" s="45" t="n">
        <x:f>SUMIFS($B$23:$B$329,$A$23:$A$329,A13)</x:f>
        <x:v>148375.16</x:v>
      </x:c>
      <x:c r="C13" s="46" t="n">
        <x:v>148375.16</x:v>
      </x:c>
      <x:c r="D13" s="45" t="n">
        <x:f>B13-C13</x:f>
        <x:v>0</x:v>
      </x:c>
      <x:c r="E13" s="46" t="n">
        <x:v>0.01</x:v>
      </x:c>
      <x:c r="F13" s="48" t="str">
        <x:f>IF(ABS(D13)&lt;=E13,"PASS","FAIL")</x:f>
        <x:v>PASS</x:v>
      </x:c>
    </x:row>
    <x:row r="14" ht="28" customHeight="1">
      <x:c r="A14" s="40" t="str">
        <x:v>BEERS/ALES</x:v>
      </x:c>
      <x:c r="B14" s="45" t="n">
        <x:f>SUMIFS($B$23:$B$329,$A$23:$A$329,A14)</x:f>
        <x:v>147344.45</x:v>
      </x:c>
      <x:c r="C14" s="46" t="n">
        <x:v>147344.45</x:v>
      </x:c>
      <x:c r="D14" s="45" t="n">
        <x:f>B14-C14</x:f>
        <x:v>0</x:v>
      </x:c>
      <x:c r="E14" s="46" t="n">
        <x:v>0.01</x:v>
      </x:c>
      <x:c r="F14" s="48" t="str">
        <x:f>IF(ABS(D14)&lt;=E14,"PASS","FAIL")</x:f>
        <x:v>PASS</x:v>
      </x:c>
    </x:row>
    <x:row r="15" ht="28" customHeight="1">
      <x:c r="A15" s="40" t="str">
        <x:v>FROZEN PIZZA</x:v>
      </x:c>
      <x:c r="B15" s="45" t="n">
        <x:f>SUMIFS($B$23:$B$329,$A$23:$A$329,A15)</x:f>
        <x:v>146037.25</x:v>
      </x:c>
      <x:c r="C15" s="46" t="n">
        <x:v>146037.25</x:v>
      </x:c>
      <x:c r="D15" s="45" t="n">
        <x:f>B15-C15</x:f>
        <x:v>0</x:v>
      </x:c>
      <x:c r="E15" s="46" t="n">
        <x:v>0.01</x:v>
      </x:c>
      <x:c r="F15" s="48" t="str">
        <x:f>IF(ABS(D15)&lt;=E15,"PASS","FAIL")</x:f>
        <x:v>PASS</x:v>
      </x:c>
    </x:row>
    <x:row r="16" ht="28" customHeight="1">
      <x:c r="A16" s="40"/>
      <x:c r="B16" s="40"/>
      <x:c r="C16" s="40"/>
      <x:c r="D16" s="40"/>
      <x:c r="E16" s="40"/>
      <x:c r="F16" s="40"/>
    </x:row>
    <x:row r="17" ht="24" customHeight="1">
      <x:c r="A17" s="59" t="str">
        <x:v>Category inputs aggregate the supplied 286,548 customer-category rows independently in Python. Category analysis covers the complete history because this fact table has no month key.</x:v>
      </x:c>
      <x:c r="B17" s="40"/>
      <x:c r="C17" s="40"/>
      <x:c r="D17" s="40"/>
      <x:c r="E17" s="40"/>
      <x:c r="F17" s="40"/>
    </x:row>
    <x:row r="18" ht="24" customHeight="1">
      <x:c r="A18" s="40"/>
      <x:c r="B18" s="40"/>
      <x:c r="C18" s="40"/>
      <x:c r="D18" s="40"/>
      <x:c r="E18" s="40"/>
      <x:c r="F18" s="40"/>
    </x:row>
    <x:row r="19" ht="24" customHeight="1">
      <x:c r="A19" s="40"/>
      <x:c r="B19" s="40"/>
      <x:c r="C19" s="40"/>
      <x:c r="D19" s="40"/>
      <x:c r="E19" s="40"/>
      <x:c r="F19" s="40"/>
    </x:row>
    <x:row r="20" ht="24" customHeight="1">
      <x:c r="A20" s="40"/>
      <x:c r="B20" s="40"/>
      <x:c r="C20" s="40"/>
      <x:c r="D20" s="40"/>
      <x:c r="E20" s="40"/>
      <x:c r="F20" s="40"/>
    </x:row>
    <x:row r="21" ht="28" customHeight="1">
      <x:c r="A21" s="40"/>
      <x:c r="B21" s="40"/>
      <x:c r="C21" s="40"/>
      <x:c r="D21" s="40"/>
      <x:c r="E21" s="40"/>
      <x:c r="F21" s="40"/>
    </x:row>
    <x:row r="22" ht="42" customHeight="1">
      <x:c r="A22" s="58" t="str">
        <x:v>Category</x:v>
      </x:c>
      <x:c r="B22" s="58" t="str">
        <x:v>Retailer sales</x:v>
      </x:c>
      <x:c r="C22" s="58" t="str">
        <x:v>Promoted-line sales</x:v>
      </x:c>
      <x:c r="D22" s="58" t="str">
        <x:v>Promo line share</x:v>
      </x:c>
      <x:c r="E22" s="58" t="str">
        <x:v>Merchandise?</x:v>
      </x:c>
      <x:c r="F22" s="58" t="str"/>
    </x:row>
    <x:row r="23" ht="28" customHeight="1">
      <x:c r="A23" s="40" t="str">
        <x:v>COUPON/MISC ITEMS</x:v>
      </x:c>
      <x:c r="B23" s="46" t="n">
        <x:v>639878.46</x:v>
      </x:c>
      <x:c r="C23" s="46" t="n">
        <x:v>603858.78</x:v>
      </x:c>
      <x:c r="D23" s="51" t="n">
        <x:f>IF(B23=0,"n.a.",C23/B23)</x:f>
        <x:v>0.9437085599037043</x:v>
      </x:c>
      <x:c r="E23" s="48" t="str">
        <x:f>IF(OR(A23="COUPON/MISC ITEMS",A23="(CORP USE ONLY)"),"Excluded","Included")</x:f>
        <x:v>Excluded</x:v>
      </x:c>
      <x:c r="F23" s="40"/>
    </x:row>
    <x:row r="24" ht="28" customHeight="1">
      <x:c r="A24" s="40" t="str">
        <x:v>SOFT DRINKS</x:v>
      </x:c>
      <x:c r="B24" s="46" t="n">
        <x:v>327645.21</x:v>
      </x:c>
      <x:c r="C24" s="46" t="n">
        <x:v>222453.16</x:v>
      </x:c>
      <x:c r="D24" s="51" t="n">
        <x:f>IF(B24=0,"n.a.",C24/B24)</x:f>
        <x:v>0.678945253007056</x:v>
      </x:c>
      <x:c r="E24" s="48" t="str">
        <x:f>IF(OR(A24="COUPON/MISC ITEMS",A24="(CORP USE ONLY)"),"Excluded","Included")</x:f>
        <x:v>Included</x:v>
      </x:c>
      <x:c r="F24" s="40"/>
    </x:row>
    <x:row r="25" ht="28" customHeight="1">
      <x:c r="A25" s="40" t="str">
        <x:v>BEEF</x:v>
      </x:c>
      <x:c r="B25" s="46" t="n">
        <x:v>312103.22</x:v>
      </x:c>
      <x:c r="C25" s="46" t="n">
        <x:v>153410.75</x:v>
      </x:c>
      <x:c r="D25" s="51" t="n">
        <x:f>IF(B25=0,"n.a.",C25/B25)</x:f>
        <x:v>0.49153850447297537</x:v>
      </x:c>
      <x:c r="E25" s="48" t="str">
        <x:f>IF(OR(A25="COUPON/MISC ITEMS",A25="(CORP USE ONLY)"),"Excluded","Included")</x:f>
        <x:v>Included</x:v>
      </x:c>
      <x:c r="F25" s="40"/>
    </x:row>
    <x:row r="26" ht="28" customHeight="1">
      <x:c r="A26" s="40" t="str">
        <x:v>FLUID MILK PRODUCTS</x:v>
      </x:c>
      <x:c r="B26" s="46" t="n">
        <x:v>205356.05</x:v>
      </x:c>
      <x:c r="C26" s="46" t="n">
        <x:v>90936.36</x:v>
      </x:c>
      <x:c r="D26" s="51" t="n">
        <x:f>IF(B26=0,"n.a.",C26/B26)</x:f>
        <x:v>0.4428228922400874</x:v>
      </x:c>
      <x:c r="E26" s="48" t="str">
        <x:f>IF(OR(A26="COUPON/MISC ITEMS",A26="(CORP USE ONLY)"),"Excluded","Included")</x:f>
        <x:v>Included</x:v>
      </x:c>
      <x:c r="F26" s="40"/>
    </x:row>
    <x:row r="27" ht="28" customHeight="1">
      <x:c r="A27" s="40" t="str">
        <x:v>CHEESE</x:v>
      </x:c>
      <x:c r="B27" s="46" t="n">
        <x:v>189528.18</x:v>
      </x:c>
      <x:c r="C27" s="46" t="n">
        <x:v>142241.17</x:v>
      </x:c>
      <x:c r="D27" s="51" t="n">
        <x:f>IF(B27=0,"n.a.",C27/B27)</x:f>
        <x:v>0.750501429391661</x:v>
      </x:c>
      <x:c r="E27" s="48" t="str">
        <x:f>IF(OR(A27="COUPON/MISC ITEMS",A27="(CORP USE ONLY)"),"Excluded","Included")</x:f>
        <x:v>Included</x:v>
      </x:c>
      <x:c r="F27" s="40"/>
    </x:row>
    <x:row r="28" ht="28" customHeight="1">
      <x:c r="A28" s="40" t="str">
        <x:v>FRZN MEAT/MEAT DINNERS</x:v>
      </x:c>
      <x:c r="B28" s="46" t="n">
        <x:v>160517.17</x:v>
      </x:c>
      <x:c r="C28" s="46" t="n">
        <x:v>118565.95</x:v>
      </x:c>
      <x:c r="D28" s="51" t="n">
        <x:f>IF(B28=0,"n.a.",C28/B28)</x:f>
        <x:v>0.7386496410321711</x:v>
      </x:c>
      <x:c r="E28" s="48" t="str">
        <x:f>IF(OR(A28="COUPON/MISC ITEMS",A28="(CORP USE ONLY)"),"Excluded","Included")</x:f>
        <x:v>Included</x:v>
      </x:c>
      <x:c r="F28" s="40"/>
    </x:row>
    <x:row r="29" ht="28" customHeight="1">
      <x:c r="A29" s="40" t="str">
        <x:v>BAG SNACKS</x:v>
      </x:c>
      <x:c r="B29" s="46" t="n">
        <x:v>148375.16</x:v>
      </x:c>
      <x:c r="C29" s="46" t="n">
        <x:v>74974.24</x:v>
      </x:c>
      <x:c r="D29" s="51" t="n">
        <x:f>IF(B29=0,"n.a.",C29/B29)</x:f>
        <x:v>0.5053018308455405</x:v>
      </x:c>
      <x:c r="E29" s="48" t="str">
        <x:f>IF(OR(A29="COUPON/MISC ITEMS",A29="(CORP USE ONLY)"),"Excluded","Included")</x:f>
        <x:v>Included</x:v>
      </x:c>
      <x:c r="F29" s="40"/>
    </x:row>
    <x:row r="30" ht="28" customHeight="1">
      <x:c r="A30" s="40" t="str">
        <x:v>BEERS/ALES</x:v>
      </x:c>
      <x:c r="B30" s="46" t="n">
        <x:v>147344.45</x:v>
      </x:c>
      <x:c r="C30" s="46" t="n">
        <x:v>852.42</x:v>
      </x:c>
      <x:c r="D30" s="51" t="n">
        <x:f>IF(B30=0,"n.a.",C30/B30)</x:f>
        <x:v>0.0057852195993809055</x:v>
      </x:c>
      <x:c r="E30" s="48" t="str">
        <x:f>IF(OR(A30="COUPON/MISC ITEMS",A30="(CORP USE ONLY)"),"Excluded","Included")</x:f>
        <x:v>Included</x:v>
      </x:c>
      <x:c r="F30" s="40"/>
    </x:row>
    <x:row r="31" ht="28" customHeight="1">
      <x:c r="A31" s="40" t="str">
        <x:v>FROZEN PIZZA</x:v>
      </x:c>
      <x:c r="B31" s="46" t="n">
        <x:v>146037.25</x:v>
      </x:c>
      <x:c r="C31" s="46" t="n">
        <x:v>100236.44</x:v>
      </x:c>
      <x:c r="D31" s="51" t="n">
        <x:f>IF(B31=0,"n.a.",C31/B31)</x:f>
        <x:v>0.6863758390410666</x:v>
      </x:c>
      <x:c r="E31" s="48" t="str">
        <x:f>IF(OR(A31="COUPON/MISC ITEMS",A31="(CORP USE ONLY)"),"Excluded","Included")</x:f>
        <x:v>Included</x:v>
      </x:c>
      <x:c r="F31" s="40"/>
    </x:row>
    <x:row r="32" ht="28" customHeight="1">
      <x:c r="A32" s="40" t="str">
        <x:v>BAKED BREAD/BUNS/ROLLS</x:v>
      </x:c>
      <x:c r="B32" s="46" t="n">
        <x:v>145930.85</x:v>
      </x:c>
      <x:c r="C32" s="46" t="n">
        <x:v>95614.46</x:v>
      </x:c>
      <x:c r="D32" s="51" t="n">
        <x:f>IF(B32=0,"n.a.",C32/B32)</x:f>
        <x:v>0.6552038859500922</x:v>
      </x:c>
      <x:c r="E32" s="48" t="str">
        <x:f>IF(OR(A32="COUPON/MISC ITEMS",A32="(CORP USE ONLY)"),"Excluded","Included")</x:f>
        <x:v>Included</x:v>
      </x:c>
      <x:c r="F32" s="40"/>
    </x:row>
    <x:row r="33" ht="28" customHeight="1">
      <x:c r="A33" s="40" t="str">
        <x:v>COLD CEREAL</x:v>
      </x:c>
      <x:c r="B33" s="46" t="n">
        <x:v>111702.42</x:v>
      </x:c>
      <x:c r="C33" s="46" t="n">
        <x:v>67229.81</x:v>
      </x:c>
      <x:c r="D33" s="51" t="n">
        <x:f>IF(B33=0,"n.a.",C33/B33)</x:f>
        <x:v>0.6018652953087319</x:v>
      </x:c>
      <x:c r="E33" s="48" t="str">
        <x:f>IF(OR(A33="COUPON/MISC ITEMS",A33="(CORP USE ONLY)"),"Excluded","Included")</x:f>
        <x:v>Included</x:v>
      </x:c>
      <x:c r="F33" s="40"/>
    </x:row>
    <x:row r="34" ht="28" customHeight="1">
      <x:c r="A34" s="40" t="str">
        <x:v>DELI MEATS</x:v>
      </x:c>
      <x:c r="B34" s="46" t="n">
        <x:v>106539.44</x:v>
      </x:c>
      <x:c r="C34" s="46" t="n">
        <x:v>52378.38</x:v>
      </x:c>
      <x:c r="D34" s="51" t="n">
        <x:f>IF(B34=0,"n.a.",C34/B34)</x:f>
        <x:v>0.4916337086059397</x:v>
      </x:c>
      <x:c r="E34" s="48" t="str">
        <x:f>IF(OR(A34="COUPON/MISC ITEMS",A34="(CORP USE ONLY)"),"Excluded","Included")</x:f>
        <x:v>Included</x:v>
      </x:c>
      <x:c r="F34" s="40"/>
    </x:row>
    <x:row r="35" ht="28" customHeight="1">
      <x:c r="A35" s="40" t="str">
        <x:v>CIGARETTES</x:v>
      </x:c>
      <x:c r="B35" s="46" t="n">
        <x:v>96387.83</x:v>
      </x:c>
      <x:c r="C35" s="46" t="n">
        <x:v>11024.35</x:v>
      </x:c>
      <x:c r="D35" s="51" t="n">
        <x:f>IF(B35=0,"n.a.",C35/B35)</x:f>
        <x:v>0.11437491641839016</x:v>
      </x:c>
      <x:c r="E35" s="48" t="str">
        <x:f>IF(OR(A35="COUPON/MISC ITEMS",A35="(CORP USE ONLY)"),"Excluded","Included")</x:f>
        <x:v>Included</x:v>
      </x:c>
      <x:c r="F35" s="40"/>
    </x:row>
    <x:row r="36" ht="28" customHeight="1">
      <x:c r="A36" s="40" t="str">
        <x:v>CHICKEN</x:v>
      </x:c>
      <x:c r="B36" s="46" t="n">
        <x:v>94342.53</x:v>
      </x:c>
      <x:c r="C36" s="46" t="n">
        <x:v>64794.65</x:v>
      </x:c>
      <x:c r="D36" s="51" t="n">
        <x:f>IF(B36=0,"n.a.",C36/B36)</x:f>
        <x:v>0.6868021241321385</x:v>
      </x:c>
      <x:c r="E36" s="48" t="str">
        <x:f>IF(OR(A36="COUPON/MISC ITEMS",A36="(CORP USE ONLY)"),"Excluded","Included")</x:f>
        <x:v>Included</x:v>
      </x:c>
      <x:c r="F36" s="40"/>
    </x:row>
    <x:row r="37" ht="28" customHeight="1">
      <x:c r="A37" s="40" t="str">
        <x:v>LUNCHMEAT</x:v>
      </x:c>
      <x:c r="B37" s="46" t="n">
        <x:v>93066.44</x:v>
      </x:c>
      <x:c r="C37" s="46" t="n">
        <x:v>46438.72</x:v>
      </x:c>
      <x:c r="D37" s="51" t="n">
        <x:f>IF(B37=0,"n.a.",C37/B37)</x:f>
        <x:v>0.49898459638082215</x:v>
      </x:c>
      <x:c r="E37" s="48" t="str">
        <x:f>IF(OR(A37="COUPON/MISC ITEMS",A37="(CORP USE ONLY)"),"Excluded","Included")</x:f>
        <x:v>Included</x:v>
      </x:c>
      <x:c r="F37" s="40"/>
    </x:row>
    <x:row r="38" ht="28" customHeight="1">
      <x:c r="A38" s="40" t="str">
        <x:v>PORK</x:v>
      </x:c>
      <x:c r="B38" s="46" t="n">
        <x:v>90279.06</x:v>
      </x:c>
      <x:c r="C38" s="46" t="n">
        <x:v>55142.97</x:v>
      </x:c>
      <x:c r="D38" s="51" t="n">
        <x:f>IF(B38=0,"n.a.",C38/B38)</x:f>
        <x:v>0.6108057616018598</x:v>
      </x:c>
      <x:c r="E38" s="48" t="str">
        <x:f>IF(OR(A38="COUPON/MISC ITEMS",A38="(CORP USE ONLY)"),"Excluded","Included")</x:f>
        <x:v>Included</x:v>
      </x:c>
      <x:c r="F38" s="40"/>
    </x:row>
    <x:row r="39" ht="28" customHeight="1">
      <x:c r="A39" s="40" t="str">
        <x:v>SOUP</x:v>
      </x:c>
      <x:c r="B39" s="46" t="n">
        <x:v>87799.94</x:v>
      </x:c>
      <x:c r="C39" s="46" t="n">
        <x:v>34076.08</x:v>
      </x:c>
      <x:c r="D39" s="51" t="n">
        <x:f>IF(B39=0,"n.a.",C39/B39)</x:f>
        <x:v>0.3881105157930632</x:v>
      </x:c>
      <x:c r="E39" s="48" t="str">
        <x:f>IF(OR(A39="COUPON/MISC ITEMS",A39="(CORP USE ONLY)"),"Excluded","Included")</x:f>
        <x:v>Included</x:v>
      </x:c>
      <x:c r="F39" s="40"/>
    </x:row>
    <x:row r="40" ht="28" customHeight="1">
      <x:c r="A40" s="40" t="str">
        <x:v>ICE CREAM/MILK/SHERBTS</x:v>
      </x:c>
      <x:c r="B40" s="46" t="n">
        <x:v>82426.6</x:v>
      </x:c>
      <x:c r="C40" s="46" t="n">
        <x:v>64143.08</x:v>
      </x:c>
      <x:c r="D40" s="51" t="n">
        <x:f>IF(B40=0,"n.a.",C40/B40)</x:f>
        <x:v>0.7781842269364501</x:v>
      </x:c>
      <x:c r="E40" s="48" t="str">
        <x:f>IF(OR(A40="COUPON/MISC ITEMS",A40="(CORP USE ONLY)"),"Excluded","Included")</x:f>
        <x:v>Included</x:v>
      </x:c>
      <x:c r="F40" s="40"/>
    </x:row>
    <x:row r="41" ht="28" customHeight="1">
      <x:c r="A41" s="40" t="str">
        <x:v>CANDY - PACKAGED</x:v>
      </x:c>
      <x:c r="B41" s="46" t="n">
        <x:v>75886.22</x:v>
      </x:c>
      <x:c r="C41" s="46" t="n">
        <x:v>27437.7</x:v>
      </x:c>
      <x:c r="D41" s="51" t="n">
        <x:f>IF(B41=0,"n.a.",C41/B41)</x:f>
        <x:v>0.36156366729031963</x:v>
      </x:c>
      <x:c r="E41" s="48" t="str">
        <x:f>IF(OR(A41="COUPON/MISC ITEMS",A41="(CORP USE ONLY)"),"Excluded","Included")</x:f>
        <x:v>Included</x:v>
      </x:c>
      <x:c r="F41" s="40"/>
    </x:row>
    <x:row r="42" ht="28" customHeight="1">
      <x:c r="A42" s="40" t="str">
        <x:v>CANNED JUICES</x:v>
      </x:c>
      <x:c r="B42" s="46" t="n">
        <x:v>74735.18</x:v>
      </x:c>
      <x:c r="C42" s="46" t="n">
        <x:v>33512.46</x:v>
      </x:c>
      <x:c r="D42" s="51" t="n">
        <x:f>IF(B42=0,"n.a.",C42/B42)</x:f>
        <x:v>0.44841612745162324</x:v>
      </x:c>
      <x:c r="E42" s="48" t="str">
        <x:f>IF(OR(A42="COUPON/MISC ITEMS",A42="(CORP USE ONLY)"),"Excluded","Included")</x:f>
        <x:v>Included</x:v>
      </x:c>
      <x:c r="F42" s="40"/>
    </x:row>
    <x:row r="43" ht="28" customHeight="1">
      <x:c r="A43" s="40" t="str">
        <x:v>REFRGRATD JUICES/DRNKS</x:v>
      </x:c>
      <x:c r="B43" s="46" t="n">
        <x:v>72179.2</x:v>
      </x:c>
      <x:c r="C43" s="46" t="n">
        <x:v>52283.34</x:v>
      </x:c>
      <x:c r="D43" s="51" t="n">
        <x:f>IF(B43=0,"n.a.",C43/B43)</x:f>
        <x:v>0.7243546617308033</x:v>
      </x:c>
      <x:c r="E43" s="48" t="str">
        <x:f>IF(OR(A43="COUPON/MISC ITEMS",A43="(CORP USE ONLY)"),"Excluded","Included")</x:f>
        <x:v>Included</x:v>
      </x:c>
      <x:c r="F43" s="40"/>
    </x:row>
    <x:row r="44" ht="28" customHeight="1">
      <x:c r="A44" s="40" t="str">
        <x:v>MEAT - MISC</x:v>
      </x:c>
      <x:c r="B44" s="46" t="n">
        <x:v>65880.28</x:v>
      </x:c>
      <x:c r="C44" s="46" t="n">
        <x:v>50583.2</x:v>
      </x:c>
      <x:c r="D44" s="51" t="n">
        <x:f>IF(B44=0,"n.a.",C44/B44)</x:f>
        <x:v>0.7678048727176022</x:v>
      </x:c>
      <x:c r="E44" s="48" t="str">
        <x:f>IF(OR(A44="COUPON/MISC ITEMS",A44="(CORP USE ONLY)"),"Excluded","Included")</x:f>
        <x:v>Included</x:v>
      </x:c>
      <x:c r="F44" s="40"/>
    </x:row>
    <x:row r="45" ht="28" customHeight="1">
      <x:c r="A45" s="40" t="str">
        <x:v>COFFEE</x:v>
      </x:c>
      <x:c r="B45" s="46" t="n">
        <x:v>64555.48</x:v>
      </x:c>
      <x:c r="C45" s="46" t="n">
        <x:v>31371.77</x:v>
      </x:c>
      <x:c r="D45" s="51" t="n">
        <x:f>IF(B45=0,"n.a.",C45/B45)</x:f>
        <x:v>0.48596602488278295</x:v>
      </x:c>
      <x:c r="E45" s="48" t="str">
        <x:f>IF(OR(A45="COUPON/MISC ITEMS",A45="(CORP USE ONLY)"),"Excluded","Included")</x:f>
        <x:v>Included</x:v>
      </x:c>
      <x:c r="F45" s="40"/>
    </x:row>
    <x:row r="46" ht="28" customHeight="1">
      <x:c r="A46" s="40" t="str">
        <x:v>CRACKERS/MISC BKD FD</x:v>
      </x:c>
      <x:c r="B46" s="46" t="n">
        <x:v>64528.56</x:v>
      </x:c>
      <x:c r="C46" s="46" t="n">
        <x:v>36907.12</x:v>
      </x:c>
      <x:c r="D46" s="51" t="n">
        <x:f>IF(B46=0,"n.a.",C46/B46)</x:f>
        <x:v>0.5719501566438179</x:v>
      </x:c>
      <x:c r="E46" s="48" t="str">
        <x:f>IF(OR(A46="COUPON/MISC ITEMS",A46="(CORP USE ONLY)"),"Excluded","Included")</x:f>
        <x:v>Included</x:v>
      </x:c>
      <x:c r="F46" s="40"/>
    </x:row>
    <x:row r="47" ht="28" customHeight="1">
      <x:c r="A47" s="40" t="str">
        <x:v>WATER - CARBONATED/FLVRD DRINK</x:v>
      </x:c>
      <x:c r="B47" s="46" t="n">
        <x:v>63873.1</x:v>
      </x:c>
      <x:c r="C47" s="46" t="n">
        <x:v>27771.45</x:v>
      </x:c>
      <x:c r="D47" s="51" t="n">
        <x:f>IF(B47=0,"n.a.",C47/B47)</x:f>
        <x:v>0.4347910153100445</x:v>
      </x:c>
      <x:c r="E47" s="48" t="str">
        <x:f>IF(OR(A47="COUPON/MISC ITEMS",A47="(CORP USE ONLY)"),"Excluded","Included")</x:f>
        <x:v>Included</x:v>
      </x:c>
      <x:c r="F47" s="40"/>
    </x:row>
    <x:row r="48" ht="28" customHeight="1">
      <x:c r="A48" s="40" t="str">
        <x:v>DOMESTIC WINE</x:v>
      </x:c>
      <x:c r="B48" s="46" t="n">
        <x:v>61592.29</x:v>
      </x:c>
      <x:c r="C48" s="46" t="n">
        <x:v>292.47</x:v>
      </x:c>
      <x:c r="D48" s="51" t="n">
        <x:f>IF(B48=0,"n.a.",C48/B48)</x:f>
        <x:v>0.004748483941740111</x:v>
      </x:c>
      <x:c r="E48" s="48" t="str">
        <x:f>IF(OR(A48="COUPON/MISC ITEMS",A48="(CORP USE ONLY)"),"Excluded","Included")</x:f>
        <x:v>Included</x:v>
      </x:c>
      <x:c r="F48" s="40"/>
    </x:row>
    <x:row r="49" ht="28" customHeight="1">
      <x:c r="A49" s="40" t="str">
        <x:v>BATH TISSUES</x:v>
      </x:c>
      <x:c r="B49" s="46" t="n">
        <x:v>60620.23</x:v>
      </x:c>
      <x:c r="C49" s="46" t="n">
        <x:v>45378.82</x:v>
      </x:c>
      <x:c r="D49" s="51" t="n">
        <x:f>IF(B49=0,"n.a.",C49/B49)</x:f>
        <x:v>0.7485755167870527</x:v>
      </x:c>
      <x:c r="E49" s="48" t="str">
        <x:f>IF(OR(A49="COUPON/MISC ITEMS",A49="(CORP USE ONLY)"),"Excluded","Included")</x:f>
        <x:v>Included</x:v>
      </x:c>
      <x:c r="F49" s="40"/>
    </x:row>
    <x:row r="50" ht="28" customHeight="1">
      <x:c r="A50" s="40" t="str">
        <x:v>SEAFOOD - FROZEN</x:v>
      </x:c>
      <x:c r="B50" s="46" t="n">
        <x:v>60000.74</x:v>
      </x:c>
      <x:c r="C50" s="46" t="n">
        <x:v>40195.52</x:v>
      </x:c>
      <x:c r="D50" s="51" t="n">
        <x:f>IF(B50=0,"n.a.",C50/B50)</x:f>
        <x:v>0.6699170710227906</x:v>
      </x:c>
      <x:c r="E50" s="48" t="str">
        <x:f>IF(OR(A50="COUPON/MISC ITEMS",A50="(CORP USE ONLY)"),"Excluded","Included")</x:f>
        <x:v>Included</x:v>
      </x:c>
      <x:c r="F50" s="40"/>
    </x:row>
    <x:row r="51" ht="28" customHeight="1">
      <x:c r="A51" s="40" t="str">
        <x:v>DIAPERS &amp; DISPOSABLES</x:v>
      </x:c>
      <x:c r="B51" s="46" t="n">
        <x:v>59663.7</x:v>
      </x:c>
      <x:c r="C51" s="46" t="n">
        <x:v>27200.88</x:v>
      </x:c>
      <x:c r="D51" s="51" t="n">
        <x:f>IF(B51=0,"n.a.",C51/B51)</x:f>
        <x:v>0.45590333821067086</x:v>
      </x:c>
      <x:c r="E51" s="48" t="str">
        <x:f>IF(OR(A51="COUPON/MISC ITEMS",A51="(CORP USE ONLY)"),"Excluded","Included")</x:f>
        <x:v>Included</x:v>
      </x:c>
      <x:c r="F51" s="40"/>
    </x:row>
    <x:row r="52" ht="28" customHeight="1">
      <x:c r="A52" s="40" t="str">
        <x:v>YOGURT</x:v>
      </x:c>
      <x:c r="B52" s="46" t="n">
        <x:v>59341.22</x:v>
      </x:c>
      <x:c r="C52" s="46" t="n">
        <x:v>45014.54</x:v>
      </x:c>
      <x:c r="D52" s="51" t="n">
        <x:f>IF(B52=0,"n.a.",C52/B52)</x:f>
        <x:v>0.7585711921662548</x:v>
      </x:c>
      <x:c r="E52" s="48" t="str">
        <x:f>IF(OR(A52="COUPON/MISC ITEMS",A52="(CORP USE ONLY)"),"Excluded","Included")</x:f>
        <x:v>Included</x:v>
      </x:c>
      <x:c r="F52" s="40"/>
    </x:row>
    <x:row r="53" ht="28" customHeight="1">
      <x:c r="A53" s="40" t="str">
        <x:v>VEGETABLES - SHELF STABLE</x:v>
      </x:c>
      <x:c r="B53" s="46" t="n">
        <x:v>57690.05</x:v>
      </x:c>
      <x:c r="C53" s="46" t="n">
        <x:v>35195.06</x:v>
      </x:c>
      <x:c r="D53" s="51" t="n">
        <x:f>IF(B53=0,"n.a.",C53/B53)</x:f>
        <x:v>0.6100715808011953</x:v>
      </x:c>
      <x:c r="E53" s="48" t="str">
        <x:f>IF(OR(A53="COUPON/MISC ITEMS",A53="(CORP USE ONLY)"),"Excluded","Included")</x:f>
        <x:v>Included</x:v>
      </x:c>
      <x:c r="F53" s="40"/>
    </x:row>
    <x:row r="54" ht="28" customHeight="1">
      <x:c r="A54" s="40" t="str">
        <x:v>BAKED SWEET GOODS</x:v>
      </x:c>
      <x:c r="B54" s="46" t="n">
        <x:v>55091.48</x:v>
      </x:c>
      <x:c r="C54" s="46" t="n">
        <x:v>21622.84</x:v>
      </x:c>
      <x:c r="D54" s="51" t="n">
        <x:f>IF(B54=0,"n.a.",C54/B54)</x:f>
        <x:v>0.3924897279942379</x:v>
      </x:c>
      <x:c r="E54" s="48" t="str">
        <x:f>IF(OR(A54="COUPON/MISC ITEMS",A54="(CORP USE ONLY)"),"Excluded","Included")</x:f>
        <x:v>Included</x:v>
      </x:c>
      <x:c r="F54" s="40"/>
    </x:row>
    <x:row r="55" ht="28" customHeight="1">
      <x:c r="A55" s="40" t="str">
        <x:v>LAUNDRY DETERGENTS</x:v>
      </x:c>
      <x:c r="B55" s="46" t="n">
        <x:v>55070.25</x:v>
      </x:c>
      <x:c r="C55" s="46" t="n">
        <x:v>41996.71</x:v>
      </x:c>
      <x:c r="D55" s="51" t="n">
        <x:f>IF(B55=0,"n.a.",C55/B55)</x:f>
        <x:v>0.7626024940870978</x:v>
      </x:c>
      <x:c r="E55" s="48" t="str">
        <x:f>IF(OR(A55="COUPON/MISC ITEMS",A55="(CORP USE ONLY)"),"Excluded","Included")</x:f>
        <x:v>Included</x:v>
      </x:c>
      <x:c r="F55" s="40"/>
    </x:row>
    <x:row r="56" ht="28" customHeight="1">
      <x:c r="A56" s="40" t="str">
        <x:v>CONVENIENT BRKFST/WHLSM SNACKS</x:v>
      </x:c>
      <x:c r="B56" s="46" t="n">
        <x:v>55069.31</x:v>
      </x:c>
      <x:c r="C56" s="46" t="n">
        <x:v>26355.88</x:v>
      </x:c>
      <x:c r="D56" s="51" t="n">
        <x:f>IF(B56=0,"n.a.",C56/B56)</x:f>
        <x:v>0.47859470184028097</x:v>
      </x:c>
      <x:c r="E56" s="48" t="str">
        <x:f>IF(OR(A56="COUPON/MISC ITEMS",A56="(CORP USE ONLY)"),"Excluded","Included")</x:f>
        <x:v>Included</x:v>
      </x:c>
      <x:c r="F56" s="40"/>
    </x:row>
    <x:row r="57" ht="28" customHeight="1">
      <x:c r="A57" s="40" t="str">
        <x:v>COOKIES/CONES</x:v>
      </x:c>
      <x:c r="B57" s="46" t="n">
        <x:v>54680.37</x:v>
      </x:c>
      <x:c r="C57" s="46" t="n">
        <x:v>30702.45</x:v>
      </x:c>
      <x:c r="D57" s="51" t="n">
        <x:f>IF(B57=0,"n.a.",C57/B57)</x:f>
        <x:v>0.5614894339595727</x:v>
      </x:c>
      <x:c r="E57" s="48" t="str">
        <x:f>IF(OR(A57="COUPON/MISC ITEMS",A57="(CORP USE ONLY)"),"Excluded","Included")</x:f>
        <x:v>Included</x:v>
      </x:c>
      <x:c r="F57" s="40"/>
    </x:row>
    <x:row r="58" ht="28" customHeight="1">
      <x:c r="A58" s="40" t="str">
        <x:v>MEAT - SHELF STABLE</x:v>
      </x:c>
      <x:c r="B58" s="46" t="n">
        <x:v>53608.08</x:v>
      </x:c>
      <x:c r="C58" s="46" t="n">
        <x:v>26920.12</x:v>
      </x:c>
      <x:c r="D58" s="51" t="n">
        <x:f>IF(B58=0,"n.a.",C58/B58)</x:f>
        <x:v>0.5021653452240781</x:v>
      </x:c>
      <x:c r="E58" s="48" t="str">
        <x:f>IF(OR(A58="COUPON/MISC ITEMS",A58="(CORP USE ONLY)"),"Excluded","Included")</x:f>
        <x:v>Included</x:v>
      </x:c>
      <x:c r="F58" s="40"/>
    </x:row>
    <x:row r="59" ht="28" customHeight="1">
      <x:c r="A59" s="40" t="str">
        <x:v>DOG FOODS</x:v>
      </x:c>
      <x:c r="B59" s="46" t="n">
        <x:v>53410.97</x:v>
      </x:c>
      <x:c r="C59" s="46" t="n">
        <x:v>31859.14</x:v>
      </x:c>
      <x:c r="D59" s="51" t="n">
        <x:f>IF(B59=0,"n.a.",C59/B59)</x:f>
        <x:v>0.5964905711317356</x:v>
      </x:c>
      <x:c r="E59" s="48" t="str">
        <x:f>IF(OR(A59="COUPON/MISC ITEMS",A59="(CORP USE ONLY)"),"Excluded","Included")</x:f>
        <x:v>Included</x:v>
      </x:c>
      <x:c r="F59" s="40"/>
    </x:row>
    <x:row r="60" ht="28" customHeight="1">
      <x:c r="A60" s="40" t="str">
        <x:v>CHEESES</x:v>
      </x:c>
      <x:c r="B60" s="46" t="n">
        <x:v>52299</x:v>
      </x:c>
      <x:c r="C60" s="46" t="n">
        <x:v>17771.44</x:v>
      </x:c>
      <x:c r="D60" s="51" t="n">
        <x:f>IF(B60=0,"n.a.",C60/B60)</x:f>
        <x:v>0.33980458517371265</x:v>
      </x:c>
      <x:c r="E60" s="48" t="str">
        <x:f>IF(OR(A60="COUPON/MISC ITEMS",A60="(CORP USE ONLY)"),"Excluded","Included")</x:f>
        <x:v>Included</x:v>
      </x:c>
      <x:c r="F60" s="40"/>
    </x:row>
    <x:row r="61" ht="28" customHeight="1">
      <x:c r="A61" s="40" t="str">
        <x:v>FROZEN MEAT</x:v>
      </x:c>
      <x:c r="B61" s="46" t="n">
        <x:v>50911.02</x:v>
      </x:c>
      <x:c r="C61" s="46" t="n">
        <x:v>38548.66</x:v>
      </x:c>
      <x:c r="D61" s="51" t="n">
        <x:f>IF(B61=0,"n.a.",C61/B61)</x:f>
        <x:v>0.7571771298237593</x:v>
      </x:c>
      <x:c r="E61" s="48" t="str">
        <x:f>IF(OR(A61="COUPON/MISC ITEMS",A61="(CORP USE ONLY)"),"Excluded","Included")</x:f>
        <x:v>Included</x:v>
      </x:c>
      <x:c r="F61" s="40"/>
    </x:row>
    <x:row r="62" ht="28" customHeight="1">
      <x:c r="A62" s="40" t="str">
        <x:v>INFANT FORMULA</x:v>
      </x:c>
      <x:c r="B62" s="46" t="n">
        <x:v>50861.79</x:v>
      </x:c>
      <x:c r="C62" s="46" t="n">
        <x:v>45637.7</x:v>
      </x:c>
      <x:c r="D62" s="51" t="n">
        <x:f>IF(B62=0,"n.a.",C62/B62)</x:f>
        <x:v>0.8972885146197174</x:v>
      </x:c>
      <x:c r="E62" s="48" t="str">
        <x:f>IF(OR(A62="COUPON/MISC ITEMS",A62="(CORP USE ONLY)"),"Excluded","Included")</x:f>
        <x:v>Included</x:v>
      </x:c>
      <x:c r="F62" s="40"/>
    </x:row>
    <x:row r="63" ht="28" customHeight="1">
      <x:c r="A63" s="40" t="str">
        <x:v>HISPANIC</x:v>
      </x:c>
      <x:c r="B63" s="46" t="n">
        <x:v>47899.9</x:v>
      </x:c>
      <x:c r="C63" s="46" t="n">
        <x:v>16804.69</x:v>
      </x:c>
      <x:c r="D63" s="51" t="n">
        <x:f>IF(B63=0,"n.a.",C63/B63)</x:f>
        <x:v>0.3508293336729304</x:v>
      </x:c>
      <x:c r="E63" s="48" t="str">
        <x:f>IF(OR(A63="COUPON/MISC ITEMS",A63="(CORP USE ONLY)"),"Excluded","Included")</x:f>
        <x:v>Included</x:v>
      </x:c>
      <x:c r="F63" s="40"/>
    </x:row>
    <x:row r="64" ht="28" customHeight="1">
      <x:c r="A64" s="40" t="str">
        <x:v>SALD DRSNG/SNDWCH SPRD</x:v>
      </x:c>
      <x:c r="B64" s="46" t="n">
        <x:v>47585.87</x:v>
      </x:c>
      <x:c r="C64" s="46" t="n">
        <x:v>23283.26</x:v>
      </x:c>
      <x:c r="D64" s="51" t="n">
        <x:f>IF(B64=0,"n.a.",C64/B64)</x:f>
        <x:v>0.48928936257758865</x:v>
      </x:c>
      <x:c r="E64" s="48" t="str">
        <x:f>IF(OR(A64="COUPON/MISC ITEMS",A64="(CORP USE ONLY)"),"Excluded","Included")</x:f>
        <x:v>Included</x:v>
      </x:c>
      <x:c r="F64" s="40"/>
    </x:row>
    <x:row r="65" ht="28" customHeight="1">
      <x:c r="A65" s="40" t="str">
        <x:v>DINNER MXS:DRY</x:v>
      </x:c>
      <x:c r="B65" s="46" t="n">
        <x:v>47209.58</x:v>
      </x:c>
      <x:c r="C65" s="46" t="n">
        <x:v>27278.61</x:v>
      </x:c>
      <x:c r="D65" s="51" t="n">
        <x:f>IF(B65=0,"n.a.",C65/B65)</x:f>
        <x:v>0.5778193747963867</x:v>
      </x:c>
      <x:c r="E65" s="48" t="str">
        <x:f>IF(OR(A65="COUPON/MISC ITEMS",A65="(CORP USE ONLY)"),"Excluded","Included")</x:f>
        <x:v>Included</x:v>
      </x:c>
      <x:c r="F65" s="40"/>
    </x:row>
    <x:row r="66" ht="28" customHeight="1">
      <x:c r="A66" s="40" t="str">
        <x:v>BREAKFAST SAUSAGE/SANDWICHES</x:v>
      </x:c>
      <x:c r="B66" s="46" t="n">
        <x:v>46085.22</x:v>
      </x:c>
      <x:c r="C66" s="46" t="n">
        <x:v>29766.47</x:v>
      </x:c>
      <x:c r="D66" s="51" t="n">
        <x:f>IF(B66=0,"n.a.",C66/B66)</x:f>
        <x:v>0.6459005728951712</x:v>
      </x:c>
      <x:c r="E66" s="48" t="str">
        <x:f>IF(OR(A66="COUPON/MISC ITEMS",A66="(CORP USE ONLY)"),"Excluded","Included")</x:f>
        <x:v>Included</x:v>
      </x:c>
      <x:c r="F66" s="40"/>
    </x:row>
    <x:row r="67" ht="28" customHeight="1">
      <x:c r="A67" s="40" t="str">
        <x:v>BACON</x:v>
      </x:c>
      <x:c r="B67" s="46" t="n">
        <x:v>45436.71</x:v>
      </x:c>
      <x:c r="C67" s="46" t="n">
        <x:v>29863.62</x:v>
      </x:c>
      <x:c r="D67" s="51" t="n">
        <x:f>IF(B67=0,"n.a.",C67/B67)</x:f>
        <x:v>0.6572575347114701</x:v>
      </x:c>
      <x:c r="E67" s="48" t="str">
        <x:f>IF(OR(A67="COUPON/MISC ITEMS",A67="(CORP USE ONLY)"),"Excluded","Included")</x:f>
        <x:v>Included</x:v>
      </x:c>
      <x:c r="F67" s="40"/>
    </x:row>
    <x:row r="68" ht="28" customHeight="1">
      <x:c r="A68" s="40" t="str">
        <x:v>POTATOES</x:v>
      </x:c>
      <x:c r="B68" s="46" t="n">
        <x:v>45169.61</x:v>
      </x:c>
      <x:c r="C68" s="46" t="n">
        <x:v>7330.48</x:v>
      </x:c>
      <x:c r="D68" s="51" t="n">
        <x:f>IF(B68=0,"n.a.",C68/B68)</x:f>
        <x:v>0.1622878745244867</x:v>
      </x:c>
      <x:c r="E68" s="48" t="str">
        <x:f>IF(OR(A68="COUPON/MISC ITEMS",A68="(CORP USE ONLY)"),"Excluded","Included")</x:f>
        <x:v>Included</x:v>
      </x:c>
      <x:c r="F68" s="40"/>
    </x:row>
    <x:row r="69" ht="28" customHeight="1">
      <x:c r="A69" s="40" t="str">
        <x:v>CONDIMENTS/SAUCES</x:v>
      </x:c>
      <x:c r="B69" s="46" t="n">
        <x:v>44856.14</x:v>
      </x:c>
      <x:c r="C69" s="46" t="n">
        <x:v>22866.57</x:v>
      </x:c>
      <x:c r="D69" s="51" t="n">
        <x:f>IF(B69=0,"n.a.",C69/B69)</x:f>
        <x:v>0.5097756962591966</x:v>
      </x:c>
      <x:c r="E69" s="48" t="str">
        <x:f>IF(OR(A69="COUPON/MISC ITEMS",A69="(CORP USE ONLY)"),"Excluded","Included")</x:f>
        <x:v>Included</x:v>
      </x:c>
      <x:c r="F69" s="40"/>
    </x:row>
    <x:row r="70" ht="28" customHeight="1">
      <x:c r="A70" s="40" t="str">
        <x:v>HAIR CARE PRODUCTS</x:v>
      </x:c>
      <x:c r="B70" s="46" t="n">
        <x:v>44840.52</x:v>
      </x:c>
      <x:c r="C70" s="46" t="n">
        <x:v>15348.52</x:v>
      </x:c>
      <x:c r="D70" s="51" t="n">
        <x:f>IF(B70=0,"n.a.",C70/B70)</x:f>
        <x:v>0.34229130259863183</x:v>
      </x:c>
      <x:c r="E70" s="48" t="str">
        <x:f>IF(OR(A70="COUPON/MISC ITEMS",A70="(CORP USE ONLY)"),"Excluded","Included")</x:f>
        <x:v>Included</x:v>
      </x:c>
      <x:c r="F70" s="40"/>
    </x:row>
    <x:row r="71" ht="28" customHeight="1">
      <x:c r="A71" s="40" t="str">
        <x:v>SALAD MIX</x:v>
      </x:c>
      <x:c r="B71" s="46" t="n">
        <x:v>44807.03</x:v>
      </x:c>
      <x:c r="C71" s="46" t="n">
        <x:v>20502.18</x:v>
      </x:c>
      <x:c r="D71" s="51" t="n">
        <x:f>IF(B71=0,"n.a.",C71/B71)</x:f>
        <x:v>0.4575661453124655</x:v>
      </x:c>
      <x:c r="E71" s="48" t="str">
        <x:f>IF(OR(A71="COUPON/MISC ITEMS",A71="(CORP USE ONLY)"),"Excluded","Included")</x:f>
        <x:v>Included</x:v>
      </x:c>
      <x:c r="F71" s="40"/>
    </x:row>
    <x:row r="72" ht="28" customHeight="1">
      <x:c r="A72" s="40" t="str">
        <x:v>REFRGRATD DOUGH PRODUCTS</x:v>
      </x:c>
      <x:c r="B72" s="46" t="n">
        <x:v>43518.53</x:v>
      </x:c>
      <x:c r="C72" s="46" t="n">
        <x:v>25811.1</x:v>
      </x:c>
      <x:c r="D72" s="51" t="n">
        <x:f>IF(B72=0,"n.a.",C72/B72)</x:f>
        <x:v>0.5931059711805523</x:v>
      </x:c>
      <x:c r="E72" s="48" t="str">
        <x:f>IF(OR(A72="COUPON/MISC ITEMS",A72="(CORP USE ONLY)"),"Excluded","Included")</x:f>
        <x:v>Included</x:v>
      </x:c>
      <x:c r="F72" s="40"/>
    </x:row>
    <x:row r="73" ht="28" customHeight="1">
      <x:c r="A73" s="40" t="str">
        <x:v>FRZN VEGETABLE/VEG DSH</x:v>
      </x:c>
      <x:c r="B73" s="46" t="n">
        <x:v>43410.18</x:v>
      </x:c>
      <x:c r="C73" s="46" t="n">
        <x:v>37139.5</x:v>
      </x:c>
      <x:c r="D73" s="51" t="n">
        <x:f>IF(B73=0,"n.a.",C73/B73)</x:f>
        <x:v>0.8555481686553706</x:v>
      </x:c>
      <x:c r="E73" s="48" t="str">
        <x:f>IF(OR(A73="COUPON/MISC ITEMS",A73="(CORP USE ONLY)"),"Excluded","Included")</x:f>
        <x:v>Included</x:v>
      </x:c>
      <x:c r="F73" s="40"/>
    </x:row>
    <x:row r="74" ht="28" customHeight="1">
      <x:c r="A74" s="40" t="str">
        <x:v>DINNER SAUSAGE</x:v>
      </x:c>
      <x:c r="B74" s="46" t="n">
        <x:v>42889.2</x:v>
      </x:c>
      <x:c r="C74" s="46" t="n">
        <x:v>29133.61</x:v>
      </x:c>
      <x:c r="D74" s="51" t="n">
        <x:f>IF(B74=0,"n.a.",C74/B74)</x:f>
        <x:v>0.6792761347845145</x:v>
      </x:c>
      <x:c r="E74" s="48" t="str">
        <x:f>IF(OR(A74="COUPON/MISC ITEMS",A74="(CORP USE ONLY)"),"Excluded","Included")</x:f>
        <x:v>Included</x:v>
      </x:c>
      <x:c r="F74" s="40"/>
    </x:row>
    <x:row r="75" ht="28" customHeight="1">
      <x:c r="A75" s="40" t="str">
        <x:v>FD WRAPS/BAGS/TRSH BG</x:v>
      </x:c>
      <x:c r="B75" s="46" t="n">
        <x:v>42832.22</x:v>
      </x:c>
      <x:c r="C75" s="46" t="n">
        <x:v>24071.75</x:v>
      </x:c>
      <x:c r="D75" s="51" t="n">
        <x:f>IF(B75=0,"n.a.",C75/B75)</x:f>
        <x:v>0.562000988975122</x:v>
      </x:c>
      <x:c r="E75" s="48" t="str">
        <x:f>IF(OR(A75="COUPON/MISC ITEMS",A75="(CORP USE ONLY)"),"Excluded","Included")</x:f>
        <x:v>Included</x:v>
      </x:c>
      <x:c r="F75" s="40"/>
    </x:row>
    <x:row r="76" ht="28" customHeight="1">
      <x:c r="A76" s="40" t="str">
        <x:v>TOMATOES</x:v>
      </x:c>
      <x:c r="B76" s="46" t="n">
        <x:v>41859.57</x:v>
      </x:c>
      <x:c r="C76" s="46" t="n">
        <x:v>6592.48</x:v>
      </x:c>
      <x:c r="D76" s="51" t="n">
        <x:f>IF(B76=0,"n.a.",C76/B76)</x:f>
        <x:v>0.15749038989172606</x:v>
      </x:c>
      <x:c r="E76" s="48" t="str">
        <x:f>IF(OR(A76="COUPON/MISC ITEMS",A76="(CORP USE ONLY)"),"Excluded","Included")</x:f>
        <x:v>Included</x:v>
      </x:c>
      <x:c r="F76" s="40"/>
    </x:row>
    <x:row r="77" ht="28" customHeight="1">
      <x:c r="A77" s="40" t="str">
        <x:v>MILK BY-PRODUCTS</x:v>
      </x:c>
      <x:c r="B77" s="46" t="n">
        <x:v>41755.18</x:v>
      </x:c>
      <x:c r="C77" s="46" t="n">
        <x:v>26219.68</x:v>
      </x:c>
      <x:c r="D77" s="51" t="n">
        <x:f>IF(B77=0,"n.a.",C77/B77)</x:f>
        <x:v>0.627938377944964</x:v>
      </x:c>
      <x:c r="E77" s="48" t="str">
        <x:f>IF(OR(A77="COUPON/MISC ITEMS",A77="(CORP USE ONLY)"),"Excluded","Included")</x:f>
        <x:v>Included</x:v>
      </x:c>
      <x:c r="F77" s="40"/>
    </x:row>
    <x:row r="78" ht="28" customHeight="1">
      <x:c r="A78" s="40" t="str">
        <x:v>FRUIT - SHELF STABLE</x:v>
      </x:c>
      <x:c r="B78" s="46" t="n">
        <x:v>40925.53</x:v>
      </x:c>
      <x:c r="C78" s="46" t="n">
        <x:v>26407.49</x:v>
      </x:c>
      <x:c r="D78" s="51" t="n">
        <x:f>IF(B78=0,"n.a.",C78/B78)</x:f>
        <x:v>0.6452571292296032</x:v>
      </x:c>
      <x:c r="E78" s="48" t="str">
        <x:f>IF(OR(A78="COUPON/MISC ITEMS",A78="(CORP USE ONLY)"),"Excluded","Included")</x:f>
        <x:v>Included</x:v>
      </x:c>
      <x:c r="F78" s="40"/>
    </x:row>
    <x:row r="79" ht="28" customHeight="1">
      <x:c r="A79" s="40" t="str">
        <x:v>TROPICAL FRUIT</x:v>
      </x:c>
      <x:c r="B79" s="46" t="n">
        <x:v>40556.38</x:v>
      </x:c>
      <x:c r="C79" s="46" t="n">
        <x:v>6459.98</x:v>
      </x:c>
      <x:c r="D79" s="51" t="n">
        <x:f>IF(B79=0,"n.a.",C79/B79)</x:f>
        <x:v>0.1592839400360683</x:v>
      </x:c>
      <x:c r="E79" s="48" t="str">
        <x:f>IF(OR(A79="COUPON/MISC ITEMS",A79="(CORP USE ONLY)"),"Excluded","Included")</x:f>
        <x:v>Included</x:v>
      </x:c>
      <x:c r="F79" s="40"/>
    </x:row>
    <x:row r="80" ht="28" customHeight="1">
      <x:c r="A80" s="40" t="str">
        <x:v>FRZN NOVELTIES/WTR ICE</x:v>
      </x:c>
      <x:c r="B80" s="46" t="n">
        <x:v>40330.18</x:v>
      </x:c>
      <x:c r="C80" s="46" t="n">
        <x:v>27412.47</x:v>
      </x:c>
      <x:c r="D80" s="51" t="n">
        <x:f>IF(B80=0,"n.a.",C80/B80)</x:f>
        <x:v>0.6797011568011846</x:v>
      </x:c>
      <x:c r="E80" s="48" t="str">
        <x:f>IF(OR(A80="COUPON/MISC ITEMS",A80="(CORP USE ONLY)"),"Excluded","Included")</x:f>
        <x:v>Included</x:v>
      </x:c>
      <x:c r="F80" s="40"/>
    </x:row>
    <x:row r="81" ht="28" customHeight="1">
      <x:c r="A81" s="40" t="str">
        <x:v>EGGS</x:v>
      </x:c>
      <x:c r="B81" s="46" t="n">
        <x:v>39995.62</x:v>
      </x:c>
      <x:c r="C81" s="46" t="n">
        <x:v>14685.07</x:v>
      </x:c>
      <x:c r="D81" s="51" t="n">
        <x:f>IF(B81=0,"n.a.",C81/B81)</x:f>
        <x:v>0.36716695478154854</x:v>
      </x:c>
      <x:c r="E81" s="48" t="str">
        <x:f>IF(OR(A81="COUPON/MISC ITEMS",A81="(CORP USE ONLY)"),"Excluded","Included")</x:f>
        <x:v>Included</x:v>
      </x:c>
      <x:c r="F81" s="40"/>
    </x:row>
    <x:row r="82" ht="28" customHeight="1">
      <x:c r="A82" s="40" t="str">
        <x:v>HOUSEHOLD CLEANG NEEDS</x:v>
      </x:c>
      <x:c r="B82" s="46" t="n">
        <x:v>39364.61</x:v>
      </x:c>
      <x:c r="C82" s="46" t="n">
        <x:v>15116.21</x:v>
      </x:c>
      <x:c r="D82" s="51" t="n">
        <x:f>IF(B82=0,"n.a.",C82/B82)</x:f>
        <x:v>0.3840050746088936</x:v>
      </x:c>
      <x:c r="E82" s="48" t="str">
        <x:f>IF(OR(A82="COUPON/MISC ITEMS",A82="(CORP USE ONLY)"),"Excluded","Included")</x:f>
        <x:v>Included</x:v>
      </x:c>
      <x:c r="F82" s="40"/>
    </x:row>
    <x:row r="83" ht="28" customHeight="1">
      <x:c r="A83" s="40" t="str">
        <x:v>APPLES</x:v>
      </x:c>
      <x:c r="B83" s="46" t="n">
        <x:v>38698.01</x:v>
      </x:c>
      <x:c r="C83" s="46" t="n">
        <x:v>7566.71</x:v>
      </x:c>
      <x:c r="D83" s="51" t="n">
        <x:f>IF(B83=0,"n.a.",C83/B83)</x:f>
        <x:v>0.195532276724307</x:v>
      </x:c>
      <x:c r="E83" s="48" t="str">
        <x:f>IF(OR(A83="COUPON/MISC ITEMS",A83="(CORP USE ONLY)"),"Excluded","Included")</x:f>
        <x:v>Included</x:v>
      </x:c>
      <x:c r="F83" s="40"/>
    </x:row>
    <x:row r="84" ht="28" customHeight="1">
      <x:c r="A84" s="40" t="str">
        <x:v>CAKES</x:v>
      </x:c>
      <x:c r="B84" s="46" t="n">
        <x:v>38690.65</x:v>
      </x:c>
      <x:c r="C84" s="46" t="n">
        <x:v>7065.92</x:v>
      </x:c>
      <x:c r="D84" s="51" t="n">
        <x:f>IF(B84=0,"n.a.",C84/B84)</x:f>
        <x:v>0.18262603497227367</x:v>
      </x:c>
      <x:c r="E84" s="48" t="str">
        <x:f>IF(OR(A84="COUPON/MISC ITEMS",A84="(CORP USE ONLY)"),"Excluded","Included")</x:f>
        <x:v>Included</x:v>
      </x:c>
      <x:c r="F84" s="40"/>
    </x:row>
    <x:row r="85" ht="28" customHeight="1">
      <x:c r="A85" s="40" t="str">
        <x:v>DRY BN/VEG/POTATO/RICE</x:v>
      </x:c>
      <x:c r="B85" s="46" t="n">
        <x:v>37523.73</x:v>
      </x:c>
      <x:c r="C85" s="46" t="n">
        <x:v>14945.1</x:v>
      </x:c>
      <x:c r="D85" s="51" t="n">
        <x:f>IF(B85=0,"n.a.",C85/B85)</x:f>
        <x:v>0.39828396590637444</x:v>
      </x:c>
      <x:c r="E85" s="48" t="str">
        <x:f>IF(OR(A85="COUPON/MISC ITEMS",A85="(CORP USE ONLY)"),"Excluded","Included")</x:f>
        <x:v>Included</x:v>
      </x:c>
      <x:c r="F85" s="40"/>
    </x:row>
    <x:row r="86" ht="28" customHeight="1">
      <x:c r="A86" s="40" t="str">
        <x:v>ORAL HYGIENE PRODUCTS</x:v>
      </x:c>
      <x:c r="B86" s="46" t="n">
        <x:v>36423.45</x:v>
      </x:c>
      <x:c r="C86" s="46" t="n">
        <x:v>12187.12</x:v>
      </x:c>
      <x:c r="D86" s="51" t="n">
        <x:f>IF(B86=0,"n.a.",C86/B86)</x:f>
        <x:v>0.3345954323382327</x:v>
      </x:c>
      <x:c r="E86" s="48" t="str">
        <x:f>IF(OR(A86="COUPON/MISC ITEMS",A86="(CORP USE ONLY)"),"Excluded","Included")</x:f>
        <x:v>Included</x:v>
      </x:c>
      <x:c r="F86" s="40"/>
    </x:row>
    <x:row r="87" ht="28" customHeight="1">
      <x:c r="A87" s="40" t="str">
        <x:v>BERRIES</x:v>
      </x:c>
      <x:c r="B87" s="46" t="n">
        <x:v>34145.31</x:v>
      </x:c>
      <x:c r="C87" s="46" t="n">
        <x:v>13631.09</x:v>
      </x:c>
      <x:c r="D87" s="51" t="n">
        <x:f>IF(B87=0,"n.a.",C87/B87)</x:f>
        <x:v>0.3992082660839805</x:v>
      </x:c>
      <x:c r="E87" s="48" t="str">
        <x:f>IF(OR(A87="COUPON/MISC ITEMS",A87="(CORP USE ONLY)"),"Excluded","Included")</x:f>
        <x:v>Included</x:v>
      </x:c>
      <x:c r="F87" s="40"/>
    </x:row>
    <x:row r="88" ht="28" customHeight="1">
      <x:c r="A88" s="40" t="str">
        <x:v>GRAPES</x:v>
      </x:c>
      <x:c r="B88" s="46" t="n">
        <x:v>34032.87</x:v>
      </x:c>
      <x:c r="C88" s="46" t="n">
        <x:v>11516.5</x:v>
      </x:c>
      <x:c r="D88" s="51" t="n">
        <x:f>IF(B88=0,"n.a.",C88/B88)</x:f>
        <x:v>0.33839344139944705</x:v>
      </x:c>
      <x:c r="E88" s="48" t="str">
        <x:f>IF(OR(A88="COUPON/MISC ITEMS",A88="(CORP USE ONLY)"),"Excluded","Included")</x:f>
        <x:v>Included</x:v>
      </x:c>
      <x:c r="F88" s="40"/>
    </x:row>
    <x:row r="89" ht="28" customHeight="1">
      <x:c r="A89" s="40" t="str">
        <x:v>PASTA SAUCE</x:v>
      </x:c>
      <x:c r="B89" s="46" t="n">
        <x:v>33993.4</x:v>
      </x:c>
      <x:c r="C89" s="46" t="n">
        <x:v>21758.98</x:v>
      </x:c>
      <x:c r="D89" s="51" t="n">
        <x:f>IF(B89=0,"n.a.",C89/B89)</x:f>
        <x:v>0.6400942535904028</x:v>
      </x:c>
      <x:c r="E89" s="48" t="str">
        <x:f>IF(OR(A89="COUPON/MISC ITEMS",A89="(CORP USE ONLY)"),"Excluded","Included")</x:f>
        <x:v>Included</x:v>
      </x:c>
      <x:c r="F89" s="40"/>
    </x:row>
    <x:row r="90" ht="28" customHeight="1">
      <x:c r="A90" s="40" t="str">
        <x:v>HOT DOGS</x:v>
      </x:c>
      <x:c r="B90" s="46" t="n">
        <x:v>33983.23</x:v>
      </x:c>
      <x:c r="C90" s="46" t="n">
        <x:v>19563.26</x:v>
      </x:c>
      <x:c r="D90" s="51" t="n">
        <x:f>IF(B90=0,"n.a.",C90/B90)</x:f>
        <x:v>0.5756739427064466</x:v>
      </x:c>
      <x:c r="E90" s="48" t="str">
        <x:f>IF(OR(A90="COUPON/MISC ITEMS",A90="(CORP USE ONLY)"),"Excluded","Included")</x:f>
        <x:v>Included</x:v>
      </x:c>
      <x:c r="F90" s="40"/>
    </x:row>
    <x:row r="91" ht="28" customHeight="1">
      <x:c r="A91" s="40" t="str">
        <x:v>CAT FOOD</x:v>
      </x:c>
      <x:c r="B91" s="46" t="n">
        <x:v>33590.66</x:v>
      </x:c>
      <x:c r="C91" s="46" t="n">
        <x:v>19606.3</x:v>
      </x:c>
      <x:c r="D91" s="51" t="n">
        <x:f>IF(B91=0,"n.a.",C91/B91)</x:f>
        <x:v>0.5836830833332837</x:v>
      </x:c>
      <x:c r="E91" s="48" t="str">
        <x:f>IF(OR(A91="COUPON/MISC ITEMS",A91="(CORP USE ONLY)"),"Excluded","Included")</x:f>
        <x:v>Included</x:v>
      </x:c>
      <x:c r="F91" s="40"/>
    </x:row>
    <x:row r="92" ht="28" customHeight="1">
      <x:c r="A92" s="40" t="str">
        <x:v>GREETING CARDS/WRAP/PARTY SPLY</x:v>
      </x:c>
      <x:c r="B92" s="46" t="n">
        <x:v>33396.59</x:v>
      </x:c>
      <x:c r="C92" s="46" t="n">
        <x:v>486.91</x:v>
      </x:c>
      <x:c r="D92" s="51" t="n">
        <x:f>IF(B92=0,"n.a.",C92/B92)</x:f>
        <x:v>0.0145796322319135</x:v>
      </x:c>
      <x:c r="E92" s="48" t="str">
        <x:f>IF(OR(A92="COUPON/MISC ITEMS",A92="(CORP USE ONLY)"),"Excluded","Included")</x:f>
        <x:v>Included</x:v>
      </x:c>
      <x:c r="F92" s="40"/>
    </x:row>
    <x:row r="93" ht="28" customHeight="1">
      <x:c r="A93" s="40" t="str">
        <x:v>VEGETABLES - ALL OTHERS</x:v>
      </x:c>
      <x:c r="B93" s="46" t="n">
        <x:v>33137.55</x:v>
      </x:c>
      <x:c r="C93" s="46" t="n">
        <x:v>4087.97</x:v>
      </x:c>
      <x:c r="D93" s="51" t="n">
        <x:f>IF(B93=0,"n.a.",C93/B93)</x:f>
        <x:v>0.12336367655424132</x:v>
      </x:c>
      <x:c r="E93" s="48" t="str">
        <x:f>IF(OR(A93="COUPON/MISC ITEMS",A93="(CORP USE ONLY)"),"Excluded","Included")</x:f>
        <x:v>Included</x:v>
      </x:c>
      <x:c r="F93" s="40"/>
    </x:row>
    <x:row r="94" ht="28" customHeight="1">
      <x:c r="A94" s="40" t="str">
        <x:v>MAGAZINE</x:v>
      </x:c>
      <x:c r="B94" s="46" t="n">
        <x:v>32785.65</x:v>
      </x:c>
      <x:c r="C94" s="46" t="n">
        <x:v>46.43</x:v>
      </x:c>
      <x:c r="D94" s="51" t="n">
        <x:f>IF(B94=0,"n.a.",C94/B94)</x:f>
        <x:v>0.0014161683541427422</x:v>
      </x:c>
      <x:c r="E94" s="48" t="str">
        <x:f>IF(OR(A94="COUPON/MISC ITEMS",A94="(CORP USE ONLY)"),"Excluded","Included")</x:f>
        <x:v>Included</x:v>
      </x:c>
      <x:c r="F94" s="40"/>
    </x:row>
    <x:row r="95" ht="28" customHeight="1">
      <x:c r="A95" s="40" t="str">
        <x:v>CHICKEN/POULTRY</x:v>
      </x:c>
      <x:c r="B95" s="46" t="n">
        <x:v>32295.98</x:v>
      </x:c>
      <x:c r="C95" s="46" t="n">
        <x:v>19455.54</x:v>
      </x:c>
      <x:c r="D95" s="51" t="n">
        <x:f>IF(B95=0,"n.a.",C95/B95)</x:f>
        <x:v>0.6024136750146613</x:v>
      </x:c>
      <x:c r="E95" s="48" t="str">
        <x:f>IF(OR(A95="COUPON/MISC ITEMS",A95="(CORP USE ONLY)"),"Excluded","Included")</x:f>
        <x:v>Included</x:v>
      </x:c>
      <x:c r="F95" s="40"/>
    </x:row>
    <x:row r="96" ht="28" customHeight="1">
      <x:c r="A96" s="40" t="str">
        <x:v>PNT BTR/JELLY/JAMS</x:v>
      </x:c>
      <x:c r="B96" s="46" t="n">
        <x:v>32167.93</x:v>
      </x:c>
      <x:c r="C96" s="46" t="n">
        <x:v>17506.9</x:v>
      </x:c>
      <x:c r="D96" s="51" t="n">
        <x:f>IF(B96=0,"n.a.",C96/B96)</x:f>
        <x:v>0.5442345839474284</x:v>
      </x:c>
      <x:c r="E96" s="48" t="str">
        <x:f>IF(OR(A96="COUPON/MISC ITEMS",A96="(CORP USE ONLY)"),"Excluded","Included")</x:f>
        <x:v>Included</x:v>
      </x:c>
      <x:c r="F96" s="40"/>
    </x:row>
    <x:row r="97" ht="28" customHeight="1">
      <x:c r="A97" s="40" t="str">
        <x:v>BAKING MIXES</x:v>
      </x:c>
      <x:c r="B97" s="46" t="n">
        <x:v>31079.76</x:v>
      </x:c>
      <x:c r="C97" s="46" t="n">
        <x:v>15961.55</x:v>
      </x:c>
      <x:c r="D97" s="51" t="n">
        <x:f>IF(B97=0,"n.a.",C97/B97)</x:f>
        <x:v>0.5135673505844318</x:v>
      </x:c>
      <x:c r="E97" s="48" t="str">
        <x:f>IF(OR(A97="COUPON/MISC ITEMS",A97="(CORP USE ONLY)"),"Excluded","Included")</x:f>
        <x:v>Included</x:v>
      </x:c>
      <x:c r="F97" s="40"/>
    </x:row>
    <x:row r="98" ht="28" customHeight="1">
      <x:c r="A98" s="40" t="str">
        <x:v>SALAD BAR</x:v>
      </x:c>
      <x:c r="B98" s="46" t="n">
        <x:v>30907.08</x:v>
      </x:c>
      <x:c r="C98" s="46" t="n">
        <x:v>2491.18</x:v>
      </x:c>
      <x:c r="D98" s="51" t="n">
        <x:f>IF(B98=0,"n.a.",C98/B98)</x:f>
        <x:v>0.08060224388716113</x:v>
      </x:c>
      <x:c r="E98" s="48" t="str">
        <x:f>IF(OR(A98="COUPON/MISC ITEMS",A98="(CORP USE ONLY)"),"Excluded","Included")</x:f>
        <x:v>Included</x:v>
      </x:c>
      <x:c r="F98" s="40"/>
    </x:row>
    <x:row r="99" ht="28" customHeight="1">
      <x:c r="A99" s="40" t="str">
        <x:v>BAKING NEEDS</x:v>
      </x:c>
      <x:c r="B99" s="46" t="n">
        <x:v>30533.71</x:v>
      </x:c>
      <x:c r="C99" s="46" t="n">
        <x:v>14565.82</x:v>
      </x:c>
      <x:c r="D99" s="51" t="n">
        <x:f>IF(B99=0,"n.a.",C99/B99)</x:f>
        <x:v>0.4770406216604533</x:v>
      </x:c>
      <x:c r="E99" s="48" t="str">
        <x:f>IF(OR(A99="COUPON/MISC ITEMS",A99="(CORP USE ONLY)"),"Excluded","Included")</x:f>
        <x:v>Included</x:v>
      </x:c>
      <x:c r="F99" s="40"/>
    </x:row>
    <x:row r="100" ht="28" customHeight="1">
      <x:c r="A100" s="40" t="str">
        <x:v>PAPER TOWELS</x:v>
      </x:c>
      <x:c r="B100" s="46" t="n">
        <x:v>30254.54</x:v>
      </x:c>
      <x:c r="C100" s="46" t="n">
        <x:v>18582.37</x:v>
      </x:c>
      <x:c r="D100" s="51" t="n">
        <x:f>IF(B100=0,"n.a.",C100/B100)</x:f>
        <x:v>0.6142010422237455</x:v>
      </x:c>
      <x:c r="E100" s="48" t="str">
        <x:f>IF(OR(A100="COUPON/MISC ITEMS",A100="(CORP USE ONLY)"),"Excluded","Included")</x:f>
        <x:v>Included</x:v>
      </x:c>
      <x:c r="F100" s="40"/>
    </x:row>
    <x:row r="101" ht="28" customHeight="1">
      <x:c r="A101" s="40" t="str">
        <x:v>FUEL</x:v>
      </x:c>
      <x:c r="B101" s="46" t="n">
        <x:v>29536.56</x:v>
      </x:c>
      <x:c r="C101" s="46" t="n">
        <x:v>202.28</x:v>
      </x:c>
      <x:c r="D101" s="51" t="n">
        <x:f>IF(B101=0,"n.a.",C101/B101)</x:f>
        <x:v>0.006848461703055467</x:v>
      </x:c>
      <x:c r="E101" s="48" t="str">
        <x:f>IF(OR(A101="COUPON/MISC ITEMS",A101="(CORP USE ONLY)"),"Excluded","Included")</x:f>
        <x:v>Included</x:v>
      </x:c>
      <x:c r="F101" s="40"/>
    </x:row>
    <x:row r="102" ht="28" customHeight="1">
      <x:c r="A102" s="40" t="str">
        <x:v>HEAT/SERVE</x:v>
      </x:c>
      <x:c r="B102" s="46" t="n">
        <x:v>28240.17</x:v>
      </x:c>
      <x:c r="C102" s="46" t="n">
        <x:v>12297.34</x:v>
      </x:c>
      <x:c r="D102" s="51" t="n">
        <x:f>IF(B102=0,"n.a.",C102/B102)</x:f>
        <x:v>0.43545559392879013</x:v>
      </x:c>
      <x:c r="E102" s="48" t="str">
        <x:f>IF(OR(A102="COUPON/MISC ITEMS",A102="(CORP USE ONLY)"),"Excluded","Included")</x:f>
        <x:v>Included</x:v>
      </x:c>
      <x:c r="F102" s="40"/>
    </x:row>
    <x:row r="103" ht="28" customHeight="1">
      <x:c r="A103" s="40" t="str">
        <x:v>SPICES &amp; EXTRACTS</x:v>
      </x:c>
      <x:c r="B103" s="46" t="n">
        <x:v>28220.11</x:v>
      </x:c>
      <x:c r="C103" s="46" t="n">
        <x:v>13388.96</x:v>
      </x:c>
      <x:c r="D103" s="51" t="n">
        <x:f>IF(B103=0,"n.a.",C103/B103)</x:f>
        <x:v>0.47444747734859993</x:v>
      </x:c>
      <x:c r="E103" s="48" t="str">
        <x:f>IF(OR(A103="COUPON/MISC ITEMS",A103="(CORP USE ONLY)"),"Excluded","Included")</x:f>
        <x:v>Included</x:v>
      </x:c>
      <x:c r="F103" s="40"/>
    </x:row>
    <x:row r="104" ht="28" customHeight="1">
      <x:c r="A104" s="40" t="str">
        <x:v>CANDY - CHECKLANE</x:v>
      </x:c>
      <x:c r="B104" s="46" t="n">
        <x:v>28123.17</x:v>
      </x:c>
      <x:c r="C104" s="46" t="n">
        <x:v>12514.85</x:v>
      </x:c>
      <x:c r="D104" s="51" t="n">
        <x:f>IF(B104=0,"n.a.",C104/B104)</x:f>
        <x:v>0.4450013992021526</x:v>
      </x:c>
      <x:c r="E104" s="48" t="str">
        <x:f>IF(OR(A104="COUPON/MISC ITEMS",A104="(CORP USE ONLY)"),"Excluded","Included")</x:f>
        <x:v>Included</x:v>
      </x:c>
      <x:c r="F104" s="40"/>
    </x:row>
    <x:row r="105" ht="28" customHeight="1">
      <x:c r="A105" s="40" t="str">
        <x:v>SHORTENING/OIL</x:v>
      </x:c>
      <x:c r="B105" s="46" t="n">
        <x:v>28097.65</x:v>
      </x:c>
      <x:c r="C105" s="46" t="n">
        <x:v>15505.77</x:v>
      </x:c>
      <x:c r="D105" s="51" t="n">
        <x:f>IF(B105=0,"n.a.",C105/B105)</x:f>
        <x:v>0.551852912966031</x:v>
      </x:c>
      <x:c r="E105" s="48" t="str">
        <x:f>IF(OR(A105="COUPON/MISC ITEMS",A105="(CORP USE ONLY)"),"Excluded","Included")</x:f>
        <x:v>Included</x:v>
      </x:c>
      <x:c r="F105" s="40"/>
    </x:row>
    <x:row r="106" ht="28" customHeight="1">
      <x:c r="A106" s="40" t="str">
        <x:v>SUGARS/SWEETNERS</x:v>
      </x:c>
      <x:c r="B106" s="46" t="n">
        <x:v>27505.62</x:v>
      </x:c>
      <x:c r="C106" s="46" t="n">
        <x:v>10428.85</x:v>
      </x:c>
      <x:c r="D106" s="51" t="n">
        <x:f>IF(B106=0,"n.a.",C106/B106)</x:f>
        <x:v>0.3791534239184574</x:v>
      </x:c>
      <x:c r="E106" s="48" t="str">
        <x:f>IF(OR(A106="COUPON/MISC ITEMS",A106="(CORP USE ONLY)"),"Excluded","Included")</x:f>
        <x:v>Included</x:v>
      </x:c>
      <x:c r="F106" s="40"/>
    </x:row>
    <x:row r="107" ht="28" customHeight="1">
      <x:c r="A107" s="40" t="str">
        <x:v>SMOKED MEATS</x:v>
      </x:c>
      <x:c r="B107" s="46" t="n">
        <x:v>27126.22</x:v>
      </x:c>
      <x:c r="C107" s="46" t="n">
        <x:v>14884.45</x:v>
      </x:c>
      <x:c r="D107" s="51" t="n">
        <x:f>IF(B107=0,"n.a.",C107/B107)</x:f>
        <x:v>0.5487108045278701</x:v>
      </x:c>
      <x:c r="E107" s="48" t="str">
        <x:f>IF(OR(A107="COUPON/MISC ITEMS",A107="(CORP USE ONLY)"),"Excluded","Included")</x:f>
        <x:v>Included</x:v>
      </x:c>
      <x:c r="F107" s="40"/>
    </x:row>
    <x:row r="108" ht="28" customHeight="1">
      <x:c r="A108" s="40" t="str">
        <x:v>COLD AND FLU</x:v>
      </x:c>
      <x:c r="B108" s="46" t="n">
        <x:v>25642.44</x:v>
      </x:c>
      <x:c r="C108" s="46" t="n">
        <x:v>8477.05</x:v>
      </x:c>
      <x:c r="D108" s="51" t="n">
        <x:f>IF(B108=0,"n.a.",C108/B108)</x:f>
        <x:v>0.33058671483680957</x:v>
      </x:c>
      <x:c r="E108" s="48" t="str">
        <x:f>IF(OR(A108="COUPON/MISC ITEMS",A108="(CORP USE ONLY)"),"Excluded","Included")</x:f>
        <x:v>Included</x:v>
      </x:c>
      <x:c r="F108" s="40"/>
    </x:row>
    <x:row r="109" ht="28" customHeight="1">
      <x:c r="A109" s="40" t="str">
        <x:v>ANALGESICS</x:v>
      </x:c>
      <x:c r="B109" s="46" t="n">
        <x:v>25426.21</x:v>
      </x:c>
      <x:c r="C109" s="46" t="n">
        <x:v>7990.72</x:v>
      </x:c>
      <x:c r="D109" s="51" t="n">
        <x:f>IF(B109=0,"n.a.",C109/B109)</x:f>
        <x:v>0.3142709825805734</x:v>
      </x:c>
      <x:c r="E109" s="48" t="str">
        <x:f>IF(OR(A109="COUPON/MISC ITEMS",A109="(CORP USE ONLY)"),"Excluded","Included")</x:f>
        <x:v>Included</x:v>
      </x:c>
      <x:c r="F109" s="40"/>
    </x:row>
    <x:row r="110" ht="28" customHeight="1">
      <x:c r="A110" s="40" t="str">
        <x:v>REFRIGERATED</x:v>
      </x:c>
      <x:c r="B110" s="46" t="n">
        <x:v>25323.02</x:v>
      </x:c>
      <x:c r="C110" s="46" t="n">
        <x:v>9133.76</x:v>
      </x:c>
      <x:c r="D110" s="51" t="n">
        <x:f>IF(B110=0,"n.a.",C110/B110)</x:f>
        <x:v>0.3606899966907581</x:v>
      </x:c>
      <x:c r="E110" s="48" t="str">
        <x:f>IF(OR(A110="COUPON/MISC ITEMS",A110="(CORP USE ONLY)"),"Excluded","Included")</x:f>
        <x:v>Included</x:v>
      </x:c>
      <x:c r="F110" s="40"/>
    </x:row>
    <x:row r="111" ht="28" customHeight="1">
      <x:c r="A111" s="40" t="str">
        <x:v>SEAFOOD - SHELF STABLE</x:v>
      </x:c>
      <x:c r="B111" s="46" t="n">
        <x:v>24991.74</x:v>
      </x:c>
      <x:c r="C111" s="46" t="n">
        <x:v>13317.95</x:v>
      </x:c>
      <x:c r="D111" s="51" t="n">
        <x:f>IF(B111=0,"n.a.",C111/B111)</x:f>
        <x:v>0.5328940682001333</x:v>
      </x:c>
      <x:c r="E111" s="48" t="str">
        <x:f>IF(OR(A111="COUPON/MISC ITEMS",A111="(CORP USE ONLY)"),"Excluded","Included")</x:f>
        <x:v>Included</x:v>
      </x:c>
      <x:c r="F111" s="40"/>
    </x:row>
    <x:row r="112" ht="28" customHeight="1">
      <x:c r="A112" s="40" t="str">
        <x:v>PAPER HOUSEWARES</x:v>
      </x:c>
      <x:c r="B112" s="46" t="n">
        <x:v>24952.22</x:v>
      </x:c>
      <x:c r="C112" s="46" t="n">
        <x:v>14932.27</x:v>
      </x:c>
      <x:c r="D112" s="51" t="n">
        <x:f>IF(B112=0,"n.a.",C112/B112)</x:f>
        <x:v>0.5984345280700475</x:v>
      </x:c>
      <x:c r="E112" s="48" t="str">
        <x:f>IF(OR(A112="COUPON/MISC ITEMS",A112="(CORP USE ONLY)"),"Excluded","Included")</x:f>
        <x:v>Included</x:v>
      </x:c>
      <x:c r="F112" s="40"/>
    </x:row>
    <x:row r="113" ht="28" customHeight="1">
      <x:c r="A113" s="40" t="str">
        <x:v>FRZN BREAKFAST FOODS</x:v>
      </x:c>
      <x:c r="B113" s="46" t="n">
        <x:v>24927.7</x:v>
      </x:c>
      <x:c r="C113" s="46" t="n">
        <x:v>18292.34</x:v>
      </x:c>
      <x:c r="D113" s="51" t="n">
        <x:f>IF(B113=0,"n.a.",C113/B113)</x:f>
        <x:v>0.7338157952799496</x:v>
      </x:c>
      <x:c r="E113" s="48" t="str">
        <x:f>IF(OR(A113="COUPON/MISC ITEMS",A113="(CORP USE ONLY)"),"Excluded","Included")</x:f>
        <x:v>Included</x:v>
      </x:c>
      <x:c r="F113" s="40"/>
    </x:row>
    <x:row r="114" ht="28" customHeight="1">
      <x:c r="A114" s="40" t="str">
        <x:v>ISOTONIC DRINKS</x:v>
      </x:c>
      <x:c r="B114" s="46" t="n">
        <x:v>24753.33</x:v>
      </x:c>
      <x:c r="C114" s="46" t="n">
        <x:v>15723.8</x:v>
      </x:c>
      <x:c r="D114" s="51" t="n">
        <x:f>IF(B114=0,"n.a.",C114/B114)</x:f>
        <x:v>0.6352195845973047</x:v>
      </x:c>
      <x:c r="E114" s="48" t="str">
        <x:f>IF(OR(A114="COUPON/MISC ITEMS",A114="(CORP USE ONLY)"),"Excluded","Included")</x:f>
        <x:v>Included</x:v>
      </x:c>
      <x:c r="F114" s="40"/>
    </x:row>
    <x:row r="115" ht="28" customHeight="1">
      <x:c r="A115" s="40" t="str">
        <x:v>SALADS/DIPS</x:v>
      </x:c>
      <x:c r="B115" s="46" t="n">
        <x:v>24600.99</x:v>
      </x:c>
      <x:c r="C115" s="46" t="n">
        <x:v>8471.28</x:v>
      </x:c>
      <x:c r="D115" s="51" t="n">
        <x:f>IF(B115=0,"n.a.",C115/B115)</x:f>
        <x:v>0.3443471177379447</x:v>
      </x:c>
      <x:c r="E115" s="48" t="str">
        <x:f>IF(OR(A115="COUPON/MISC ITEMS",A115="(CORP USE ONLY)"),"Excluded","Included")</x:f>
        <x:v>Included</x:v>
      </x:c>
      <x:c r="F115" s="40"/>
    </x:row>
    <x:row r="116" ht="28" customHeight="1">
      <x:c r="A116" s="40" t="str">
        <x:v>CITRUS</x:v>
      </x:c>
      <x:c r="B116" s="46" t="n">
        <x:v>24527.9</x:v>
      </x:c>
      <x:c r="C116" s="46" t="n">
        <x:v>4222.01</x:v>
      </x:c>
      <x:c r="D116" s="51" t="n">
        <x:f>IF(B116=0,"n.a.",C116/B116)</x:f>
        <x:v>0.1721309202989249</x:v>
      </x:c>
      <x:c r="E116" s="48" t="str">
        <x:f>IF(OR(A116="COUPON/MISC ITEMS",A116="(CORP USE ONLY)"),"Excluded","Included")</x:f>
        <x:v>Included</x:v>
      </x:c>
      <x:c r="F116" s="40"/>
    </x:row>
    <x:row r="117" ht="28" customHeight="1">
      <x:c r="A117" s="40" t="str">
        <x:v>SEAFOOD-FRESH</x:v>
      </x:c>
      <x:c r="B117" s="46" t="n">
        <x:v>24335.56</x:v>
      </x:c>
      <x:c r="C117" s="46" t="n">
        <x:v>10074.39</x:v>
      </x:c>
      <x:c r="D117" s="51" t="n">
        <x:f>IF(B117=0,"n.a.",C117/B117)</x:f>
        <x:v>0.4139781455614746</x:v>
      </x:c>
      <x:c r="E117" s="48" t="str">
        <x:f>IF(OR(A117="COUPON/MISC ITEMS",A117="(CORP USE ONLY)"),"Excluded","Included")</x:f>
        <x:v>Included</x:v>
      </x:c>
      <x:c r="F117" s="40"/>
    </x:row>
    <x:row r="118" ht="28" customHeight="1">
      <x:c r="A118" s="40" t="str">
        <x:v>BABY FOODS</x:v>
      </x:c>
      <x:c r="B118" s="46" t="n">
        <x:v>24073.6</x:v>
      </x:c>
      <x:c r="C118" s="46" t="n">
        <x:v>4224.6</x:v>
      </x:c>
      <x:c r="D118" s="51" t="n">
        <x:f>IF(B118=0,"n.a.",C118/B118)</x:f>
        <x:v>0.17548684035624088</x:v>
      </x:c>
      <x:c r="E118" s="48" t="str">
        <x:f>IF(OR(A118="COUPON/MISC ITEMS",A118="(CORP USE ONLY)"),"Excluded","Included")</x:f>
        <x:v>Included</x:v>
      </x:c>
      <x:c r="F118" s="40"/>
    </x:row>
    <x:row r="119" ht="28" customHeight="1">
      <x:c r="A119" s="40" t="str">
        <x:v>LIQUOR</x:v>
      </x:c>
      <x:c r="B119" s="46" t="n">
        <x:v>23820.53</x:v>
      </x:c>
      <x:c r="C119" s="46" t="n">
        <x:v>428.69</x:v>
      </x:c>
      <x:c r="D119" s="51" t="n">
        <x:f>IF(B119=0,"n.a.",C119/B119)</x:f>
        <x:v>0.017996660863549216</x:v>
      </x:c>
      <x:c r="E119" s="48" t="str">
        <x:f>IF(OR(A119="COUPON/MISC ITEMS",A119="(CORP USE ONLY)"),"Excluded","Included")</x:f>
        <x:v>Included</x:v>
      </x:c>
      <x:c r="F119" s="40"/>
    </x:row>
    <x:row r="120" ht="28" customHeight="1">
      <x:c r="A120" s="40" t="str">
        <x:v>ONIONS</x:v>
      </x:c>
      <x:c r="B120" s="46" t="n">
        <x:v>23770.37</x:v>
      </x:c>
      <x:c r="C120" s="46" t="n">
        <x:v>1610.08</x:v>
      </x:c>
      <x:c r="D120" s="51" t="n">
        <x:f>IF(B120=0,"n.a.",C120/B120)</x:f>
        <x:v>0.06773474708218677</x:v>
      </x:c>
      <x:c r="E120" s="48" t="str">
        <x:f>IF(OR(A120="COUPON/MISC ITEMS",A120="(CORP USE ONLY)"),"Excluded","Included")</x:f>
        <x:v>Included</x:v>
      </x:c>
      <x:c r="F120" s="40"/>
    </x:row>
    <x:row r="121" ht="28" customHeight="1">
      <x:c r="A121" s="40" t="str">
        <x:v>MAKEUP AND TREATMENT</x:v>
      </x:c>
      <x:c r="B121" s="46" t="n">
        <x:v>23513.81</x:v>
      </x:c>
      <x:c r="C121" s="46" t="n">
        <x:v>9218.5</x:v>
      </x:c>
      <x:c r="D121" s="51" t="n">
        <x:f>IF(B121=0,"n.a.",C121/B121)</x:f>
        <x:v>0.39204620603806867</x:v>
      </x:c>
      <x:c r="E121" s="48" t="str">
        <x:f>IF(OR(A121="COUPON/MISC ITEMS",A121="(CORP USE ONLY)"),"Excluded","Included")</x:f>
        <x:v>Included</x:v>
      </x:c>
      <x:c r="F121" s="40"/>
    </x:row>
    <x:row r="122" ht="28" customHeight="1">
      <x:c r="A122" s="40" t="str">
        <x:v>DRY NOODLES/PASTA</x:v>
      </x:c>
      <x:c r="B122" s="46" t="n">
        <x:v>23361.48</x:v>
      </x:c>
      <x:c r="C122" s="46" t="n">
        <x:v>16975.47</x:v>
      </x:c>
      <x:c r="D122" s="51" t="n">
        <x:f>IF(B122=0,"n.a.",C122/B122)</x:f>
        <x:v>0.7266436030593952</x:v>
      </x:c>
      <x:c r="E122" s="48" t="str">
        <x:f>IF(OR(A122="COUPON/MISC ITEMS",A122="(CORP USE ONLY)"),"Excluded","Included")</x:f>
        <x:v>Included</x:v>
      </x:c>
      <x:c r="F122" s="40"/>
    </x:row>
    <x:row r="123" ht="28" customHeight="1">
      <x:c r="A123" s="40" t="str">
        <x:v>MARGARINES</x:v>
      </x:c>
      <x:c r="B123" s="46" t="n">
        <x:v>23123.26</x:v>
      </x:c>
      <x:c r="C123" s="46" t="n">
        <x:v>7970.72</x:v>
      </x:c>
      <x:c r="D123" s="51" t="n">
        <x:f>IF(B123=0,"n.a.",C123/B123)</x:f>
        <x:v>0.34470572056016324</x:v>
      </x:c>
      <x:c r="E123" s="48" t="str">
        <x:f>IF(OR(A123="COUPON/MISC ITEMS",A123="(CORP USE ONLY)"),"Excluded","Included")</x:f>
        <x:v>Included</x:v>
      </x:c>
      <x:c r="F123" s="40"/>
    </x:row>
    <x:row r="124" ht="28" customHeight="1">
      <x:c r="A124" s="40" t="str">
        <x:v>MISC. DAIRY</x:v>
      </x:c>
      <x:c r="B124" s="46" t="n">
        <x:v>22931.53</x:v>
      </x:c>
      <x:c r="C124" s="46" t="n">
        <x:v>13190.83</x:v>
      </x:c>
      <x:c r="D124" s="51" t="n">
        <x:f>IF(B124=0,"n.a.",C124/B124)</x:f>
        <x:v>0.5752267729192078</x:v>
      </x:c>
      <x:c r="E124" s="48" t="str">
        <x:f>IF(OR(A124="COUPON/MISC ITEMS",A124="(CORP USE ONLY)"),"Excluded","Included")</x:f>
        <x:v>Included</x:v>
      </x:c>
      <x:c r="F124" s="40"/>
    </x:row>
    <x:row r="125" ht="28" customHeight="1">
      <x:c r="A125" s="40" t="str">
        <x:v>SHAVING CARE PRODUCTS</x:v>
      </x:c>
      <x:c r="B125" s="46" t="n">
        <x:v>22927.8</x:v>
      </x:c>
      <x:c r="C125" s="46" t="n">
        <x:v>6455.07</x:v>
      </x:c>
      <x:c r="D125" s="51" t="n">
        <x:f>IF(B125=0,"n.a.",C125/B125)</x:f>
        <x:v>0.2815390050506372</x:v>
      </x:c>
      <x:c r="E125" s="48" t="str">
        <x:f>IF(OR(A125="COUPON/MISC ITEMS",A125="(CORP USE ONLY)"),"Excluded","Included")</x:f>
        <x:v>Included</x:v>
      </x:c>
      <x:c r="F125" s="40"/>
    </x:row>
    <x:row r="126" ht="28" customHeight="1">
      <x:c r="A126" s="40" t="str">
        <x:v>PREPARED FOOD</x:v>
      </x:c>
      <x:c r="B126" s="46" t="n">
        <x:v>21906.37</x:v>
      </x:c>
      <x:c r="C126" s="46" t="n">
        <x:v>6910.26</x:v>
      </x:c>
      <x:c r="D126" s="51" t="n">
        <x:f>IF(B126=0,"n.a.",C126/B126)</x:f>
        <x:v>0.3154452335097052</x:v>
      </x:c>
      <x:c r="E126" s="48" t="str">
        <x:f>IF(OR(A126="COUPON/MISC ITEMS",A126="(CORP USE ONLY)"),"Excluded","Included")</x:f>
        <x:v>Included</x:v>
      </x:c>
      <x:c r="F126" s="40"/>
    </x:row>
    <x:row r="127" ht="28" customHeight="1">
      <x:c r="A127" s="40" t="str">
        <x:v>SOAP - LIQUID &amp; BAR</x:v>
      </x:c>
      <x:c r="B127" s="46" t="n">
        <x:v>21681.52</x:v>
      </x:c>
      <x:c r="C127" s="46" t="n">
        <x:v>9876.58</x:v>
      </x:c>
      <x:c r="D127" s="51" t="n">
        <x:f>IF(B127=0,"n.a.",C127/B127)</x:f>
        <x:v>0.45552987059947825</x:v>
      </x:c>
      <x:c r="E127" s="48" t="str">
        <x:f>IF(OR(A127="COUPON/MISC ITEMS",A127="(CORP USE ONLY)"),"Excluded","Included")</x:f>
        <x:v>Included</x:v>
      </x:c>
      <x:c r="F127" s="40"/>
    </x:row>
    <x:row r="128" ht="28" customHeight="1">
      <x:c r="A128" s="40" t="str">
        <x:v>PREPAID WIRELESS&amp;ACCESSORIES</x:v>
      </x:c>
      <x:c r="B128" s="46" t="n">
        <x:v>21644.47</x:v>
      </x:c>
      <x:c r="C128" s="46" t="n">
        <x:v>4219.24</x:v>
      </x:c>
      <x:c r="D128" s="51" t="n">
        <x:f>IF(B128=0,"n.a.",C128/B128)</x:f>
        <x:v>0.19493385608425615</x:v>
      </x:c>
      <x:c r="E128" s="48" t="str">
        <x:f>IF(OR(A128="COUPON/MISC ITEMS",A128="(CORP USE ONLY)"),"Excluded","Included")</x:f>
        <x:v>Included</x:v>
      </x:c>
      <x:c r="F128" s="40"/>
    </x:row>
    <x:row r="129" ht="28" customHeight="1">
      <x:c r="A129" s="40" t="str">
        <x:v>FRZN POTATOES</x:v>
      </x:c>
      <x:c r="B129" s="46" t="n">
        <x:v>21579.3</x:v>
      </x:c>
      <x:c r="C129" s="46" t="n">
        <x:v>16125.58</x:v>
      </x:c>
      <x:c r="D129" s="51" t="n">
        <x:f>IF(B129=0,"n.a.",C129/B129)</x:f>
        <x:v>0.7472707641119035</x:v>
      </x:c>
      <x:c r="E129" s="48" t="str">
        <x:f>IF(OR(A129="COUPON/MISC ITEMS",A129="(CORP USE ONLY)"),"Excluded","Included")</x:f>
        <x:v>Included</x:v>
      </x:c>
      <x:c r="F129" s="40"/>
    </x:row>
    <x:row r="130" ht="28" customHeight="1">
      <x:c r="A130" s="40" t="str">
        <x:v>IMPORTED WINE</x:v>
      </x:c>
      <x:c r="B130" s="46" t="n">
        <x:v>21498.68</x:v>
      </x:c>
      <x:c r="C130" s="46" t="n">
        <x:v>178.01000000000002</x:v>
      </x:c>
      <x:c r="D130" s="51" t="n">
        <x:f>IF(B130=0,"n.a.",C130/B130)</x:f>
        <x:v>0.00828004323986403</x:v>
      </x:c>
      <x:c r="E130" s="48" t="str">
        <x:f>IF(OR(A130="COUPON/MISC ITEMS",A130="(CORP USE ONLY)"),"Excluded","Included")</x:f>
        <x:v>Included</x:v>
      </x:c>
      <x:c r="F130" s="40"/>
    </x:row>
    <x:row r="131" ht="28" customHeight="1">
      <x:c r="A131" s="40" t="str">
        <x:v>TURKEY</x:v>
      </x:c>
      <x:c r="B131" s="46" t="n">
        <x:v>21258.67</x:v>
      </x:c>
      <x:c r="C131" s="46" t="n">
        <x:v>13011.9</x:v>
      </x:c>
      <x:c r="D131" s="51" t="n">
        <x:f>IF(B131=0,"n.a.",C131/B131)</x:f>
        <x:v>0.6120749792908023</x:v>
      </x:c>
      <x:c r="E131" s="48" t="str">
        <x:f>IF(OR(A131="COUPON/MISC ITEMS",A131="(CORP USE ONLY)"),"Excluded","Included")</x:f>
        <x:v>Included</x:v>
      </x:c>
      <x:c r="F131" s="40"/>
    </x:row>
    <x:row r="132" ht="28" customHeight="1">
      <x:c r="A132" s="40" t="str">
        <x:v>HAND/BODY/FACIAL PRODUCTS</x:v>
      </x:c>
      <x:c r="B132" s="46" t="n">
        <x:v>20891.14</x:v>
      </x:c>
      <x:c r="C132" s="46" t="n">
        <x:v>7489.36</x:v>
      </x:c>
      <x:c r="D132" s="51" t="n">
        <x:f>IF(B132=0,"n.a.",C132/B132)</x:f>
        <x:v>0.3584945579800815</x:v>
      </x:c>
      <x:c r="E132" s="48" t="str">
        <x:f>IF(OR(A132="COUPON/MISC ITEMS",A132="(CORP USE ONLY)"),"Excluded","Included")</x:f>
        <x:v>Included</x:v>
      </x:c>
      <x:c r="F132" s="40"/>
    </x:row>
    <x:row r="133" ht="28" customHeight="1">
      <x:c r="A133" s="40" t="str">
        <x:v>FROZEN PIE/DESSERTS</x:v>
      </x:c>
      <x:c r="B133" s="46" t="n">
        <x:v>20835.32</x:v>
      </x:c>
      <x:c r="C133" s="46" t="n">
        <x:v>14826.61</x:v>
      </x:c>
      <x:c r="D133" s="51" t="n">
        <x:f>IF(B133=0,"n.a.",C133/B133)</x:f>
        <x:v>0.7116094209256205</x:v>
      </x:c>
      <x:c r="E133" s="48" t="str">
        <x:f>IF(OR(A133="COUPON/MISC ITEMS",A133="(CORP USE ONLY)"),"Excluded","Included")</x:f>
        <x:v>Included</x:v>
      </x:c>
      <x:c r="F133" s="40"/>
    </x:row>
    <x:row r="134" ht="28" customHeight="1">
      <x:c r="A134" s="40" t="str">
        <x:v>LAUNDRY ADDITIVES</x:v>
      </x:c>
      <x:c r="B134" s="46" t="n">
        <x:v>20265.74</x:v>
      </x:c>
      <x:c r="C134" s="46" t="n">
        <x:v>9929.76</x:v>
      </x:c>
      <x:c r="D134" s="51" t="n">
        <x:f>IF(B134=0,"n.a.",C134/B134)</x:f>
        <x:v>0.48997766674199905</x:v>
      </x:c>
      <x:c r="E134" s="48" t="str">
        <x:f>IF(OR(A134="COUPON/MISC ITEMS",A134="(CORP USE ONLY)"),"Excluded","Included")</x:f>
        <x:v>Included</x:v>
      </x:c>
      <x:c r="F134" s="40"/>
    </x:row>
    <x:row r="135" ht="28" customHeight="1">
      <x:c r="A135" s="40" t="str">
        <x:v>FEMININE HYGIENE</x:v>
      </x:c>
      <x:c r="B135" s="46" t="n">
        <x:v>20060.81</x:v>
      </x:c>
      <x:c r="C135" s="46" t="n">
        <x:v>6784.78</x:v>
      </x:c>
      <x:c r="D135" s="51" t="n">
        <x:f>IF(B135=0,"n.a.",C135/B135)</x:f>
        <x:v>0.33821067045647707</x:v>
      </x:c>
      <x:c r="E135" s="48" t="str">
        <x:f>IF(OR(A135="COUPON/MISC ITEMS",A135="(CORP USE ONLY)"),"Excluded","Included")</x:f>
        <x:v>Included</x:v>
      </x:c>
      <x:c r="F135" s="40"/>
    </x:row>
    <x:row r="136" ht="28" customHeight="1">
      <x:c r="A136" s="40" t="str">
        <x:v>FLORAL-FRESH CUT</x:v>
      </x:c>
      <x:c r="B136" s="46" t="n">
        <x:v>19784.57</x:v>
      </x:c>
      <x:c r="C136" s="46" t="n">
        <x:v>870.45</x:v>
      </x:c>
      <x:c r="D136" s="51" t="n">
        <x:f>IF(B136=0,"n.a.",C136/B136)</x:f>
        <x:v>0.04399640730124537</x:v>
      </x:c>
      <x:c r="E136" s="48" t="str">
        <x:f>IF(OR(A136="COUPON/MISC ITEMS",A136="(CORP USE ONLY)"),"Excluded","Included")</x:f>
        <x:v>Included</x:v>
      </x:c>
      <x:c r="F136" s="40"/>
    </x:row>
    <x:row r="137" ht="28" customHeight="1">
      <x:c r="A137" s="40" t="str">
        <x:v>VITAMINS</x:v>
      </x:c>
      <x:c r="B137" s="46" t="n">
        <x:v>19737.03</x:v>
      </x:c>
      <x:c r="C137" s="46" t="n">
        <x:v>8534.37</x:v>
      </x:c>
      <x:c r="D137" s="51" t="n">
        <x:f>IF(B137=0,"n.a.",C137/B137)</x:f>
        <x:v>0.4324039635142674</x:v>
      </x:c>
      <x:c r="E137" s="48" t="str">
        <x:f>IF(OR(A137="COUPON/MISC ITEMS",A137="(CORP USE ONLY)"),"Excluded","Included")</x:f>
        <x:v>Included</x:v>
      </x:c>
      <x:c r="F137" s="40"/>
    </x:row>
    <x:row r="138" ht="28" customHeight="1">
      <x:c r="A138" s="40" t="str">
        <x:v>BREAKFAST SWEETS</x:v>
      </x:c>
      <x:c r="B138" s="46" t="n">
        <x:v>19664.37</x:v>
      </x:c>
      <x:c r="C138" s="46" t="n">
        <x:v>5600.8</x:v>
      </x:c>
      <x:c r="D138" s="51" t="n">
        <x:f>IF(B138=0,"n.a.",C138/B138)</x:f>
        <x:v>0.2848197018261963</x:v>
      </x:c>
      <x:c r="E138" s="48" t="str">
        <x:f>IF(OR(A138="COUPON/MISC ITEMS",A138="(CORP USE ONLY)"),"Excluded","Included")</x:f>
        <x:v>Included</x:v>
      </x:c>
      <x:c r="F138" s="40"/>
    </x:row>
    <x:row r="139" ht="28" customHeight="1">
      <x:c r="A139" s="40" t="str">
        <x:v>FROZEN BREAD/DOUGH</x:v>
      </x:c>
      <x:c r="B139" s="46" t="n">
        <x:v>19355.17</x:v>
      </x:c>
      <x:c r="C139" s="46" t="n">
        <x:v>16736.02</x:v>
      </x:c>
      <x:c r="D139" s="51" t="n">
        <x:f>IF(B139=0,"n.a.",C139/B139)</x:f>
        <x:v>0.8646795662347581</x:v>
      </x:c>
      <x:c r="E139" s="48" t="str">
        <x:f>IF(OR(A139="COUPON/MISC ITEMS",A139="(CORP USE ONLY)"),"Excluded","Included")</x:f>
        <x:v>Included</x:v>
      </x:c>
      <x:c r="F139" s="40"/>
    </x:row>
    <x:row r="140" ht="28" customHeight="1">
      <x:c r="A140" s="40" t="str">
        <x:v>VALUE ADDED FRUIT</x:v>
      </x:c>
      <x:c r="B140" s="46" t="n">
        <x:v>19009.01</x:v>
      </x:c>
      <x:c r="C140" s="46" t="n">
        <x:v>1158.48</x:v>
      </x:c>
      <x:c r="D140" s="51" t="n">
        <x:f>IF(B140=0,"n.a.",C140/B140)</x:f>
        <x:v>0.060943731419995054</x:v>
      </x:c>
      <x:c r="E140" s="48" t="str">
        <x:f>IF(OR(A140="COUPON/MISC ITEMS",A140="(CORP USE ONLY)"),"Excluded","Included")</x:f>
        <x:v>Included</x:v>
      </x:c>
      <x:c r="F140" s="40"/>
    </x:row>
    <x:row r="141" ht="28" customHeight="1">
      <x:c r="A141" s="40" t="str">
        <x:v>DISHWASH DETERGENTS</x:v>
      </x:c>
      <x:c r="B141" s="46" t="n">
        <x:v>18891.59</x:v>
      </x:c>
      <x:c r="C141" s="46" t="n">
        <x:v>9410.1</x:v>
      </x:c>
      <x:c r="D141" s="51" t="n">
        <x:f>IF(B141=0,"n.a.",C141/B141)</x:f>
        <x:v>0.4981105348993918</x:v>
      </x:c>
      <x:c r="E141" s="48" t="str">
        <x:f>IF(OR(A141="COUPON/MISC ITEMS",A141="(CORP USE ONLY)"),"Excluded","Included")</x:f>
        <x:v>Included</x:v>
      </x:c>
      <x:c r="F141" s="40"/>
    </x:row>
    <x:row r="142" ht="28" customHeight="1">
      <x:c r="A142" s="40" t="str">
        <x:v>FACIAL TISS/DNR NAPKIN</x:v>
      </x:c>
      <x:c r="B142" s="46" t="n">
        <x:v>18828.93</x:v>
      </x:c>
      <x:c r="C142" s="46" t="n">
        <x:v>11553.59</x:v>
      </x:c>
      <x:c r="D142" s="51" t="n">
        <x:f>IF(B142=0,"n.a.",C142/B142)</x:f>
        <x:v>0.6136084206590603</x:v>
      </x:c>
      <x:c r="E142" s="48" t="str">
        <x:f>IF(OR(A142="COUPON/MISC ITEMS",A142="(CORP USE ONLY)"),"Excluded","Included")</x:f>
        <x:v>Included</x:v>
      </x:c>
      <x:c r="F142" s="40"/>
    </x:row>
    <x:row r="143" ht="28" customHeight="1">
      <x:c r="A143" s="40" t="str">
        <x:v>STATIONERY &amp; SCHOOL SUPPLIES</x:v>
      </x:c>
      <x:c r="B143" s="46" t="n">
        <x:v>18305.26</x:v>
      </x:c>
      <x:c r="C143" s="46" t="n">
        <x:v>3254.84</x:v>
      </x:c>
      <x:c r="D143" s="51" t="n">
        <x:f>IF(B143=0,"n.a.",C143/B143)</x:f>
        <x:v>0.1778090013471538</x:v>
      </x:c>
      <x:c r="E143" s="48" t="str">
        <x:f>IF(OR(A143="COUPON/MISC ITEMS",A143="(CORP USE ONLY)"),"Excluded","Included")</x:f>
        <x:v>Included</x:v>
      </x:c>
      <x:c r="F143" s="40"/>
    </x:row>
    <x:row r="144" ht="28" customHeight="1">
      <x:c r="A144" s="40" t="str">
        <x:v>BEANS - CANNED GLASS &amp; MW</x:v>
      </x:c>
      <x:c r="B144" s="46" t="n">
        <x:v>18005.33</x:v>
      </x:c>
      <x:c r="C144" s="46" t="n">
        <x:v>6732.83</x:v>
      </x:c>
      <x:c r="D144" s="51" t="n">
        <x:f>IF(B144=0,"n.a.",C144/B144)</x:f>
        <x:v>0.3739353846888671</x:v>
      </x:c>
      <x:c r="E144" s="48" t="str">
        <x:f>IF(OR(A144="COUPON/MISC ITEMS",A144="(CORP USE ONLY)"),"Excluded","Included")</x:f>
        <x:v>Included</x:v>
      </x:c>
      <x:c r="F144" s="40"/>
    </x:row>
    <x:row r="145" ht="28" customHeight="1">
      <x:c r="A145" s="40" t="str">
        <x:v>BREAD</x:v>
      </x:c>
      <x:c r="B145" s="46" t="n">
        <x:v>17861.32</x:v>
      </x:c>
      <x:c r="C145" s="46" t="n">
        <x:v>3674.77</x:v>
      </x:c>
      <x:c r="D145" s="51" t="n">
        <x:f>IF(B145=0,"n.a.",C145/B145)</x:f>
        <x:v>0.20573899353463238</x:v>
      </x:c>
      <x:c r="E145" s="48" t="str">
        <x:f>IF(OR(A145="COUPON/MISC ITEMS",A145="(CORP USE ONLY)"),"Excluded","Included")</x:f>
        <x:v>Included</x:v>
      </x:c>
      <x:c r="F145" s="40"/>
    </x:row>
    <x:row r="146" ht="28" customHeight="1">
      <x:c r="A146" s="40" t="str">
        <x:v>AIR CARE</x:v>
      </x:c>
      <x:c r="B146" s="46" t="n">
        <x:v>17699.31</x:v>
      </x:c>
      <x:c r="C146" s="46" t="n">
        <x:v>8818.49</x:v>
      </x:c>
      <x:c r="D146" s="51" t="n">
        <x:f>IF(B146=0,"n.a.",C146/B146)</x:f>
        <x:v>0.49823919689524615</x:v>
      </x:c>
      <x:c r="E146" s="48" t="str">
        <x:f>IF(OR(A146="COUPON/MISC ITEMS",A146="(CORP USE ONLY)"),"Excluded","Included")</x:f>
        <x:v>Included</x:v>
      </x:c>
      <x:c r="F146" s="40"/>
    </x:row>
    <x:row r="147" ht="28" customHeight="1">
      <x:c r="A147" s="40" t="str">
        <x:v>SNACK NUTS</x:v>
      </x:c>
      <x:c r="B147" s="46" t="n">
        <x:v>17328</x:v>
      </x:c>
      <x:c r="C147" s="46" t="n">
        <x:v>10929</x:v>
      </x:c>
      <x:c r="D147" s="51" t="n">
        <x:f>IF(B147=0,"n.a.",C147/B147)</x:f>
        <x:v>0.630713296398892</x:v>
      </x:c>
      <x:c r="E147" s="48" t="str">
        <x:f>IF(OR(A147="COUPON/MISC ITEMS",A147="(CORP USE ONLY)"),"Excluded","Included")</x:f>
        <x:v>Included</x:v>
      </x:c>
      <x:c r="F147" s="40"/>
    </x:row>
    <x:row r="148" ht="28" customHeight="1">
      <x:c r="A148" s="40" t="str">
        <x:v>HOT CEREAL</x:v>
      </x:c>
      <x:c r="B148" s="46" t="n">
        <x:v>17172.94</x:v>
      </x:c>
      <x:c r="C148" s="46" t="n">
        <x:v>4151.42</x:v>
      </x:c>
      <x:c r="D148" s="51" t="n">
        <x:f>IF(B148=0,"n.a.",C148/B148)</x:f>
        <x:v>0.2417419498350312</x:v>
      </x:c>
      <x:c r="E148" s="48" t="str">
        <x:f>IF(OR(A148="COUPON/MISC ITEMS",A148="(CORP USE ONLY)"),"Excluded","Included")</x:f>
        <x:v>Included</x:v>
      </x:c>
      <x:c r="F148" s="40"/>
    </x:row>
    <x:row r="149" ht="28" customHeight="1">
      <x:c r="A149" s="40" t="str">
        <x:v>ORGANICS FRUIT &amp; VEGETABLES</x:v>
      </x:c>
      <x:c r="B149" s="46" t="n">
        <x:v>17094.26</x:v>
      </x:c>
      <x:c r="C149" s="46" t="n">
        <x:v>3673.06</x:v>
      </x:c>
      <x:c r="D149" s="51" t="n">
        <x:f>IF(B149=0,"n.a.",C149/B149)</x:f>
        <x:v>0.21487095668370554</x:v>
      </x:c>
      <x:c r="E149" s="48" t="str">
        <x:f>IF(OR(A149="COUPON/MISC ITEMS",A149="(CORP USE ONLY)"),"Excluded","Included")</x:f>
        <x:v>Included</x:v>
      </x:c>
      <x:c r="F149" s="40"/>
    </x:row>
    <x:row r="150" ht="28" customHeight="1">
      <x:c r="A150" s="40" t="str">
        <x:v>CAT LITTER</x:v>
      </x:c>
      <x:c r="B150" s="46" t="n">
        <x:v>17048.3</x:v>
      </x:c>
      <x:c r="C150" s="46" t="n">
        <x:v>12629.98</x:v>
      </x:c>
      <x:c r="D150" s="51" t="n">
        <x:f>IF(B150=0,"n.a.",C150/B150)</x:f>
        <x:v>0.7408351565845275</x:v>
      </x:c>
      <x:c r="E150" s="48" t="str">
        <x:f>IF(OR(A150="COUPON/MISC ITEMS",A150="(CORP USE ONLY)"),"Excluded","Included")</x:f>
        <x:v>Included</x:v>
      </x:c>
      <x:c r="F150" s="40"/>
    </x:row>
    <x:row r="151" ht="28" customHeight="1">
      <x:c r="A151" s="40" t="str">
        <x:v>BUTTER</x:v>
      </x:c>
      <x:c r="B151" s="46" t="n">
        <x:v>16887.94</x:v>
      </x:c>
      <x:c r="C151" s="46" t="n">
        <x:v>6984.43</x:v>
      </x:c>
      <x:c r="D151" s="51" t="n">
        <x:f>IF(B151=0,"n.a.",C151/B151)</x:f>
        <x:v>0.41357501270137154</x:v>
      </x:c>
      <x:c r="E151" s="48" t="str">
        <x:f>IF(OR(A151="COUPON/MISC ITEMS",A151="(CORP USE ONLY)"),"Excluded","Included")</x:f>
        <x:v>Included</x:v>
      </x:c>
      <x:c r="F151" s="40"/>
    </x:row>
    <x:row r="152" ht="28" customHeight="1">
      <x:c r="A152" s="40" t="str">
        <x:v>STONE FRUIT</x:v>
      </x:c>
      <x:c r="B152" s="46" t="n">
        <x:v>16626.39</x:v>
      </x:c>
      <x:c r="C152" s="46" t="n">
        <x:v>7769.07</x:v>
      </x:c>
      <x:c r="D152" s="51" t="n">
        <x:f>IF(B152=0,"n.a.",C152/B152)</x:f>
        <x:v>0.4672734129296859</x:v>
      </x:c>
      <x:c r="E152" s="48" t="str">
        <x:f>IF(OR(A152="COUPON/MISC ITEMS",A152="(CORP USE ONLY)"),"Excluded","Included")</x:f>
        <x:v>Included</x:v>
      </x:c>
      <x:c r="F152" s="40"/>
    </x:row>
    <x:row r="153" ht="28" customHeight="1">
      <x:c r="A153" s="40" t="str">
        <x:v>PWDR/CRYSTL DRNK MX</x:v>
      </x:c>
      <x:c r="B153" s="46" t="n">
        <x:v>16366.19</x:v>
      </x:c>
      <x:c r="C153" s="46" t="n">
        <x:v>9834.95</x:v>
      </x:c>
      <x:c r="D153" s="51" t="n">
        <x:f>IF(B153=0,"n.a.",C153/B153)</x:f>
        <x:v>0.6009309436099667</x:v>
      </x:c>
      <x:c r="E153" s="48" t="str">
        <x:f>IF(OR(A153="COUPON/MISC ITEMS",A153="(CORP USE ONLY)"),"Excluded","Included")</x:f>
        <x:v>Included</x:v>
      </x:c>
      <x:c r="F153" s="40"/>
    </x:row>
    <x:row r="154" ht="28" customHeight="1">
      <x:c r="A154" s="40" t="str">
        <x:v>DIETARY AID PRODUCTS</x:v>
      </x:c>
      <x:c r="B154" s="46" t="n">
        <x:v>16339.93</x:v>
      </x:c>
      <x:c r="C154" s="46" t="n">
        <x:v>5198.56</x:v>
      </x:c>
      <x:c r="D154" s="51" t="n">
        <x:f>IF(B154=0,"n.a.",C154/B154)</x:f>
        <x:v>0.3181506897520369</x:v>
      </x:c>
      <x:c r="E154" s="48" t="str">
        <x:f>IF(OR(A154="COUPON/MISC ITEMS",A154="(CORP USE ONLY)"),"Excluded","Included")</x:f>
        <x:v>Included</x:v>
      </x:c>
      <x:c r="F154" s="40"/>
    </x:row>
    <x:row r="155" ht="28" customHeight="1">
      <x:c r="A155" s="40" t="str">
        <x:v>PEPPERS-ALL</x:v>
      </x:c>
      <x:c r="B155" s="46" t="n">
        <x:v>16150.66</x:v>
      </x:c>
      <x:c r="C155" s="46" t="n">
        <x:v>1090.27</x:v>
      </x:c>
      <x:c r="D155" s="51" t="n">
        <x:f>IF(B155=0,"n.a.",C155/B155)</x:f>
        <x:v>0.06750621956006751</x:v>
      </x:c>
      <x:c r="E155" s="48" t="str">
        <x:f>IF(OR(A155="COUPON/MISC ITEMS",A155="(CORP USE ONLY)"),"Excluded","Included")</x:f>
        <x:v>Included</x:v>
      </x:c>
      <x:c r="F155" s="40"/>
    </x:row>
    <x:row r="156" ht="28" customHeight="1">
      <x:c r="A156" s="40" t="str">
        <x:v>DEODORANTS</x:v>
      </x:c>
      <x:c r="B156" s="46" t="n">
        <x:v>15897.12</x:v>
      </x:c>
      <x:c r="C156" s="46" t="n">
        <x:v>6734.66</x:v>
      </x:c>
      <x:c r="D156" s="51" t="n">
        <x:f>IF(B156=0,"n.a.",C156/B156)</x:f>
        <x:v>0.4236402568515555</x:v>
      </x:c>
      <x:c r="E156" s="48" t="str">
        <x:f>IF(OR(A156="COUPON/MISC ITEMS",A156="(CORP USE ONLY)"),"Excluded","Included")</x:f>
        <x:v>Included</x:v>
      </x:c>
      <x:c r="F156" s="40"/>
    </x:row>
    <x:row r="157" ht="28" customHeight="1">
      <x:c r="A157" s="40" t="str">
        <x:v>CARROTS</x:v>
      </x:c>
      <x:c r="B157" s="46" t="n">
        <x:v>15866.42</x:v>
      </x:c>
      <x:c r="C157" s="46" t="n">
        <x:v>3627.66</x:v>
      </x:c>
      <x:c r="D157" s="51" t="n">
        <x:f>IF(B157=0,"n.a.",C157/B157)</x:f>
        <x:v>0.22863758806334383</x:v>
      </x:c>
      <x:c r="E157" s="48" t="str">
        <x:f>IF(OR(A157="COUPON/MISC ITEMS",A157="(CORP USE ONLY)"),"Excluded","Included")</x:f>
        <x:v>Included</x:v>
      </x:c>
      <x:c r="F157" s="40"/>
    </x:row>
    <x:row r="158" ht="28" customHeight="1">
      <x:c r="A158" s="40" t="str">
        <x:v>WAREHOUSE SNACKS</x:v>
      </x:c>
      <x:c r="B158" s="46" t="n">
        <x:v>15848.49</x:v>
      </x:c>
      <x:c r="C158" s="46" t="n">
        <x:v>8312.46</x:v>
      </x:c>
      <x:c r="D158" s="51" t="n">
        <x:f>IF(B158=0,"n.a.",C158/B158)</x:f>
        <x:v>0.5244953935674629</x:v>
      </x:c>
      <x:c r="E158" s="48" t="str">
        <x:f>IF(OR(A158="COUPON/MISC ITEMS",A158="(CORP USE ONLY)"),"Excluded","Included")</x:f>
        <x:v>Included</x:v>
      </x:c>
      <x:c r="F158" s="40"/>
    </x:row>
    <x:row r="159" ht="28" customHeight="1">
      <x:c r="A159" s="40" t="str">
        <x:v>BABY HBC</x:v>
      </x:c>
      <x:c r="B159" s="46" t="n">
        <x:v>15706.91</x:v>
      </x:c>
      <x:c r="C159" s="46" t="n">
        <x:v>5200.02</x:v>
      </x:c>
      <x:c r="D159" s="51" t="n">
        <x:f>IF(B159=0,"n.a.",C159/B159)</x:f>
        <x:v>0.331065753862472</x:v>
      </x:c>
      <x:c r="E159" s="48" t="str">
        <x:f>IF(OR(A159="COUPON/MISC ITEMS",A159="(CORP USE ONLY)"),"Excluded","Included")</x:f>
        <x:v>Included</x:v>
      </x:c>
      <x:c r="F159" s="40"/>
    </x:row>
    <x:row r="160" ht="28" customHeight="1">
      <x:c r="A160" s="40" t="str">
        <x:v>BOOKSTORE</x:v>
      </x:c>
      <x:c r="B160" s="46" t="n">
        <x:v>15683.83</x:v>
      </x:c>
      <x:c r="C160" s="46" t="n">
        <x:v>298.47</x:v>
      </x:c>
      <x:c r="D160" s="51" t="n">
        <x:f>IF(B160=0,"n.a.",C160/B160)</x:f>
        <x:v>0.019030428154347506</x:v>
      </x:c>
      <x:c r="E160" s="48" t="str">
        <x:f>IF(OR(A160="COUPON/MISC ITEMS",A160="(CORP USE ONLY)"),"Excluded","Included")</x:f>
        <x:v>Included</x:v>
      </x:c>
      <x:c r="F160" s="40"/>
    </x:row>
    <x:row r="161" ht="28" customHeight="1">
      <x:c r="A161" s="40" t="str">
        <x:v>PROCESSED</x:v>
      </x:c>
      <x:c r="B161" s="46" t="n">
        <x:v>15597.79</x:v>
      </x:c>
      <x:c r="C161" s="46" t="n">
        <x:v>4535.32</x:v>
      </x:c>
      <x:c r="D161" s="51" t="n">
        <x:f>IF(B161=0,"n.a.",C161/B161)</x:f>
        <x:v>0.2907668329936484</x:v>
      </x:c>
      <x:c r="E161" s="48" t="str">
        <x:f>IF(OR(A161="COUPON/MISC ITEMS",A161="(CORP USE ONLY)"),"Excluded","Included")</x:f>
        <x:v>Included</x:v>
      </x:c>
      <x:c r="F161" s="40"/>
    </x:row>
    <x:row r="162" ht="28" customHeight="1">
      <x:c r="A162" s="40" t="str">
        <x:v>PICKLE/RELISH/PKLD VEG</x:v>
      </x:c>
      <x:c r="B162" s="46" t="n">
        <x:v>15569.83</x:v>
      </x:c>
      <x:c r="C162" s="46" t="n">
        <x:v>8694.58</x:v>
      </x:c>
      <x:c r="D162" s="51" t="n">
        <x:f>IF(B162=0,"n.a.",C162/B162)</x:f>
        <x:v>0.5584248511383875</x:v>
      </x:c>
      <x:c r="E162" s="48" t="str">
        <x:f>IF(OR(A162="COUPON/MISC ITEMS",A162="(CORP USE ONLY)"),"Excluded","Included")</x:f>
        <x:v>Included</x:v>
      </x:c>
      <x:c r="F162" s="40"/>
    </x:row>
    <x:row r="163" ht="28" customHeight="1">
      <x:c r="A163" s="40" t="str">
        <x:v>COOKIES</x:v>
      </x:c>
      <x:c r="B163" s="46" t="n">
        <x:v>15203.03</x:v>
      </x:c>
      <x:c r="C163" s="46" t="n">
        <x:v>7576.48</x:v>
      </x:c>
      <x:c r="D163" s="51" t="n">
        <x:f>IF(B163=0,"n.a.",C163/B163)</x:f>
        <x:v>0.4983532887851961</x:v>
      </x:c>
      <x:c r="E163" s="48" t="str">
        <x:f>IF(OR(A163="COUPON/MISC ITEMS",A163="(CORP USE ONLY)"),"Excluded","Included")</x:f>
        <x:v>Included</x:v>
      </x:c>
      <x:c r="F163" s="40"/>
    </x:row>
    <x:row r="164" ht="28" customHeight="1">
      <x:c r="A164" s="40" t="str">
        <x:v>SPRING/SUMMER SEASONAL</x:v>
      </x:c>
      <x:c r="B164" s="46" t="n">
        <x:v>15043.96</x:v>
      </x:c>
      <x:c r="C164" s="46" t="n">
        <x:v>4718.9</x:v>
      </x:c>
      <x:c r="D164" s="51" t="n">
        <x:f>IF(B164=0,"n.a.",C164/B164)</x:f>
        <x:v>0.31367405922376823</x:v>
      </x:c>
      <x:c r="E164" s="48" t="str">
        <x:f>IF(OR(A164="COUPON/MISC ITEMS",A164="(CORP USE ONLY)"),"Excluded","Included")</x:f>
        <x:v>Included</x:v>
      </x:c>
      <x:c r="F164" s="40"/>
    </x:row>
    <x:row r="165" ht="28" customHeight="1">
      <x:c r="A165" s="40" t="str">
        <x:v>MELONS</x:v>
      </x:c>
      <x:c r="B165" s="46" t="n">
        <x:v>14199.22</x:v>
      </x:c>
      <x:c r="C165" s="46" t="n">
        <x:v>5506.83</x:v>
      </x:c>
      <x:c r="D165" s="51" t="n">
        <x:f>IF(B165=0,"n.a.",C165/B165)</x:f>
        <x:v>0.38782623270855726</x:v>
      </x:c>
      <x:c r="E165" s="48" t="str">
        <x:f>IF(OR(A165="COUPON/MISC ITEMS",A165="(CORP USE ONLY)"),"Excluded","Included")</x:f>
        <x:v>Included</x:v>
      </x:c>
      <x:c r="F165" s="40"/>
    </x:row>
    <x:row r="166" ht="28" customHeight="1">
      <x:c r="A166" s="40" t="str">
        <x:v>VEGETABLES SALAD</x:v>
      </x:c>
      <x:c r="B166" s="46" t="n">
        <x:v>14031.99</x:v>
      </x:c>
      <x:c r="C166" s="46" t="n">
        <x:v>197.87</x:v>
      </x:c>
      <x:c r="D166" s="51" t="n">
        <x:f>IF(B166=0,"n.a.",C166/B166)</x:f>
        <x:v>0.014101349844177484</x:v>
      </x:c>
      <x:c r="E166" s="48" t="str">
        <x:f>IF(OR(A166="COUPON/MISC ITEMS",A166="(CORP USE ONLY)"),"Excluded","Included")</x:f>
        <x:v>Included</x:v>
      </x:c>
      <x:c r="F166" s="40"/>
    </x:row>
    <x:row r="167" ht="28" customHeight="1">
      <x:c r="A167" s="40" t="str">
        <x:v>AUDIO/VIDEO PRODUCTS</x:v>
      </x:c>
      <x:c r="B167" s="46" t="n">
        <x:v>13669.86</x:v>
      </x:c>
      <x:c r="C167" s="46" t="n">
        <x:v>2141.28</x:v>
      </x:c>
      <x:c r="D167" s="51" t="n">
        <x:f>IF(B167=0,"n.a.",C167/B167)</x:f>
        <x:v>0.15664242355078986</x:v>
      </x:c>
      <x:c r="E167" s="48" t="str">
        <x:f>IF(OR(A167="COUPON/MISC ITEMS",A167="(CORP USE ONLY)"),"Excluded","Included")</x:f>
        <x:v>Included</x:v>
      </x:c>
      <x:c r="F167" s="40"/>
    </x:row>
    <x:row r="168" ht="28" customHeight="1">
      <x:c r="A168" s="40" t="str">
        <x:v>MOLASSES/SYRUP/PANCAKE MIXS</x:v>
      </x:c>
      <x:c r="B168" s="46" t="n">
        <x:v>13504.34</x:v>
      </x:c>
      <x:c r="C168" s="46" t="n">
        <x:v>9879.88</x:v>
      </x:c>
      <x:c r="D168" s="51" t="n">
        <x:f>IF(B168=0,"n.a.",C168/B168)</x:f>
        <x:v>0.7316077646149312</x:v>
      </x:c>
      <x:c r="E168" s="48" t="str">
        <x:f>IF(OR(A168="COUPON/MISC ITEMS",A168="(CORP USE ONLY)"),"Excluded","Included")</x:f>
        <x:v>Included</x:v>
      </x:c>
      <x:c r="F168" s="40"/>
    </x:row>
    <x:row r="169" ht="28" customHeight="1">
      <x:c r="A169" s="40" t="str">
        <x:v>BATTERIES</x:v>
      </x:c>
      <x:c r="B169" s="46" t="n">
        <x:v>13169.63</x:v>
      </x:c>
      <x:c r="C169" s="46" t="n">
        <x:v>5195.13</x:v>
      </x:c>
      <x:c r="D169" s="51" t="n">
        <x:f>IF(B169=0,"n.a.",C169/B169)</x:f>
        <x:v>0.39447805291416693</x:v>
      </x:c>
      <x:c r="E169" s="48" t="str">
        <x:f>IF(OR(A169="COUPON/MISC ITEMS",A169="(CORP USE ONLY)"),"Excluded","Included")</x:f>
        <x:v>Included</x:v>
      </x:c>
      <x:c r="F169" s="40"/>
    </x:row>
    <x:row r="170" ht="28" customHeight="1">
      <x:c r="A170" s="40" t="str">
        <x:v>PIES</x:v>
      </x:c>
      <x:c r="B170" s="46" t="n">
        <x:v>12894.57</x:v>
      </x:c>
      <x:c r="C170" s="46" t="n">
        <x:v>7591.570000000001</x:v>
      </x:c>
      <x:c r="D170" s="51" t="n">
        <x:f>IF(B170=0,"n.a.",C170/B170)</x:f>
        <x:v>0.5887416175956236</x:v>
      </x:c>
      <x:c r="E170" s="48" t="str">
        <x:f>IF(OR(A170="COUPON/MISC ITEMS",A170="(CORP USE ONLY)"),"Excluded","Included")</x:f>
        <x:v>Included</x:v>
      </x:c>
      <x:c r="F170" s="40"/>
    </x:row>
    <x:row r="171" ht="28" customHeight="1">
      <x:c r="A171" s="40" t="str">
        <x:v>PET CARE SUPPLIES</x:v>
      </x:c>
      <x:c r="B171" s="46" t="n">
        <x:v>12886.64</x:v>
      </x:c>
      <x:c r="C171" s="46" t="n">
        <x:v>1930.29</x:v>
      </x:c>
      <x:c r="D171" s="51" t="n">
        <x:f>IF(B171=0,"n.a.",C171/B171)</x:f>
        <x:v>0.14979001508539078</x:v>
      </x:c>
      <x:c r="E171" s="48" t="str">
        <x:f>IF(OR(A171="COUPON/MISC ITEMS",A171="(CORP USE ONLY)"),"Excluded","Included")</x:f>
        <x:v>Included</x:v>
      </x:c>
      <x:c r="F171" s="40"/>
    </x:row>
    <x:row r="172" ht="28" customHeight="1">
      <x:c r="A172" s="40" t="str">
        <x:v>DRY SAUCES/GRAVY</x:v>
      </x:c>
      <x:c r="B172" s="46" t="n">
        <x:v>12742.94</x:v>
      </x:c>
      <x:c r="C172" s="46" t="n">
        <x:v>5864.64</x:v>
      </x:c>
      <x:c r="D172" s="51" t="n">
        <x:f>IF(B172=0,"n.a.",C172/B172)</x:f>
        <x:v>0.46022660390773246</x:v>
      </x:c>
      <x:c r="E172" s="48" t="str">
        <x:f>IF(OR(A172="COUPON/MISC ITEMS",A172="(CORP USE ONLY)"),"Excluded","Included")</x:f>
        <x:v>Included</x:v>
      </x:c>
      <x:c r="F172" s="40"/>
    </x:row>
    <x:row r="173" ht="28" customHeight="1">
      <x:c r="A173" s="40" t="str">
        <x:v>POPCORN</x:v>
      </x:c>
      <x:c r="B173" s="46" t="n">
        <x:v>12526.65</x:v>
      </x:c>
      <x:c r="C173" s="46" t="n">
        <x:v>6267.7</x:v>
      </x:c>
      <x:c r="D173" s="51" t="n">
        <x:f>IF(B173=0,"n.a.",C173/B173)</x:f>
        <x:v>0.5003492553875138</x:v>
      </x:c>
      <x:c r="E173" s="48" t="str">
        <x:f>IF(OR(A173="COUPON/MISC ITEMS",A173="(CORP USE ONLY)"),"Excluded","Included")</x:f>
        <x:v>Included</x:v>
      </x:c>
      <x:c r="F173" s="40"/>
    </x:row>
    <x:row r="174" ht="28" customHeight="1">
      <x:c r="A174" s="40" t="str">
        <x:v>SINUS AND ALLERGY</x:v>
      </x:c>
      <x:c r="B174" s="46" t="n">
        <x:v>12359.57</x:v>
      </x:c>
      <x:c r="C174" s="46" t="n">
        <x:v>3551.11</x:v>
      </x:c>
      <x:c r="D174" s="51" t="n">
        <x:f>IF(B174=0,"n.a.",C174/B174)</x:f>
        <x:v>0.287316629947482</x:v>
      </x:c>
      <x:c r="E174" s="48" t="str">
        <x:f>IF(OR(A174="COUPON/MISC ITEMS",A174="(CORP USE ONLY)"),"Excluded","Included")</x:f>
        <x:v>Included</x:v>
      </x:c>
      <x:c r="F174" s="40"/>
    </x:row>
    <x:row r="175" ht="28" customHeight="1">
      <x:c r="A175" s="40" t="str">
        <x:v>FIRST AID PRODUCTS</x:v>
      </x:c>
      <x:c r="B175" s="46" t="n">
        <x:v>11949.07</x:v>
      </x:c>
      <x:c r="C175" s="46" t="n">
        <x:v>1291.52</x:v>
      </x:c>
      <x:c r="D175" s="51" t="n">
        <x:f>IF(B175=0,"n.a.",C175/B175)</x:f>
        <x:v>0.10808539911474283</x:v>
      </x:c>
      <x:c r="E175" s="48" t="str">
        <x:f>IF(OR(A175="COUPON/MISC ITEMS",A175="(CORP USE ONLY)"),"Excluded","Included")</x:f>
        <x:v>Included</x:v>
      </x:c>
      <x:c r="F175" s="40"/>
    </x:row>
    <x:row r="176" ht="28" customHeight="1">
      <x:c r="A176" s="40" t="str">
        <x:v>MUSHROOMS</x:v>
      </x:c>
      <x:c r="B176" s="46" t="n">
        <x:v>11874.02</x:v>
      </x:c>
      <x:c r="C176" s="46" t="n">
        <x:v>1402.7</x:v>
      </x:c>
      <x:c r="D176" s="51" t="n">
        <x:f>IF(B176=0,"n.a.",C176/B176)</x:f>
        <x:v>0.11813185424986651</x:v>
      </x:c>
      <x:c r="E176" s="48" t="str">
        <x:f>IF(OR(A176="COUPON/MISC ITEMS",A176="(CORP USE ONLY)"),"Excluded","Included")</x:f>
        <x:v>Included</x:v>
      </x:c>
      <x:c r="F176" s="40"/>
    </x:row>
    <x:row r="177" ht="28" customHeight="1">
      <x:c r="A177" s="40" t="str">
        <x:v>DRY MIX DESSERTS</x:v>
      </x:c>
      <x:c r="B177" s="46" t="n">
        <x:v>11791.03</x:v>
      </x:c>
      <x:c r="C177" s="46" t="n">
        <x:v>7032.1</x:v>
      </x:c>
      <x:c r="D177" s="51" t="n">
        <x:f>IF(B177=0,"n.a.",C177/B177)</x:f>
        <x:v>0.5963940385191115</x:v>
      </x:c>
      <x:c r="E177" s="48" t="str">
        <x:f>IF(OR(A177="COUPON/MISC ITEMS",A177="(CORP USE ONLY)"),"Excluded","Included")</x:f>
        <x:v>Included</x:v>
      </x:c>
      <x:c r="F177" s="40"/>
    </x:row>
    <x:row r="178" ht="28" customHeight="1">
      <x:c r="A178" s="40" t="str">
        <x:v>CHARCOAL AND LIGHTER FLUID</x:v>
      </x:c>
      <x:c r="B178" s="46" t="n">
        <x:v>11693.63</x:v>
      </x:c>
      <x:c r="C178" s="46" t="n">
        <x:v>3090.76</x:v>
      </x:c>
      <x:c r="D178" s="51" t="n">
        <x:f>IF(B178=0,"n.a.",C178/B178)</x:f>
        <x:v>0.26431142425405973</x:v>
      </x:c>
      <x:c r="E178" s="48" t="str">
        <x:f>IF(OR(A178="COUPON/MISC ITEMS",A178="(CORP USE ONLY)"),"Excluded","Included")</x:f>
        <x:v>Included</x:v>
      </x:c>
      <x:c r="F178" s="40"/>
    </x:row>
    <x:row r="179" ht="28" customHeight="1">
      <x:c r="A179" s="40" t="str">
        <x:v>TEAS</x:v>
      </x:c>
      <x:c r="B179" s="46" t="n">
        <x:v>11625.35</x:v>
      </x:c>
      <x:c r="C179" s="46" t="n">
        <x:v>5212.3</x:v>
      </x:c>
      <x:c r="D179" s="51" t="n">
        <x:f>IF(B179=0,"n.a.",C179/B179)</x:f>
        <x:v>0.44835639357094625</x:v>
      </x:c>
      <x:c r="E179" s="48" t="str">
        <x:f>IF(OR(A179="COUPON/MISC ITEMS",A179="(CORP USE ONLY)"),"Excluded","Included")</x:f>
        <x:v>Included</x:v>
      </x:c>
      <x:c r="F179" s="40"/>
    </x:row>
    <x:row r="180" ht="28" customHeight="1">
      <x:c r="A180" s="40" t="str">
        <x:v>ANTACIDS</x:v>
      </x:c>
      <x:c r="B180" s="46" t="n">
        <x:v>11508.76</x:v>
      </x:c>
      <x:c r="C180" s="46" t="n">
        <x:v>3595.61</x:v>
      </x:c>
      <x:c r="D180" s="51" t="n">
        <x:f>IF(B180=0,"n.a.",C180/B180)</x:f>
        <x:v>0.31242375373193987</x:v>
      </x:c>
      <x:c r="E180" s="48" t="str">
        <x:f>IF(OR(A180="COUPON/MISC ITEMS",A180="(CORP USE ONLY)"),"Excluded","Included")</x:f>
        <x:v>Included</x:v>
      </x:c>
      <x:c r="F180" s="40"/>
    </x:row>
    <x:row r="181" ht="28" customHeight="1">
      <x:c r="A181" s="40" t="str">
        <x:v>CHRISTMAS  SEASONAL</x:v>
      </x:c>
      <x:c r="B181" s="46" t="n">
        <x:v>11112.27</x:v>
      </x:c>
      <x:c r="C181" s="46" t="n">
        <x:v>3742.34</x:v>
      </x:c>
      <x:c r="D181" s="51" t="n">
        <x:f>IF(B181=0,"n.a.",C181/B181)</x:f>
        <x:v>0.3367754743180286</x:v>
      </x:c>
      <x:c r="E181" s="48" t="str">
        <x:f>IF(OR(A181="COUPON/MISC ITEMS",A181="(CORP USE ONLY)"),"Excluded","Included")</x:f>
        <x:v>Included</x:v>
      </x:c>
      <x:c r="F181" s="40"/>
    </x:row>
    <x:row r="182" ht="28" customHeight="1">
      <x:c r="A182" s="40" t="str">
        <x:v>TOYS AND GAMES</x:v>
      </x:c>
      <x:c r="B182" s="46" t="n">
        <x:v>10878.62</x:v>
      </x:c>
      <x:c r="C182" s="46" t="n">
        <x:v>1974.91</x:v>
      </x:c>
      <x:c r="D182" s="51" t="n">
        <x:f>IF(B182=0,"n.a.",C182/B182)</x:f>
        <x:v>0.18154048951061807</x:v>
      </x:c>
      <x:c r="E182" s="48" t="str">
        <x:f>IF(OR(A182="COUPON/MISC ITEMS",A182="(CORP USE ONLY)"),"Excluded","Included")</x:f>
        <x:v>Included</x:v>
      </x:c>
      <x:c r="F182" s="40"/>
    </x:row>
    <x:row r="183" ht="28" customHeight="1">
      <x:c r="A183" s="40" t="str">
        <x:v>FROZEN</x:v>
      </x:c>
      <x:c r="B183" s="46" t="n">
        <x:v>10721.33</x:v>
      </x:c>
      <x:c r="C183" s="46" t="n">
        <x:v>3007.55</x:v>
      </x:c>
      <x:c r="D183" s="51" t="n">
        <x:f>IF(B183=0,"n.a.",C183/B183)</x:f>
        <x:v>0.28052023396351017</x:v>
      </x:c>
      <x:c r="E183" s="48" t="str">
        <x:f>IF(OR(A183="COUPON/MISC ITEMS",A183="(CORP USE ONLY)"),"Excluded","Included")</x:f>
        <x:v>Included</x:v>
      </x:c>
      <x:c r="F183" s="40"/>
    </x:row>
    <x:row r="184" ht="28" customHeight="1">
      <x:c r="A184" s="40" t="str">
        <x:v>NO COMMODITY DESCRIPTION</x:v>
      </x:c>
      <x:c r="B184" s="46" t="n">
        <x:v>10678.69</x:v>
      </x:c>
      <x:c r="C184" s="46" t="n">
        <x:v>426.5</x:v>
      </x:c>
      <x:c r="D184" s="51" t="n">
        <x:f>IF(B184=0,"n.a.",C184/B184)</x:f>
        <x:v>0.03993935585731957</x:v>
      </x:c>
      <x:c r="E184" s="48" t="str">
        <x:f>IF(OR(A184="COUPON/MISC ITEMS",A184="(CORP USE ONLY)"),"Excluded","Included")</x:f>
        <x:v>Included</x:v>
      </x:c>
      <x:c r="F184" s="40"/>
    </x:row>
    <x:row r="185" ht="28" customHeight="1">
      <x:c r="A185" s="40" t="str">
        <x:v>ELECTRICAL SUPPPLIES</x:v>
      </x:c>
      <x:c r="B185" s="46" t="n">
        <x:v>10534.93</x:v>
      </x:c>
      <x:c r="C185" s="46" t="n">
        <x:v>1822.58</x:v>
      </x:c>
      <x:c r="D185" s="51" t="n">
        <x:f>IF(B185=0,"n.a.",C185/B185)</x:f>
        <x:v>0.17300352256730703</x:v>
      </x:c>
      <x:c r="E185" s="48" t="str">
        <x:f>IF(OR(A185="COUPON/MISC ITEMS",A185="(CORP USE ONLY)"),"Excluded","Included")</x:f>
        <x:v>Included</x:v>
      </x:c>
      <x:c r="F185" s="40"/>
    </x:row>
    <x:row r="186" ht="28" customHeight="1">
      <x:c r="A186" s="40" t="str">
        <x:v>ROLLS</x:v>
      </x:c>
      <x:c r="B186" s="46" t="n">
        <x:v>10401.59</x:v>
      </x:c>
      <x:c r="C186" s="46" t="n">
        <x:v>2804.41</x:v>
      </x:c>
      <x:c r="D186" s="51" t="n">
        <x:f>IF(B186=0,"n.a.",C186/B186)</x:f>
        <x:v>0.26961358792261564</x:v>
      </x:c>
      <x:c r="E186" s="48" t="str">
        <x:f>IF(OR(A186="COUPON/MISC ITEMS",A186="(CORP USE ONLY)"),"Excluded","Included")</x:f>
        <x:v>Included</x:v>
      </x:c>
      <x:c r="F186" s="40"/>
    </x:row>
    <x:row r="187" ht="28" customHeight="1">
      <x:c r="A187" s="40" t="str">
        <x:v>BROOMS AND MOPS</x:v>
      </x:c>
      <x:c r="B187" s="46" t="n">
        <x:v>10249.79</x:v>
      </x:c>
      <x:c r="C187" s="46" t="n">
        <x:v>1173.54</x:v>
      </x:c>
      <x:c r="D187" s="51" t="n">
        <x:f>IF(B187=0,"n.a.",C187/B187)</x:f>
        <x:v>0.11449405304889172</x:v>
      </x:c>
      <x:c r="E187" s="48" t="str">
        <x:f>IF(OR(A187="COUPON/MISC ITEMS",A187="(CORP USE ONLY)"),"Excluded","Included")</x:f>
        <x:v>Included</x:v>
      </x:c>
      <x:c r="F187" s="40"/>
    </x:row>
    <x:row r="188" ht="28" customHeight="1">
      <x:c r="A188" s="40" t="str">
        <x:v>BROCCOLI/CAULIFLOWER</x:v>
      </x:c>
      <x:c r="B188" s="46" t="n">
        <x:v>10011.03</x:v>
      </x:c>
      <x:c r="C188" s="46" t="n">
        <x:v>2534.31</x:v>
      </x:c>
      <x:c r="D188" s="51" t="n">
        <x:f>IF(B188=0,"n.a.",C188/B188)</x:f>
        <x:v>0.2531517735937261</x:v>
      </x:c>
      <x:c r="E188" s="48" t="str">
        <x:f>IF(OR(A188="COUPON/MISC ITEMS",A188="(CORP USE ONLY)"),"Excluded","Included")</x:f>
        <x:v>Included</x:v>
      </x:c>
      <x:c r="F188" s="40"/>
    </x:row>
    <x:row r="189" ht="28" customHeight="1">
      <x:c r="A189" s="40" t="str">
        <x:v>COCOA MIXES</x:v>
      </x:c>
      <x:c r="B189" s="46" t="n">
        <x:v>9778.94</x:v>
      </x:c>
      <x:c r="C189" s="46" t="n">
        <x:v>4923.3</x:v>
      </x:c>
      <x:c r="D189" s="51" t="n">
        <x:f>IF(B189=0,"n.a.",C189/B189)</x:f>
        <x:v>0.5034594751578392</x:v>
      </x:c>
      <x:c r="E189" s="48" t="str">
        <x:f>IF(OR(A189="COUPON/MISC ITEMS",A189="(CORP USE ONLY)"),"Excluded","Included")</x:f>
        <x:v>Included</x:v>
      </x:c>
      <x:c r="F189" s="40"/>
    </x:row>
    <x:row r="190" ht="28" customHeight="1">
      <x:c r="A190" s="40" t="str">
        <x:v>BLEACH</x:v>
      </x:c>
      <x:c r="B190" s="46" t="n">
        <x:v>9671.29</x:v>
      </x:c>
      <x:c r="C190" s="46" t="n">
        <x:v>3600.14</x:v>
      </x:c>
      <x:c r="D190" s="51" t="n">
        <x:f>IF(B190=0,"n.a.",C190/B190)</x:f>
        <x:v>0.3722502375587951</x:v>
      </x:c>
      <x:c r="E190" s="48" t="str">
        <x:f>IF(OR(A190="COUPON/MISC ITEMS",A190="(CORP USE ONLY)"),"Excluded","Included")</x:f>
        <x:v>Included</x:v>
      </x:c>
      <x:c r="F190" s="40"/>
    </x:row>
    <x:row r="191" ht="28" customHeight="1">
      <x:c r="A191" s="40" t="str">
        <x:v>DRIED FRUIT</x:v>
      </x:c>
      <x:c r="B191" s="46" t="n">
        <x:v>9596.74</x:v>
      </x:c>
      <x:c r="C191" s="46" t="n">
        <x:v>3357.29</x:v>
      </x:c>
      <x:c r="D191" s="51" t="n">
        <x:f>IF(B191=0,"n.a.",C191/B191)</x:f>
        <x:v>0.34983650698049545</x:v>
      </x:c>
      <x:c r="E191" s="48" t="str">
        <x:f>IF(OR(A191="COUPON/MISC ITEMS",A191="(CORP USE ONLY)"),"Excluded","Included")</x:f>
        <x:v>Included</x:v>
      </x:c>
      <x:c r="F191" s="40"/>
    </x:row>
    <x:row r="192" ht="28" customHeight="1">
      <x:c r="A192" s="40" t="str">
        <x:v>MISC WINE</x:v>
      </x:c>
      <x:c r="B192" s="46" t="n">
        <x:v>9453.74</x:v>
      </x:c>
      <x:c r="C192" s="46" t="n">
        <x:v>30.630000000000003</x:v>
      </x:c>
      <x:c r="D192" s="51" t="n">
        <x:f>IF(B192=0,"n.a.",C192/B192)</x:f>
        <x:v>0.0032399875604787105</x:v>
      </x:c>
      <x:c r="E192" s="48" t="str">
        <x:f>IF(OR(A192="COUPON/MISC ITEMS",A192="(CORP USE ONLY)"),"Excluded","Included")</x:f>
        <x:v>Included</x:v>
      </x:c>
      <x:c r="F192" s="40"/>
    </x:row>
    <x:row r="193" ht="28" customHeight="1">
      <x:c r="A193" s="40" t="str">
        <x:v>FITNESS&amp;DIET</x:v>
      </x:c>
      <x:c r="B193" s="46" t="n">
        <x:v>9335.2</x:v>
      </x:c>
      <x:c r="C193" s="46" t="n">
        <x:v>5546.32</x:v>
      </x:c>
      <x:c r="D193" s="51" t="n">
        <x:f>IF(B193=0,"n.a.",C193/B193)</x:f>
        <x:v>0.5941297454794755</x:v>
      </x:c>
      <x:c r="E193" s="48" t="str">
        <x:f>IF(OR(A193="COUPON/MISC ITEMS",A193="(CORP USE ONLY)"),"Excluded","Included")</x:f>
        <x:v>Included</x:v>
      </x:c>
      <x:c r="F193" s="40"/>
    </x:row>
    <x:row r="194" ht="28" customHeight="1">
      <x:c r="A194" s="40" t="str">
        <x:v>NUTS</x:v>
      </x:c>
      <x:c r="B194" s="46" t="n">
        <x:v>9030.48</x:v>
      </x:c>
      <x:c r="C194" s="46" t="n">
        <x:v>1295.17</x:v>
      </x:c>
      <x:c r="D194" s="51" t="n">
        <x:f>IF(B194=0,"n.a.",C194/B194)</x:f>
        <x:v>0.1434220550845581</x:v>
      </x:c>
      <x:c r="E194" s="48" t="str">
        <x:f>IF(OR(A194="COUPON/MISC ITEMS",A194="(CORP USE ONLY)"),"Excluded","Included")</x:f>
        <x:v>Included</x:v>
      </x:c>
      <x:c r="F194" s="40"/>
    </x:row>
    <x:row r="195" ht="28" customHeight="1">
      <x:c r="A195" s="40" t="str">
        <x:v>LAXATIVES</x:v>
      </x:c>
      <x:c r="B195" s="46" t="n">
        <x:v>8913.64</x:v>
      </x:c>
      <x:c r="C195" s="46" t="n">
        <x:v>1319.21</x:v>
      </x:c>
      <x:c r="D195" s="51" t="n">
        <x:f>IF(B195=0,"n.a.",C195/B195)</x:f>
        <x:v>0.1479990217240095</x:v>
      </x:c>
      <x:c r="E195" s="48" t="str">
        <x:f>IF(OR(A195="COUPON/MISC ITEMS",A195="(CORP USE ONLY)"),"Excluded","Included")</x:f>
        <x:v>Included</x:v>
      </x:c>
      <x:c r="F195" s="40"/>
    </x:row>
    <x:row r="196" ht="28" customHeight="1">
      <x:c r="A196" s="40" t="str">
        <x:v>PLASTIC HOUSEWARES</x:v>
      </x:c>
      <x:c r="B196" s="46" t="n">
        <x:v>8512.03</x:v>
      </x:c>
      <x:c r="C196" s="46" t="n">
        <x:v>2194.41</x:v>
      </x:c>
      <x:c r="D196" s="51" t="n">
        <x:f>IF(B196=0,"n.a.",C196/B196)</x:f>
        <x:v>0.257801018088517</x:v>
      </x:c>
      <x:c r="E196" s="48" t="str">
        <x:f>IF(OR(A196="COUPON/MISC ITEMS",A196="(CORP USE ONLY)"),"Excluded","Included")</x:f>
        <x:v>Included</x:v>
      </x:c>
      <x:c r="F196" s="40"/>
    </x:row>
    <x:row r="197" ht="28" customHeight="1">
      <x:c r="A197" s="40" t="str">
        <x:v>TICKETS</x:v>
      </x:c>
      <x:c r="B197" s="46" t="n">
        <x:v>8243.08</x:v>
      </x:c>
      <x:c r="C197" s="46" t="n">
        <x:v>0</x:v>
      </x:c>
      <x:c r="D197" s="51" t="n">
        <x:f>IF(B197=0,"n.a.",C197/B197)</x:f>
        <x:v>0</x:v>
      </x:c>
      <x:c r="E197" s="48" t="str">
        <x:f>IF(OR(A197="COUPON/MISC ITEMS",A197="(CORP USE ONLY)"),"Excluded","Included")</x:f>
        <x:v>Included</x:v>
      </x:c>
      <x:c r="F197" s="40"/>
    </x:row>
    <x:row r="198" ht="28" customHeight="1">
      <x:c r="A198" s="40" t="str">
        <x:v>IN-STORE PHOTOFINISHING</x:v>
      </x:c>
      <x:c r="B198" s="46" t="n">
        <x:v>8052.64</x:v>
      </x:c>
      <x:c r="C198" s="46" t="n">
        <x:v>132.66</x:v>
      </x:c>
      <x:c r="D198" s="51" t="n">
        <x:f>IF(B198=0,"n.a.",C198/B198)</x:f>
        <x:v>0.01647410041924139</x:v>
      </x:c>
      <x:c r="E198" s="48" t="str">
        <x:f>IF(OR(A198="COUPON/MISC ITEMS",A198="(CORP USE ONLY)"),"Excluded","Included")</x:f>
        <x:v>Included</x:v>
      </x:c>
      <x:c r="F198" s="40"/>
    </x:row>
    <x:row r="199" ht="28" customHeight="1">
      <x:c r="A199" s="40" t="str">
        <x:v>VALUE ADDED VEGETABLES</x:v>
      </x:c>
      <x:c r="B199" s="46" t="n">
        <x:v>7664.37</x:v>
      </x:c>
      <x:c r="C199" s="46" t="n">
        <x:v>1678.98</x:v>
      </x:c>
      <x:c r="D199" s="51" t="n">
        <x:f>IF(B199=0,"n.a.",C199/B199)</x:f>
        <x:v>0.21906301496404793</x:v>
      </x:c>
      <x:c r="E199" s="48" t="str">
        <x:f>IF(OR(A199="COUPON/MISC ITEMS",A199="(CORP USE ONLY)"),"Excluded","Included")</x:f>
        <x:v>Included</x:v>
      </x:c>
      <x:c r="F199" s="40"/>
    </x:row>
    <x:row r="200" ht="28" customHeight="1">
      <x:c r="A200" s="40" t="str">
        <x:v>ROSES</x:v>
      </x:c>
      <x:c r="B200" s="46" t="n">
        <x:v>7425.269999999999</x:v>
      </x:c>
      <x:c r="C200" s="46" t="n">
        <x:v>1561.27</x:v>
      </x:c>
      <x:c r="D200" s="51" t="n">
        <x:f>IF(B200=0,"n.a.",C200/B200)</x:f>
        <x:v>0.21026440789358505</x:v>
      </x:c>
      <x:c r="E200" s="48" t="str">
        <x:f>IF(OR(A200="COUPON/MISC ITEMS",A200="(CORP USE ONLY)"),"Excluded","Included")</x:f>
        <x:v>Included</x:v>
      </x:c>
      <x:c r="F200" s="40"/>
    </x:row>
    <x:row r="201" ht="28" customHeight="1">
      <x:c r="A201" s="40" t="str">
        <x:v>EYE AND EAR CARE PRODUCTS</x:v>
      </x:c>
      <x:c r="B201" s="46" t="n">
        <x:v>7417.76</x:v>
      </x:c>
      <x:c r="C201" s="46" t="n">
        <x:v>782.38</x:v>
      </x:c>
      <x:c r="D201" s="51" t="n">
        <x:f>IF(B201=0,"n.a.",C201/B201)</x:f>
        <x:v>0.10547388969176678</x:v>
      </x:c>
      <x:c r="E201" s="48" t="str">
        <x:f>IF(OR(A201="COUPON/MISC ITEMS",A201="(CORP USE ONLY)"),"Excluded","Included")</x:f>
        <x:v>Included</x:v>
      </x:c>
      <x:c r="F201" s="40"/>
    </x:row>
    <x:row r="202" ht="28" customHeight="1">
      <x:c r="A202" s="40" t="str">
        <x:v>KITCHEN GADGETS</x:v>
      </x:c>
      <x:c r="B202" s="46" t="n">
        <x:v>7297.43</x:v>
      </x:c>
      <x:c r="C202" s="46" t="n">
        <x:v>946.54</x:v>
      </x:c>
      <x:c r="D202" s="51" t="n">
        <x:f>IF(B202=0,"n.a.",C202/B202)</x:f>
        <x:v>0.12970867826070273</x:v>
      </x:c>
      <x:c r="E202" s="48" t="str">
        <x:f>IF(OR(A202="COUPON/MISC ITEMS",A202="(CORP USE ONLY)"),"Excluded","Included")</x:f>
        <x:v>Included</x:v>
      </x:c>
      <x:c r="F202" s="40"/>
    </x:row>
    <x:row r="203" ht="28" customHeight="1">
      <x:c r="A203" s="40" t="str">
        <x:v>FILM AND CAMERA PRODUCTS</x:v>
      </x:c>
      <x:c r="B203" s="46" t="n">
        <x:v>7216.8</x:v>
      </x:c>
      <x:c r="C203" s="46" t="n">
        <x:v>3149.77</x:v>
      </x:c>
      <x:c r="D203" s="51" t="n">
        <x:f>IF(B203=0,"n.a.",C203/B203)</x:f>
        <x:v>0.4364496729852566</x:v>
      </x:c>
      <x:c r="E203" s="48" t="str">
        <x:f>IF(OR(A203="COUPON/MISC ITEMS",A203="(CORP USE ONLY)"),"Excluded","Included")</x:f>
        <x:v>Included</x:v>
      </x:c>
      <x:c r="F203" s="40"/>
    </x:row>
    <x:row r="204" ht="28" customHeight="1">
      <x:c r="A204" s="40" t="str">
        <x:v>GARDEN CENTER</x:v>
      </x:c>
      <x:c r="B204" s="46" t="n">
        <x:v>7164.66</x:v>
      </x:c>
      <x:c r="C204" s="46" t="n">
        <x:v>950.36</x:v>
      </x:c>
      <x:c r="D204" s="51" t="n">
        <x:f>IF(B204=0,"n.a.",C204/B204)</x:f>
        <x:v>0.13264551283661752</x:v>
      </x:c>
      <x:c r="E204" s="48" t="str">
        <x:f>IF(OR(A204="COUPON/MISC ITEMS",A204="(CORP USE ONLY)"),"Excluded","Included")</x:f>
        <x:v>Included</x:v>
      </x:c>
      <x:c r="F204" s="40"/>
    </x:row>
    <x:row r="205" ht="28" customHeight="1">
      <x:c r="A205" s="40" t="str">
        <x:v>CEREAL/BREAKFAST</x:v>
      </x:c>
      <x:c r="B205" s="46" t="n">
        <x:v>7022.84</x:v>
      </x:c>
      <x:c r="C205" s="46" t="n">
        <x:v>2898.44</x:v>
      </x:c>
      <x:c r="D205" s="51" t="n">
        <x:f>IF(B205=0,"n.a.",C205/B205)</x:f>
        <x:v>0.4127162230664517</x:v>
      </x:c>
      <x:c r="E205" s="48" t="str">
        <x:f>IF(OR(A205="COUPON/MISC ITEMS",A205="(CORP USE ONLY)"),"Excluded","Included")</x:f>
        <x:v>Included</x:v>
      </x:c>
      <x:c r="F205" s="40"/>
    </x:row>
    <x:row r="206" ht="28" customHeight="1">
      <x:c r="A206" s="40" t="str">
        <x:v>COOKWARE &amp; BAKEWARE</x:v>
      </x:c>
      <x:c r="B206" s="46" t="n">
        <x:v>6707.57</x:v>
      </x:c>
      <x:c r="C206" s="46" t="n">
        <x:v>1234.93</x:v>
      </x:c>
      <x:c r="D206" s="51" t="n">
        <x:f>IF(B206=0,"n.a.",C206/B206)</x:f>
        <x:v>0.1841098937469158</x:v>
      </x:c>
      <x:c r="E206" s="48" t="str">
        <x:f>IF(OR(A206="COUPON/MISC ITEMS",A206="(CORP USE ONLY)"),"Excluded","Included")</x:f>
        <x:v>Included</x:v>
      </x:c>
      <x:c r="F206" s="40"/>
    </x:row>
    <x:row r="207" ht="28" customHeight="1">
      <x:c r="A207" s="40" t="str">
        <x:v>PARTY TRAYS</x:v>
      </x:c>
      <x:c r="B207" s="46" t="n">
        <x:v>6698.49</x:v>
      </x:c>
      <x:c r="C207" s="46" t="n">
        <x:v>1118.22</x:v>
      </x:c>
      <x:c r="D207" s="51" t="n">
        <x:f>IF(B207=0,"n.a.",C207/B207)</x:f>
        <x:v>0.16693613038162333</x:v>
      </x:c>
      <x:c r="E207" s="48" t="str">
        <x:f>IF(OR(A207="COUPON/MISC ITEMS",A207="(CORP USE ONLY)"),"Excluded","Included")</x:f>
        <x:v>Included</x:v>
      </x:c>
      <x:c r="F207" s="40"/>
    </x:row>
    <x:row r="208" ht="28" customHeight="1">
      <x:c r="A208" s="40" t="str">
        <x:v>FRZN ICE</x:v>
      </x:c>
      <x:c r="B208" s="46" t="n">
        <x:v>6576.25</x:v>
      </x:c>
      <x:c r="C208" s="46" t="n">
        <x:v>0</x:v>
      </x:c>
      <x:c r="D208" s="51" t="n">
        <x:f>IF(B208=0,"n.a.",C208/B208)</x:f>
        <x:v>0</x:v>
      </x:c>
      <x:c r="E208" s="48" t="str">
        <x:f>IF(OR(A208="COUPON/MISC ITEMS",A208="(CORP USE ONLY)"),"Excluded","Included")</x:f>
        <x:v>Included</x:v>
      </x:c>
      <x:c r="F208" s="40"/>
    </x:row>
    <x:row r="209" ht="28" customHeight="1">
      <x:c r="A209" s="40" t="str">
        <x:v>INFANT CARE PRODUCTS</x:v>
      </x:c>
      <x:c r="B209" s="46" t="n">
        <x:v>6399.2</x:v>
      </x:c>
      <x:c r="C209" s="46" t="n">
        <x:v>1011.13</x:v>
      </x:c>
      <x:c r="D209" s="51" t="n">
        <x:f>IF(B209=0,"n.a.",C209/B209)</x:f>
        <x:v>0.15800881360170022</x:v>
      </x:c>
      <x:c r="E209" s="48" t="str">
        <x:f>IF(OR(A209="COUPON/MISC ITEMS",A209="(CORP USE ONLY)"),"Excluded","Included")</x:f>
        <x:v>Included</x:v>
      </x:c>
      <x:c r="F209" s="40"/>
    </x:row>
    <x:row r="210" ht="28" customHeight="1">
      <x:c r="A210" s="40" t="str">
        <x:v>MISCELLANEOUS</x:v>
      </x:c>
      <x:c r="B210" s="46" t="n">
        <x:v>5977.64</x:v>
      </x:c>
      <x:c r="C210" s="46" t="n">
        <x:v>1616.62</x:v>
      </x:c>
      <x:c r="D210" s="51" t="n">
        <x:f>IF(B210=0,"n.a.",C210/B210)</x:f>
        <x:v>0.27044452325666984</x:v>
      </x:c>
      <x:c r="E210" s="48" t="str">
        <x:f>IF(OR(A210="COUPON/MISC ITEMS",A210="(CORP USE ONLY)"),"Excluded","Included")</x:f>
        <x:v>Included</x:v>
      </x:c>
      <x:c r="F210" s="40"/>
    </x:row>
    <x:row r="211" ht="28" customHeight="1">
      <x:c r="A211" s="40" t="str">
        <x:v>CANDLES/ACCESSORIES</x:v>
      </x:c>
      <x:c r="B211" s="46" t="n">
        <x:v>5926.88</x:v>
      </x:c>
      <x:c r="C211" s="46" t="n">
        <x:v>1080.96</x:v>
      </x:c>
      <x:c r="D211" s="51" t="n">
        <x:f>IF(B211=0,"n.a.",C211/B211)</x:f>
        <x:v>0.1823826363955403</x:v>
      </x:c>
      <x:c r="E211" s="48" t="str">
        <x:f>IF(OR(A211="COUPON/MISC ITEMS",A211="(CORP USE ONLY)"),"Excluded","Included")</x:f>
        <x:v>Included</x:v>
      </x:c>
      <x:c r="F211" s="40"/>
    </x:row>
    <x:row r="212" ht="28" customHeight="1">
      <x:c r="A212" s="40" t="str">
        <x:v>NEWSPAPER</x:v>
      </x:c>
      <x:c r="B212" s="46" t="n">
        <x:v>5912.7</x:v>
      </x:c>
      <x:c r="C212" s="46" t="n">
        <x:v>183.82</x:v>
      </x:c>
      <x:c r="D212" s="51" t="n">
        <x:f>IF(B212=0,"n.a.",C212/B212)</x:f>
        <x:v>0.031089011788184753</x:v>
      </x:c>
      <x:c r="E212" s="48" t="str">
        <x:f>IF(OR(A212="COUPON/MISC ITEMS",A212="(CORP USE ONLY)"),"Excluded","Included")</x:f>
        <x:v>Included</x:v>
      </x:c>
      <x:c r="F212" s="40"/>
    </x:row>
    <x:row r="213" ht="28" customHeight="1">
      <x:c r="A213" s="40" t="str">
        <x:v>OLIVES</x:v>
      </x:c>
      <x:c r="B213" s="46" t="n">
        <x:v>5888.06</x:v>
      </x:c>
      <x:c r="C213" s="46" t="n">
        <x:v>2614.2</x:v>
      </x:c>
      <x:c r="D213" s="51" t="n">
        <x:f>IF(B213=0,"n.a.",C213/B213)</x:f>
        <x:v>0.44398324745332074</x:v>
      </x:c>
      <x:c r="E213" s="48" t="str">
        <x:f>IF(OR(A213="COUPON/MISC ITEMS",A213="(CORP USE ONLY)"),"Excluded","Included")</x:f>
        <x:v>Included</x:v>
      </x:c>
      <x:c r="F213" s="40"/>
    </x:row>
    <x:row r="214" ht="28" customHeight="1">
      <x:c r="A214" s="40" t="str">
        <x:v>CHIPS&amp;SNACKS</x:v>
      </x:c>
      <x:c r="B214" s="46" t="n">
        <x:v>5840.83</x:v>
      </x:c>
      <x:c r="C214" s="46" t="n">
        <x:v>2443.38</x:v>
      </x:c>
      <x:c r="D214" s="51" t="n">
        <x:f>IF(B214=0,"n.a.",C214/B214)</x:f>
        <x:v>0.4183275322171678</x:v>
      </x:c>
      <x:c r="E214" s="48" t="str">
        <x:f>IF(OR(A214="COUPON/MISC ITEMS",A214="(CORP USE ONLY)"),"Excluded","Included")</x:f>
        <x:v>Included</x:v>
      </x:c>
      <x:c r="F214" s="40"/>
    </x:row>
    <x:row r="215" ht="28" customHeight="1">
      <x:c r="A215" s="40" t="str">
        <x:v>FRZN FRUITS</x:v>
      </x:c>
      <x:c r="B215" s="46" t="n">
        <x:v>5726.35</x:v>
      </x:c>
      <x:c r="C215" s="46" t="n">
        <x:v>4714.28</x:v>
      </x:c>
      <x:c r="D215" s="51" t="n">
        <x:f>IF(B215=0,"n.a.",C215/B215)</x:f>
        <x:v>0.8232608904450478</x:v>
      </x:c>
      <x:c r="E215" s="48" t="str">
        <x:f>IF(OR(A215="COUPON/MISC ITEMS",A215="(CORP USE ONLY)"),"Excluded","Included")</x:f>
        <x:v>Included</x:v>
      </x:c>
      <x:c r="F215" s="40"/>
    </x:row>
    <x:row r="216" ht="28" customHeight="1">
      <x:c r="A216" s="40" t="str">
        <x:v>FRZN JCE CONC/DRNKS</x:v>
      </x:c>
      <x:c r="B216" s="46" t="n">
        <x:v>5724.51</x:v>
      </x:c>
      <x:c r="C216" s="46" t="n">
        <x:v>4417.44</x:v>
      </x:c>
      <x:c r="D216" s="51" t="n">
        <x:f>IF(B216=0,"n.a.",C216/B216)</x:f>
        <x:v>0.7716712871494678</x:v>
      </x:c>
      <x:c r="E216" s="48" t="str">
        <x:f>IF(OR(A216="COUPON/MISC ITEMS",A216="(CORP USE ONLY)"),"Excluded","Included")</x:f>
        <x:v>Included</x:v>
      </x:c>
      <x:c r="F216" s="40"/>
    </x:row>
    <x:row r="217" ht="28" customHeight="1">
      <x:c r="A217" s="40" t="str">
        <x:v>FLOUR &amp; MEALS</x:v>
      </x:c>
      <x:c r="B217" s="46" t="n">
        <x:v>5723.6</x:v>
      </x:c>
      <x:c r="C217" s="46" t="n">
        <x:v>1302.51</x:v>
      </x:c>
      <x:c r="D217" s="51" t="n">
        <x:f>IF(B217=0,"n.a.",C217/B217)</x:f>
        <x:v>0.22756831364875252</x:v>
      </x:c>
      <x:c r="E217" s="48" t="str">
        <x:f>IF(OR(A217="COUPON/MISC ITEMS",A217="(CORP USE ONLY)"),"Excluded","Included")</x:f>
        <x:v>Included</x:v>
      </x:c>
      <x:c r="F217" s="40"/>
    </x:row>
    <x:row r="218" ht="28" customHeight="1">
      <x:c r="A218" s="40" t="str">
        <x:v>FROZEN - BOXED(GROCERY)</x:v>
      </x:c>
      <x:c r="B218" s="46" t="n">
        <x:v>5653.2</x:v>
      </x:c>
      <x:c r="C218" s="46" t="n">
        <x:v>3256.59</x:v>
      </x:c>
      <x:c r="D218" s="51" t="n">
        <x:f>IF(B218=0,"n.a.",C218/B218)</x:f>
        <x:v>0.5760613457864573</x:v>
      </x:c>
      <x:c r="E218" s="48" t="str">
        <x:f>IF(OR(A218="COUPON/MISC ITEMS",A218="(CORP USE ONLY)"),"Excluded","Included")</x:f>
        <x:v>Included</x:v>
      </x:c>
      <x:c r="F218" s="40"/>
    </x:row>
    <x:row r="219" ht="28" customHeight="1">
      <x:c r="A219" s="40" t="str">
        <x:v>CORN</x:v>
      </x:c>
      <x:c r="B219" s="46" t="n">
        <x:v>5435.38</x:v>
      </x:c>
      <x:c r="C219" s="46" t="n">
        <x:v>1942.74</x:v>
      </x:c>
      <x:c r="D219" s="51" t="n">
        <x:f>IF(B219=0,"n.a.",C219/B219)</x:f>
        <x:v>0.35742487185808536</x:v>
      </x:c>
      <x:c r="E219" s="48" t="str">
        <x:f>IF(OR(A219="COUPON/MISC ITEMS",A219="(CORP USE ONLY)"),"Excluded","Included")</x:f>
        <x:v>Included</x:v>
      </x:c>
      <x:c r="F219" s="40"/>
    </x:row>
    <x:row r="220" ht="28" customHeight="1">
      <x:c r="A220" s="40" t="str">
        <x:v>SWEET GOODS &amp; SNACKS</x:v>
      </x:c>
      <x:c r="B220" s="46" t="n">
        <x:v>5300.05</x:v>
      </x:c>
      <x:c r="C220" s="46" t="n">
        <x:v>1081.25</x:v>
      </x:c>
      <x:c r="D220" s="51" t="n">
        <x:f>IF(B220=0,"n.a.",C220/B220)</x:f>
        <x:v>0.2040075093631192</x:v>
      </x:c>
      <x:c r="E220" s="48" t="str">
        <x:f>IF(OR(A220="COUPON/MISC ITEMS",A220="(CORP USE ONLY)"),"Excluded","Included")</x:f>
        <x:v>Included</x:v>
      </x:c>
      <x:c r="F220" s="40"/>
    </x:row>
    <x:row r="221" ht="28" customHeight="1">
      <x:c r="A221" s="40" t="str">
        <x:v>HARDWARE SUPPLIES</x:v>
      </x:c>
      <x:c r="B221" s="46" t="n">
        <x:v>5207.57</x:v>
      </x:c>
      <x:c r="C221" s="46" t="n">
        <x:v>399.19</x:v>
      </x:c>
      <x:c r="D221" s="51" t="n">
        <x:f>IF(B221=0,"n.a.",C221/B221)</x:f>
        <x:v>0.0766557146615408</x:v>
      </x:c>
      <x:c r="E221" s="48" t="str">
        <x:f>IF(OR(A221="COUPON/MISC ITEMS",A221="(CORP USE ONLY)"),"Excluded","Included")</x:f>
        <x:v>Included</x:v>
      </x:c>
      <x:c r="F221" s="40"/>
    </x:row>
    <x:row r="222" ht="28" customHeight="1">
      <x:c r="A222" s="40" t="str">
        <x:v>SUSHI</x:v>
      </x:c>
      <x:c r="B222" s="46" t="n">
        <x:v>5162.85</x:v>
      </x:c>
      <x:c r="C222" s="46" t="n">
        <x:v>12.98</x:v>
      </x:c>
      <x:c r="D222" s="51" t="n">
        <x:f>IF(B222=0,"n.a.",C222/B222)</x:f>
        <x:v>0.002514115265793118</x:v>
      </x:c>
      <x:c r="E222" s="48" t="str">
        <x:f>IF(OR(A222="COUPON/MISC ITEMS",A222="(CORP USE ONLY)"),"Excluded","Included")</x:f>
        <x:v>Included</x:v>
      </x:c>
      <x:c r="F222" s="40"/>
    </x:row>
    <x:row r="223" ht="28" customHeight="1">
      <x:c r="A223" s="40" t="str">
        <x:v>ADULT INCONTINENCE</x:v>
      </x:c>
      <x:c r="B223" s="46" t="n">
        <x:v>4995.97</x:v>
      </x:c>
      <x:c r="C223" s="46" t="n">
        <x:v>2924.77</x:v>
      </x:c>
      <x:c r="D223" s="51" t="n">
        <x:f>IF(B223=0,"n.a.",C223/B223)</x:f>
        <x:v>0.5854258532377096</x:v>
      </x:c>
      <x:c r="E223" s="48" t="str">
        <x:f>IF(OR(A223="COUPON/MISC ITEMS",A223="(CORP USE ONLY)"),"Excluded","Included")</x:f>
        <x:v>Included</x:v>
      </x:c>
      <x:c r="F223" s="40"/>
    </x:row>
    <x:row r="224" ht="28" customHeight="1">
      <x:c r="A224" s="40" t="str">
        <x:v>FAMILY PLANNING</x:v>
      </x:c>
      <x:c r="B224" s="46" t="n">
        <x:v>4853.49</x:v>
      </x:c>
      <x:c r="C224" s="46" t="n">
        <x:v>895.8</x:v>
      </x:c>
      <x:c r="D224" s="51" t="n">
        <x:f>IF(B224=0,"n.a.",C224/B224)</x:f>
        <x:v>0.18456821792153688</x:v>
      </x:c>
      <x:c r="E224" s="48" t="str">
        <x:f>IF(OR(A224="COUPON/MISC ITEMS",A224="(CORP USE ONLY)"),"Excluded","Included")</x:f>
        <x:v>Included</x:v>
      </x:c>
      <x:c r="F224" s="40"/>
    </x:row>
    <x:row r="225" ht="28" customHeight="1">
      <x:c r="A225" s="40" t="str">
        <x:v>HERBS</x:v>
      </x:c>
      <x:c r="B225" s="46" t="n">
        <x:v>4668.73</x:v>
      </x:c>
      <x:c r="C225" s="46" t="n">
        <x:v>329.99</x:v>
      </x:c>
      <x:c r="D225" s="51" t="n">
        <x:f>IF(B225=0,"n.a.",C225/B225)</x:f>
        <x:v>0.07068089180569449</x:v>
      </x:c>
      <x:c r="E225" s="48" t="str">
        <x:f>IF(OR(A225="COUPON/MISC ITEMS",A225="(CORP USE ONLY)"),"Excluded","Included")</x:f>
        <x:v>Included</x:v>
      </x:c>
      <x:c r="F225" s="40"/>
    </x:row>
    <x:row r="226" ht="28" customHeight="1">
      <x:c r="A226" s="40" t="str">
        <x:v>SANDWICHES</x:v>
      </x:c>
      <x:c r="B226" s="46" t="n">
        <x:v>4665.25</x:v>
      </x:c>
      <x:c r="C226" s="46" t="n">
        <x:v>218.36</x:v>
      </x:c>
      <x:c r="D226" s="51" t="n">
        <x:f>IF(B226=0,"n.a.",C226/B226)</x:f>
        <x:v>0.04680563742564708</x:v>
      </x:c>
      <x:c r="E226" s="48" t="str">
        <x:f>IF(OR(A226="COUPON/MISC ITEMS",A226="(CORP USE ONLY)"),"Excluded","Included")</x:f>
        <x:v>Included</x:v>
      </x:c>
      <x:c r="F226" s="40"/>
    </x:row>
    <x:row r="227" ht="28" customHeight="1">
      <x:c r="A227" s="40" t="str">
        <x:v>BATH</x:v>
      </x:c>
      <x:c r="B227" s="46" t="n">
        <x:v>4532.35</x:v>
      </x:c>
      <x:c r="C227" s="46" t="n">
        <x:v>1234.6</x:v>
      </x:c>
      <x:c r="D227" s="51" t="n">
        <x:f>IF(B227=0,"n.a.",C227/B227)</x:f>
        <x:v>0.27239732147782053</x:v>
      </x:c>
      <x:c r="E227" s="48" t="str">
        <x:f>IF(OR(A227="COUPON/MISC ITEMS",A227="(CORP USE ONLY)"),"Excluded","Included")</x:f>
        <x:v>Included</x:v>
      </x:c>
      <x:c r="F227" s="40"/>
    </x:row>
    <x:row r="228" ht="28" customHeight="1">
      <x:c r="A228" s="40" t="str">
        <x:v>PEARS</x:v>
      </x:c>
      <x:c r="B228" s="46" t="n">
        <x:v>4519.17</x:v>
      </x:c>
      <x:c r="C228" s="46" t="n">
        <x:v>1182.3</x:v>
      </x:c>
      <x:c r="D228" s="51" t="n">
        <x:f>IF(B228=0,"n.a.",C228/B228)</x:f>
        <x:v>0.26161883708734124</x:v>
      </x:c>
      <x:c r="E228" s="48" t="str">
        <x:f>IF(OR(A228="COUPON/MISC ITEMS",A228="(CORP USE ONLY)"),"Excluded","Included")</x:f>
        <x:v>Included</x:v>
      </x:c>
      <x:c r="F228" s="40"/>
    </x:row>
    <x:row r="229" ht="28" customHeight="1">
      <x:c r="A229" s="40" t="str">
        <x:v>COFFEE FILTERS</x:v>
      </x:c>
      <x:c r="B229" s="46" t="n">
        <x:v>4502.8</x:v>
      </x:c>
      <x:c r="C229" s="46" t="n">
        <x:v>690.71</x:v>
      </x:c>
      <x:c r="D229" s="51" t="n">
        <x:f>IF(B229=0,"n.a.",C229/B229)</x:f>
        <x:v>0.15339566491960557</x:v>
      </x:c>
      <x:c r="E229" s="48" t="str">
        <x:f>IF(OR(A229="COUPON/MISC ITEMS",A229="(CORP USE ONLY)"),"Excluded","Included")</x:f>
        <x:v>Included</x:v>
      </x:c>
      <x:c r="F229" s="40"/>
    </x:row>
    <x:row r="230" ht="28" customHeight="1">
      <x:c r="A230" s="40" t="str">
        <x:v>FLORAL-FLOWERING PLANTS</x:v>
      </x:c>
      <x:c r="B230" s="46" t="n">
        <x:v>4490.84</x:v>
      </x:c>
      <x:c r="C230" s="46" t="n">
        <x:v>155.8</x:v>
      </x:c>
      <x:c r="D230" s="51" t="n">
        <x:f>IF(B230=0,"n.a.",C230/B230)</x:f>
        <x:v>0.034692841428329665</x:v>
      </x:c>
      <x:c r="E230" s="48" t="str">
        <x:f>IF(OR(A230="COUPON/MISC ITEMS",A230="(CORP USE ONLY)"),"Excluded","Included")</x:f>
        <x:v>Included</x:v>
      </x:c>
      <x:c r="F230" s="40"/>
    </x:row>
    <x:row r="231" ht="28" customHeight="1">
      <x:c r="A231" s="40" t="str">
        <x:v>HAIR CARE ACCESSORIES</x:v>
      </x:c>
      <x:c r="B231" s="46" t="n">
        <x:v>4345.32</x:v>
      </x:c>
      <x:c r="C231" s="46" t="n">
        <x:v>746.99</x:v>
      </x:c>
      <x:c r="D231" s="51" t="n">
        <x:f>IF(B231=0,"n.a.",C231/B231)</x:f>
        <x:v>0.17190678707206836</x:v>
      </x:c>
      <x:c r="E231" s="48" t="str">
        <x:f>IF(OR(A231="COUPON/MISC ITEMS",A231="(CORP USE ONLY)"),"Excluded","Included")</x:f>
        <x:v>Included</x:v>
      </x:c>
      <x:c r="F231" s="40"/>
    </x:row>
    <x:row r="232" ht="28" customHeight="1">
      <x:c r="A232" s="40" t="str">
        <x:v>FROZEN CHICKEN</x:v>
      </x:c>
      <x:c r="B232" s="46" t="n">
        <x:v>4201.64</x:v>
      </x:c>
      <x:c r="C232" s="46" t="n">
        <x:v>3139.12</x:v>
      </x:c>
      <x:c r="D232" s="51" t="n">
        <x:f>IF(B232=0,"n.a.",C232/B232)</x:f>
        <x:v>0.7471177921002274</x:v>
      </x:c>
      <x:c r="E232" s="48" t="str">
        <x:f>IF(OR(A232="COUPON/MISC ITEMS",A232="(CORP USE ONLY)"),"Excluded","Included")</x:f>
        <x:v>Included</x:v>
      </x:c>
      <x:c r="F232" s="40"/>
    </x:row>
    <x:row r="233" ht="28" customHeight="1">
      <x:c r="A233" s="40" t="str">
        <x:v>SNACKS</x:v>
      </x:c>
      <x:c r="B233" s="46" t="n">
        <x:v>4178.15</x:v>
      </x:c>
      <x:c r="C233" s="46" t="n">
        <x:v>1636.48</x:v>
      </x:c>
      <x:c r="D233" s="51" t="n">
        <x:f>IF(B233=0,"n.a.",C233/B233)</x:f>
        <x:v>0.3916757416559961</x:v>
      </x:c>
      <x:c r="E233" s="48" t="str">
        <x:f>IF(OR(A233="COUPON/MISC ITEMS",A233="(CORP USE ONLY)"),"Excluded","Included")</x:f>
        <x:v>Included</x:v>
      </x:c>
      <x:c r="F233" s="40"/>
    </x:row>
    <x:row r="234" ht="28" customHeight="1">
      <x:c r="A234" s="40" t="str">
        <x:v>DOMESTIC GOODS</x:v>
      </x:c>
      <x:c r="B234" s="46" t="n">
        <x:v>3988.52</x:v>
      </x:c>
      <x:c r="C234" s="46" t="n">
        <x:v>911.35</x:v>
      </x:c>
      <x:c r="D234" s="51" t="n">
        <x:f>IF(B234=0,"n.a.",C234/B234)</x:f>
        <x:v>0.22849327570126263</x:v>
      </x:c>
      <x:c r="E234" s="48" t="str">
        <x:f>IF(OR(A234="COUPON/MISC ITEMS",A234="(CORP USE ONLY)"),"Excluded","Included")</x:f>
        <x:v>Included</x:v>
      </x:c>
      <x:c r="F234" s="40"/>
    </x:row>
    <x:row r="235" ht="28" customHeight="1">
      <x:c r="A235" s="40" t="str">
        <x:v>WATER</x:v>
      </x:c>
      <x:c r="B235" s="46" t="n">
        <x:v>3904.39</x:v>
      </x:c>
      <x:c r="C235" s="46" t="n">
        <x:v>2678.53</x:v>
      </x:c>
      <x:c r="D235" s="51" t="n">
        <x:f>IF(B235=0,"n.a.",C235/B235)</x:f>
        <x:v>0.686030340206793</x:v>
      </x:c>
      <x:c r="E235" s="48" t="str">
        <x:f>IF(OR(A235="COUPON/MISC ITEMS",A235="(CORP USE ONLY)"),"Excluded","Included")</x:f>
        <x:v>Included</x:v>
      </x:c>
      <x:c r="F235" s="40"/>
    </x:row>
    <x:row r="236" ht="28" customHeight="1">
      <x:c r="A236" s="40" t="str">
        <x:v>JUICE</x:v>
      </x:c>
      <x:c r="B236" s="46" t="n">
        <x:v>3854.33</x:v>
      </x:c>
      <x:c r="C236" s="46" t="n">
        <x:v>1450.87</x:v>
      </x:c>
      <x:c r="D236" s="51" t="n">
        <x:f>IF(B236=0,"n.a.",C236/B236)</x:f>
        <x:v>0.37642599362275675</x:v>
      </x:c>
      <x:c r="E236" s="48" t="str">
        <x:f>IF(OR(A236="COUPON/MISC ITEMS",A236="(CORP USE ONLY)"),"Excluded","Included")</x:f>
        <x:v>Included</x:v>
      </x:c>
      <x:c r="F236" s="40"/>
    </x:row>
    <x:row r="237" ht="28" customHeight="1">
      <x:c r="A237" s="40" t="str">
        <x:v>HALLOWEEN</x:v>
      </x:c>
      <x:c r="B237" s="46" t="n">
        <x:v>3847.39</x:v>
      </x:c>
      <x:c r="C237" s="46" t="n">
        <x:v>1298.26</x:v>
      </x:c>
      <x:c r="D237" s="51" t="n">
        <x:f>IF(B237=0,"n.a.",C237/B237)</x:f>
        <x:v>0.33743914705813555</x:v>
      </x:c>
      <x:c r="E237" s="48" t="str">
        <x:f>IF(OR(A237="COUPON/MISC ITEMS",A237="(CORP USE ONLY)"),"Excluded","Included")</x:f>
        <x:v>Included</x:v>
      </x:c>
      <x:c r="F237" s="40"/>
    </x:row>
    <x:row r="238" ht="28" customHeight="1">
      <x:c r="A238" s="40" t="str">
        <x:v>FOOT CARE PRODUCTS</x:v>
      </x:c>
      <x:c r="B238" s="46" t="n">
        <x:v>3828.9</x:v>
      </x:c>
      <x:c r="C238" s="46" t="n">
        <x:v>568.12</x:v>
      </x:c>
      <x:c r="D238" s="51" t="n">
        <x:f>IF(B238=0,"n.a.",C238/B238)</x:f>
        <x:v>0.1483768184073755</x:v>
      </x:c>
      <x:c r="E238" s="48" t="str">
        <x:f>IF(OR(A238="COUPON/MISC ITEMS",A238="(CORP USE ONLY)"),"Excluded","Included")</x:f>
        <x:v>Included</x:v>
      </x:c>
      <x:c r="F238" s="40"/>
    </x:row>
    <x:row r="239" ht="28" customHeight="1">
      <x:c r="A239" s="40" t="str">
        <x:v>CANNED MILK</x:v>
      </x:c>
      <x:c r="B239" s="46" t="n">
        <x:v>3783.82</x:v>
      </x:c>
      <x:c r="C239" s="46" t="n">
        <x:v>2131.24</x:v>
      </x:c>
      <x:c r="D239" s="51" t="n">
        <x:f>IF(B239=0,"n.a.",C239/B239)</x:f>
        <x:v>0.5632508945985802</x:v>
      </x:c>
      <x:c r="E239" s="48" t="str">
        <x:f>IF(OR(A239="COUPON/MISC ITEMS",A239="(CORP USE ONLY)"),"Excluded","Included")</x:f>
        <x:v>Included</x:v>
      </x:c>
      <x:c r="F239" s="40"/>
    </x:row>
    <x:row r="240" ht="28" customHeight="1">
      <x:c r="A240" s="40" t="str">
        <x:v>HOSIERY/SOCKS</x:v>
      </x:c>
      <x:c r="B240" s="46" t="n">
        <x:v>3755.53</x:v>
      </x:c>
      <x:c r="C240" s="46" t="n">
        <x:v>495.55</x:v>
      </x:c>
      <x:c r="D240" s="51" t="n">
        <x:f>IF(B240=0,"n.a.",C240/B240)</x:f>
        <x:v>0.13195208133073094</x:v>
      </x:c>
      <x:c r="E240" s="48" t="str">
        <x:f>IF(OR(A240="COUPON/MISC ITEMS",A240="(CORP USE ONLY)"),"Excluded","Included")</x:f>
        <x:v>Included</x:v>
      </x:c>
      <x:c r="F240" s="40"/>
    </x:row>
    <x:row r="241" ht="28" customHeight="1">
      <x:c r="A241" s="40" t="str">
        <x:v>AUTOMOTIVE PRODUCTS</x:v>
      </x:c>
      <x:c r="B241" s="46" t="n">
        <x:v>3716.85</x:v>
      </x:c>
      <x:c r="C241" s="46" t="n">
        <x:v>201.66</x:v>
      </x:c>
      <x:c r="D241" s="51" t="n">
        <x:f>IF(B241=0,"n.a.",C241/B241)</x:f>
        <x:v>0.05425561967795311</x:v>
      </x:c>
      <x:c r="E241" s="48" t="str">
        <x:f>IF(OR(A241="COUPON/MISC ITEMS",A241="(CORP USE ONLY)"),"Excluded","Included")</x:f>
        <x:v>Included</x:v>
      </x:c>
      <x:c r="F241" s="40"/>
    </x:row>
    <x:row r="242" ht="28" customHeight="1">
      <x:c r="A242" s="40" t="str">
        <x:v>SNKS/CKYS/CRKR/CNDY</x:v>
      </x:c>
      <x:c r="B242" s="46" t="n">
        <x:v>3702.18</x:v>
      </x:c>
      <x:c r="C242" s="46" t="n">
        <x:v>1273.77</x:v>
      </x:c>
      <x:c r="D242" s="51" t="n">
        <x:f>IF(B242=0,"n.a.",C242/B242)</x:f>
        <x:v>0.3440594460561075</x:v>
      </x:c>
      <x:c r="E242" s="48" t="str">
        <x:f>IF(OR(A242="COUPON/MISC ITEMS",A242="(CORP USE ONLY)"),"Excluded","Included")</x:f>
        <x:v>Included</x:v>
      </x:c>
      <x:c r="F242" s="40"/>
    </x:row>
    <x:row r="243" ht="28" customHeight="1">
      <x:c r="A243" s="40" t="str">
        <x:v>RICE CAKES</x:v>
      </x:c>
      <x:c r="B243" s="46" t="n">
        <x:v>3610.61</x:v>
      </x:c>
      <x:c r="C243" s="46" t="n">
        <x:v>1248.55</x:v>
      </x:c>
      <x:c r="D243" s="51" t="n">
        <x:f>IF(B243=0,"n.a.",C243/B243)</x:f>
        <x:v>0.3458002941331243</x:v>
      </x:c>
      <x:c r="E243" s="48" t="str">
        <x:f>IF(OR(A243="COUPON/MISC ITEMS",A243="(CORP USE ONLY)"),"Excluded","Included")</x:f>
        <x:v>Included</x:v>
      </x:c>
      <x:c r="F243" s="40"/>
    </x:row>
    <x:row r="244" ht="28" customHeight="1">
      <x:c r="A244" s="40" t="str">
        <x:v>DISPOSIBLE FOILWARE</x:v>
      </x:c>
      <x:c r="B244" s="46" t="n">
        <x:v>3574.7</x:v>
      </x:c>
      <x:c r="C244" s="46" t="n">
        <x:v>1011.78</x:v>
      </x:c>
      <x:c r="D244" s="51" t="n">
        <x:f>IF(B244=0,"n.a.",C244/B244)</x:f>
        <x:v>0.28303913615128545</x:v>
      </x:c>
      <x:c r="E244" s="48" t="str">
        <x:f>IF(OR(A244="COUPON/MISC ITEMS",A244="(CORP USE ONLY)"),"Excluded","Included")</x:f>
        <x:v>Included</x:v>
      </x:c>
      <x:c r="F244" s="40"/>
    </x:row>
    <x:row r="245" ht="28" customHeight="1">
      <x:c r="A245" s="40" t="str">
        <x:v>APPAREL</x:v>
      </x:c>
      <x:c r="B245" s="46" t="n">
        <x:v>3551.72</x:v>
      </x:c>
      <x:c r="C245" s="46" t="n">
        <x:v>591.21</x:v>
      </x:c>
      <x:c r="D245" s="51" t="n">
        <x:f>IF(B245=0,"n.a.",C245/B245)</x:f>
        <x:v>0.16645737839694572</x:v>
      </x:c>
      <x:c r="E245" s="48" t="str">
        <x:f>IF(OR(A245="COUPON/MISC ITEMS",A245="(CORP USE ONLY)"),"Excluded","Included")</x:f>
        <x:v>Included</x:v>
      </x:c>
      <x:c r="F245" s="40"/>
    </x:row>
    <x:row r="246" ht="28" customHeight="1">
      <x:c r="A246" s="40" t="str">
        <x:v>TOBACCO OTHER</x:v>
      </x:c>
      <x:c r="B246" s="46" t="n">
        <x:v>3547.93</x:v>
      </x:c>
      <x:c r="C246" s="46" t="n">
        <x:v>148.59</x:v>
      </x:c>
      <x:c r="D246" s="51" t="n">
        <x:f>IF(B246=0,"n.a.",C246/B246)</x:f>
        <x:v>0.041880758639544755</x:v>
      </x:c>
      <x:c r="E246" s="48" t="str">
        <x:f>IF(OR(A246="COUPON/MISC ITEMS",A246="(CORP USE ONLY)"),"Excluded","Included")</x:f>
        <x:v>Included</x:v>
      </x:c>
      <x:c r="F246" s="40"/>
    </x:row>
    <x:row r="247" ht="28" customHeight="1">
      <x:c r="A247" s="40" t="str">
        <x:v>INSECTICIDES</x:v>
      </x:c>
      <x:c r="B247" s="46" t="n">
        <x:v>3482.69</x:v>
      </x:c>
      <x:c r="C247" s="46" t="n">
        <x:v>1037.42</x:v>
      </x:c>
      <x:c r="D247" s="51" t="n">
        <x:f>IF(B247=0,"n.a.",C247/B247)</x:f>
        <x:v>0.29787893840680624</x:v>
      </x:c>
      <x:c r="E247" s="48" t="str">
        <x:f>IF(OR(A247="COUPON/MISC ITEMS",A247="(CORP USE ONLY)"),"Excluded","Included")</x:f>
        <x:v>Included</x:v>
      </x:c>
      <x:c r="F247" s="40"/>
    </x:row>
    <x:row r="248" ht="28" customHeight="1">
      <x:c r="A248" s="40" t="str">
        <x:v>UNKNOWN</x:v>
      </x:c>
      <x:c r="B248" s="46" t="n">
        <x:v>3482.06</x:v>
      </x:c>
      <x:c r="C248" s="46" t="n">
        <x:v>308.35</x:v>
      </x:c>
      <x:c r="D248" s="51" t="n">
        <x:f>IF(B248=0,"n.a.",C248/B248)</x:f>
        <x:v>0.08855390200053992</x:v>
      </x:c>
      <x:c r="E248" s="48" t="str">
        <x:f>IF(OR(A248="COUPON/MISC ITEMS",A248="(CORP USE ONLY)"),"Excluded","Included")</x:f>
        <x:v>Included</x:v>
      </x:c>
      <x:c r="F248" s="40"/>
    </x:row>
    <x:row r="249" ht="28" customHeight="1">
      <x:c r="A249" s="40" t="str">
        <x:v>SQUASH</x:v>
      </x:c>
      <x:c r="B249" s="46" t="n">
        <x:v>3374.34</x:v>
      </x:c>
      <x:c r="C249" s="46" t="n">
        <x:v>246.88</x:v>
      </x:c>
      <x:c r="D249" s="51" t="n">
        <x:f>IF(B249=0,"n.a.",C249/B249)</x:f>
        <x:v>0.07316393724402401</x:v>
      </x:c>
      <x:c r="E249" s="48" t="str">
        <x:f>IF(OR(A249="COUPON/MISC ITEMS",A249="(CORP USE ONLY)"),"Excluded","Included")</x:f>
        <x:v>Included</x:v>
      </x:c>
      <x:c r="F249" s="40"/>
    </x:row>
    <x:row r="250" ht="28" customHeight="1">
      <x:c r="A250" s="40" t="str">
        <x:v>IRONING AND CHEMICALS</x:v>
      </x:c>
      <x:c r="B250" s="46" t="n">
        <x:v>3346.01</x:v>
      </x:c>
      <x:c r="C250" s="46" t="n">
        <x:v>83.85</x:v>
      </x:c>
      <x:c r="D250" s="51" t="n">
        <x:f>IF(B250=0,"n.a.",C250/B250)</x:f>
        <x:v>0.025059697968625314</x:v>
      </x:c>
      <x:c r="E250" s="48" t="str">
        <x:f>IF(OR(A250="COUPON/MISC ITEMS",A250="(CORP USE ONLY)"),"Excluded","Included")</x:f>
        <x:v>Included</x:v>
      </x:c>
      <x:c r="F250" s="40"/>
    </x:row>
    <x:row r="251" ht="28" customHeight="1">
      <x:c r="A251" s="40" t="str">
        <x:v>LAWN AND GARDEN SHOP</x:v>
      </x:c>
      <x:c r="B251" s="46" t="n">
        <x:v>3187.55</x:v>
      </x:c>
      <x:c r="C251" s="46" t="n">
        <x:v>979.84</x:v>
      </x:c>
      <x:c r="D251" s="51" t="n">
        <x:f>IF(B251=0,"n.a.",C251/B251)</x:f>
        <x:v>0.3073959624162758</x:v>
      </x:c>
      <x:c r="E251" s="48" t="str">
        <x:f>IF(OR(A251="COUPON/MISC ITEMS",A251="(CORP USE ONLY)"),"Excluded","Included")</x:f>
        <x:v>Included</x:v>
      </x:c>
      <x:c r="F251" s="40"/>
    </x:row>
    <x:row r="252" ht="28" customHeight="1">
      <x:c r="A252" s="40" t="str">
        <x:v>J-HOOKS</x:v>
      </x:c>
      <x:c r="B252" s="46" t="n">
        <x:v>3167.2200000000003</x:v>
      </x:c>
      <x:c r="C252" s="46" t="n">
        <x:v>15.68</x:v>
      </x:c>
      <x:c r="D252" s="51" t="n">
        <x:f>IF(B252=0,"n.a.",C252/B252)</x:f>
        <x:v>0.004950713875259691</x:v>
      </x:c>
      <x:c r="E252" s="48" t="str">
        <x:f>IF(OR(A252="COUPON/MISC ITEMS",A252="(CORP USE ONLY)"),"Excluded","Included")</x:f>
        <x:v>Included</x:v>
      </x:c>
      <x:c r="F252" s="40"/>
    </x:row>
    <x:row r="253" ht="28" customHeight="1">
      <x:c r="A253" s="40" t="str">
        <x:v>SMOKING CESSATIONS</x:v>
      </x:c>
      <x:c r="B253" s="46" t="n">
        <x:v>3030.67</x:v>
      </x:c>
      <x:c r="C253" s="46" t="n">
        <x:v>694.4300000000001</x:v>
      </x:c>
      <x:c r="D253" s="51" t="n">
        <x:f>IF(B253=0,"n.a.",C253/B253)</x:f>
        <x:v>0.22913415185421046</x:v>
      </x:c>
      <x:c r="E253" s="48" t="str">
        <x:f>IF(OR(A253="COUPON/MISC ITEMS",A253="(CORP USE ONLY)"),"Excluded","Included")</x:f>
        <x:v>Included</x:v>
      </x:c>
      <x:c r="F253" s="40"/>
    </x:row>
    <x:row r="254" ht="28" customHeight="1">
      <x:c r="A254" s="40" t="str">
        <x:v>SUNTAN</x:v>
      </x:c>
      <x:c r="B254" s="46" t="n">
        <x:v>3025.99</x:v>
      </x:c>
      <x:c r="C254" s="46" t="n">
        <x:v>1557.45</x:v>
      </x:c>
      <x:c r="D254" s="51" t="n">
        <x:f>IF(B254=0,"n.a.",C254/B254)</x:f>
        <x:v>0.5146910597853926</x:v>
      </x:c>
      <x:c r="E254" s="48" t="str">
        <x:f>IF(OR(A254="COUPON/MISC ITEMS",A254="(CORP USE ONLY)"),"Excluded","Included")</x:f>
        <x:v>Included</x:v>
      </x:c>
      <x:c r="F254" s="40"/>
    </x:row>
    <x:row r="255" ht="28" customHeight="1">
      <x:c r="A255" s="40" t="str">
        <x:v>PREPARED/PKGD FOODS</x:v>
      </x:c>
      <x:c r="B255" s="46" t="n">
        <x:v>2862.35</x:v>
      </x:c>
      <x:c r="C255" s="46" t="n">
        <x:v>873.48</x:v>
      </x:c>
      <x:c r="D255" s="51" t="n">
        <x:f>IF(B255=0,"n.a.",C255/B255)</x:f>
        <x:v>0.30516184254196727</x:v>
      </x:c>
      <x:c r="E255" s="48" t="str">
        <x:f>IF(OR(A255="COUPON/MISC ITEMS",A255="(CORP USE ONLY)"),"Excluded","Included")</x:f>
        <x:v>Included</x:v>
      </x:c>
      <x:c r="F255" s="40"/>
    </x:row>
    <x:row r="256" ht="28" customHeight="1">
      <x:c r="A256" s="40" t="str">
        <x:v>FLORAL-FOLIAGE PLANTS</x:v>
      </x:c>
      <x:c r="B256" s="46" t="n">
        <x:v>2769.45</x:v>
      </x:c>
      <x:c r="C256" s="46" t="n">
        <x:v>9.99</x:v>
      </x:c>
      <x:c r="D256" s="51" t="n">
        <x:f>IF(B256=0,"n.a.",C256/B256)</x:f>
        <x:v>0.003607214428857716</x:v>
      </x:c>
      <x:c r="E256" s="48" t="str">
        <x:f>IF(OR(A256="COUPON/MISC ITEMS",A256="(CORP USE ONLY)"),"Excluded","Included")</x:f>
        <x:v>Included</x:v>
      </x:c>
      <x:c r="F256" s="40"/>
    </x:row>
    <x:row r="257" ht="28" customHeight="1">
      <x:c r="A257" s="40" t="str">
        <x:v>SYRUPS/TOPPINGS</x:v>
      </x:c>
      <x:c r="B257" s="46" t="n">
        <x:v>2707.93</x:v>
      </x:c>
      <x:c r="C257" s="46" t="n">
        <x:v>1263.96</x:v>
      </x:c>
      <x:c r="D257" s="51" t="n">
        <x:f>IF(B257=0,"n.a.",C257/B257)</x:f>
        <x:v>0.4667624347749019</x:v>
      </x:c>
      <x:c r="E257" s="48" t="str">
        <x:f>IF(OR(A257="COUPON/MISC ITEMS",A257="(CORP USE ONLY)"),"Excluded","Included")</x:f>
        <x:v>Included</x:v>
      </x:c>
      <x:c r="F257" s="40"/>
    </x:row>
    <x:row r="258" ht="28" customHeight="1">
      <x:c r="A258" s="40" t="str">
        <x:v>FRAGRANCES</x:v>
      </x:c>
      <x:c r="B258" s="46" t="n">
        <x:v>2565.6</x:v>
      </x:c>
      <x:c r="C258" s="46" t="n">
        <x:v>101.8</x:v>
      </x:c>
      <x:c r="D258" s="51" t="n">
        <x:f>IF(B258=0,"n.a.",C258/B258)</x:f>
        <x:v>0.039678827564702215</x:v>
      </x:c>
      <x:c r="E258" s="48" t="str">
        <x:f>IF(OR(A258="COUPON/MISC ITEMS",A258="(CORP USE ONLY)"),"Excluded","Included")</x:f>
        <x:v>Included</x:v>
      </x:c>
      <x:c r="F258" s="40"/>
    </x:row>
    <x:row r="259" ht="28" customHeight="1">
      <x:c r="A259" s="40" t="str">
        <x:v>SEAFOOD - MISC</x:v>
      </x:c>
      <x:c r="B259" s="46" t="n">
        <x:v>2371.17</x:v>
      </x:c>
      <x:c r="C259" s="46" t="n">
        <x:v>559.84</x:v>
      </x:c>
      <x:c r="D259" s="51" t="n">
        <x:f>IF(B259=0,"n.a.",C259/B259)</x:f>
        <x:v>0.23610285217846042</x:v>
      </x:c>
      <x:c r="E259" s="48" t="str">
        <x:f>IF(OR(A259="COUPON/MISC ITEMS",A259="(CORP USE ONLY)"),"Excluded","Included")</x:f>
        <x:v>Included</x:v>
      </x:c>
      <x:c r="F259" s="40"/>
    </x:row>
    <x:row r="260" ht="28" customHeight="1">
      <x:c r="A260" s="40" t="str">
        <x:v>PERSONAL CARE APPLIANCES</x:v>
      </x:c>
      <x:c r="B260" s="46" t="n">
        <x:v>2234.34</x:v>
      </x:c>
      <x:c r="C260" s="46" t="n">
        <x:v>351.77</x:v>
      </x:c>
      <x:c r="D260" s="51" t="n">
        <x:f>IF(B260=0,"n.a.",C260/B260)</x:f>
        <x:v>0.1574379906370561</x:v>
      </x:c>
      <x:c r="E260" s="48" t="str">
        <x:f>IF(OR(A260="COUPON/MISC ITEMS",A260="(CORP USE ONLY)"),"Excluded","Included")</x:f>
        <x:v>Included</x:v>
      </x:c>
      <x:c r="F260" s="40"/>
    </x:row>
    <x:row r="261" ht="28" customHeight="1">
      <x:c r="A261" s="40" t="str">
        <x:v>FALL AND WINTER SEASONAL</x:v>
      </x:c>
      <x:c r="B261" s="46" t="n">
        <x:v>2194.27</x:v>
      </x:c>
      <x:c r="C261" s="46" t="n">
        <x:v>169.76</x:v>
      </x:c>
      <x:c r="D261" s="51" t="n">
        <x:f>IF(B261=0,"n.a.",C261/B261)</x:f>
        <x:v>0.07736513738054113</x:v>
      </x:c>
      <x:c r="E261" s="48" t="str">
        <x:f>IF(OR(A261="COUPON/MISC ITEMS",A261="(CORP USE ONLY)"),"Excluded","Included")</x:f>
        <x:v>Included</x:v>
      </x:c>
      <x:c r="F261" s="40"/>
    </x:row>
    <x:row r="262" ht="28" customHeight="1">
      <x:c r="A262" s="40" t="str">
        <x:v>FLORAL BALLOONS</x:v>
      </x:c>
      <x:c r="B262" s="46" t="n">
        <x:v>2090.16</x:v>
      </x:c>
      <x:c r="C262" s="46" t="n">
        <x:v>8.81</x:v>
      </x:c>
      <x:c r="D262" s="51" t="n">
        <x:f>IF(B262=0,"n.a.",C262/B262)</x:f>
        <x:v>0.0042149883262525365</x:v>
      </x:c>
      <x:c r="E262" s="48" t="str">
        <x:f>IF(OR(A262="COUPON/MISC ITEMS",A262="(CORP USE ONLY)"),"Excluded","Included")</x:f>
        <x:v>Included</x:v>
      </x:c>
      <x:c r="F262" s="40"/>
    </x:row>
    <x:row r="263" ht="28" customHeight="1">
      <x:c r="A263" s="40" t="str">
        <x:v>NON-DAIRY BEVERAGES</x:v>
      </x:c>
      <x:c r="B263" s="46" t="n">
        <x:v>2073.58</x:v>
      </x:c>
      <x:c r="C263" s="46" t="n">
        <x:v>883.33</x:v>
      </x:c>
      <x:c r="D263" s="51" t="n">
        <x:f>IF(B263=0,"n.a.",C263/B263)</x:f>
        <x:v>0.42599272755331363</x:v>
      </x:c>
      <x:c r="E263" s="48" t="str">
        <x:f>IF(OR(A263="COUPON/MISC ITEMS",A263="(CORP USE ONLY)"),"Excluded","Included")</x:f>
        <x:v>Included</x:v>
      </x:c>
      <x:c r="F263" s="40"/>
    </x:row>
    <x:row r="264" ht="28" customHeight="1">
      <x:c r="A264" s="40" t="str">
        <x:v>VALENTINE</x:v>
      </x:c>
      <x:c r="B264" s="46" t="n">
        <x:v>2053.24</x:v>
      </x:c>
      <x:c r="C264" s="46" t="n">
        <x:v>599.29</x:v>
      </x:c>
      <x:c r="D264" s="51" t="n">
        <x:f>IF(B264=0,"n.a.",C264/B264)</x:f>
        <x:v>0.29187528004519686</x:v>
      </x:c>
      <x:c r="E264" s="48" t="str">
        <x:f>IF(OR(A264="COUPON/MISC ITEMS",A264="(CORP USE ONLY)"),"Excluded","Included")</x:f>
        <x:v>Included</x:v>
      </x:c>
      <x:c r="F264" s="40"/>
    </x:row>
    <x:row r="265" ht="28" customHeight="1">
      <x:c r="A265" s="40" t="str">
        <x:v>SPORTS MEMORABLILIA</x:v>
      </x:c>
      <x:c r="B265" s="46" t="n">
        <x:v>2013.98</x:v>
      </x:c>
      <x:c r="C265" s="46" t="n">
        <x:v>201.7</x:v>
      </x:c>
      <x:c r="D265" s="51" t="n">
        <x:f>IF(B265=0,"n.a.",C265/B265)</x:f>
        <x:v>0.10014995183666173</x:v>
      </x:c>
      <x:c r="E265" s="48" t="str">
        <x:f>IF(OR(A265="COUPON/MISC ITEMS",A265="(CORP USE ONLY)"),"Excluded","Included")</x:f>
        <x:v>Included</x:v>
      </x:c>
      <x:c r="F265" s="40"/>
    </x:row>
    <x:row r="266" ht="28" customHeight="1">
      <x:c r="A266" s="40" t="str">
        <x:v>DELI SUPPLIES</x:v>
      </x:c>
      <x:c r="B266" s="46" t="n">
        <x:v>1965.87</x:v>
      </x:c>
      <x:c r="C266" s="46" t="n">
        <x:v>0</x:v>
      </x:c>
      <x:c r="D266" s="51" t="n">
        <x:f>IF(B266=0,"n.a.",C266/B266)</x:f>
        <x:v>0</x:v>
      </x:c>
      <x:c r="E266" s="48" t="str">
        <x:f>IF(OR(A266="COUPON/MISC ITEMS",A266="(CORP USE ONLY)"),"Excluded","Included")</x:f>
        <x:v>Included</x:v>
      </x:c>
      <x:c r="F266" s="40"/>
    </x:row>
    <x:row r="267" ht="28" customHeight="1">
      <x:c r="A267" s="40" t="str">
        <x:v>OVERNIGHT PHOTOFINISHING</x:v>
      </x:c>
      <x:c r="B267" s="46" t="n">
        <x:v>1937.3</x:v>
      </x:c>
      <x:c r="C267" s="46" t="n">
        <x:v>224.24</x:v>
      </x:c>
      <x:c r="D267" s="51" t="n">
        <x:f>IF(B267=0,"n.a.",C267/B267)</x:f>
        <x:v>0.11574872244876891</x:v>
      </x:c>
      <x:c r="E267" s="48" t="str">
        <x:f>IF(OR(A267="COUPON/MISC ITEMS",A267="(CORP USE ONLY)"),"Excluded","Included")</x:f>
        <x:v>Included</x:v>
      </x:c>
      <x:c r="F267" s="40"/>
    </x:row>
    <x:row r="268" ht="28" customHeight="1">
      <x:c r="A268" s="40" t="str">
        <x:v>EASTER</x:v>
      </x:c>
      <x:c r="B268" s="46" t="n">
        <x:v>1913.74</x:v>
      </x:c>
      <x:c r="C268" s="46" t="n">
        <x:v>297.22</x:v>
      </x:c>
      <x:c r="D268" s="51" t="n">
        <x:f>IF(B268=0,"n.a.",C268/B268)</x:f>
        <x:v>0.15530845360393786</x:v>
      </x:c>
      <x:c r="E268" s="48" t="str">
        <x:f>IF(OR(A268="COUPON/MISC ITEMS",A268="(CORP USE ONLY)"),"Excluded","Included")</x:f>
        <x:v>Included</x:v>
      </x:c>
      <x:c r="F268" s="40"/>
    </x:row>
    <x:row r="269" ht="28" customHeight="1">
      <x:c r="A269" s="40" t="str">
        <x:v>NEW AGE</x:v>
      </x:c>
      <x:c r="B269" s="46" t="n">
        <x:v>1794.4</x:v>
      </x:c>
      <x:c r="C269" s="46" t="n">
        <x:v>645.46</x:v>
      </x:c>
      <x:c r="D269" s="51" t="n">
        <x:f>IF(B269=0,"n.a.",C269/B269)</x:f>
        <x:v>0.35970798038341506</x:v>
      </x:c>
      <x:c r="E269" s="48" t="str">
        <x:f>IF(OR(A269="COUPON/MISC ITEMS",A269="(CORP USE ONLY)"),"Excluded","Included")</x:f>
        <x:v>Included</x:v>
      </x:c>
      <x:c r="F269" s="40"/>
    </x:row>
    <x:row r="270" ht="28" customHeight="1">
      <x:c r="A270" s="40" t="str">
        <x:v>PORTABLE ELECTRIC APPLIANCES</x:v>
      </x:c>
      <x:c r="B270" s="46" t="n">
        <x:v>1778.02</x:v>
      </x:c>
      <x:c r="C270" s="46" t="n">
        <x:v>495.36</x:v>
      </x:c>
      <x:c r="D270" s="51" t="n">
        <x:f>IF(B270=0,"n.a.",C270/B270)</x:f>
        <x:v>0.2786020404719857</x:v>
      </x:c>
      <x:c r="E270" s="48" t="str">
        <x:f>IF(OR(A270="COUPON/MISC ITEMS",A270="(CORP USE ONLY)"),"Excluded","Included")</x:f>
        <x:v>Included</x:v>
      </x:c>
      <x:c r="F270" s="40"/>
    </x:row>
    <x:row r="271" ht="28" customHeight="1">
      <x:c r="A271" s="40" t="str">
        <x:v>FLORAL- HARD GOODS</x:v>
      </x:c>
      <x:c r="B271" s="46" t="n">
        <x:v>1773.16</x:v>
      </x:c>
      <x:c r="C271" s="46" t="n">
        <x:v>40.7</x:v>
      </x:c>
      <x:c r="D271" s="51" t="n">
        <x:f>IF(B271=0,"n.a.",C271/B271)</x:f>
        <x:v>0.022953371382165175</x:v>
      </x:c>
      <x:c r="E271" s="48" t="str">
        <x:f>IF(OR(A271="COUPON/MISC ITEMS",A271="(CORP USE ONLY)"),"Excluded","Included")</x:f>
        <x:v>Included</x:v>
      </x:c>
      <x:c r="F271" s="40"/>
    </x:row>
    <x:row r="272" ht="28" customHeight="1">
      <x:c r="A272" s="40" t="str">
        <x:v>CONDIMENTS</x:v>
      </x:c>
      <x:c r="B272" s="46" t="n">
        <x:v>1630.41</x:v>
      </x:c>
      <x:c r="C272" s="46" t="n">
        <x:v>529.67</x:v>
      </x:c>
      <x:c r="D272" s="51" t="n">
        <x:f>IF(B272=0,"n.a.",C272/B272)</x:f>
        <x:v>0.3248692046785777</x:v>
      </x:c>
      <x:c r="E272" s="48" t="str">
        <x:f>IF(OR(A272="COUPON/MISC ITEMS",A272="(CORP USE ONLY)"),"Excluded","Included")</x:f>
        <x:v>Included</x:v>
      </x:c>
      <x:c r="F272" s="40"/>
    </x:row>
    <x:row r="273" ht="28" customHeight="1">
      <x:c r="A273" s="40" t="str">
        <x:v>HOME FURNISHINGS</x:v>
      </x:c>
      <x:c r="B273" s="46" t="n">
        <x:v>1554.0800000000002</x:v>
      </x:c>
      <x:c r="C273" s="46" t="n">
        <x:v>474.4500000000001</x:v>
      </x:c>
      <x:c r="D273" s="51" t="n">
        <x:f>IF(B273=0,"n.a.",C273/B273)</x:f>
        <x:v>0.30529316380109134</x:v>
      </x:c>
      <x:c r="E273" s="48" t="str">
        <x:f>IF(OR(A273="COUPON/MISC ITEMS",A273="(CORP USE ONLY)"),"Excluded","Included")</x:f>
        <x:v>Included</x:v>
      </x:c>
      <x:c r="F273" s="40"/>
    </x:row>
    <x:row r="274" ht="28" customHeight="1">
      <x:c r="A274" s="40" t="str">
        <x:v>SEASONAL</x:v>
      </x:c>
      <x:c r="B274" s="46" t="n">
        <x:v>1541.26</x:v>
      </x:c>
      <x:c r="C274" s="46" t="n">
        <x:v>509.54</x:v>
      </x:c>
      <x:c r="D274" s="51" t="n">
        <x:f>IF(B274=0,"n.a.",C274/B274)</x:f>
        <x:v>0.330599639256193</x:v>
      </x:c>
      <x:c r="E274" s="48" t="str">
        <x:f>IF(OR(A274="COUPON/MISC ITEMS",A274="(CORP USE ONLY)"),"Excluded","Included")</x:f>
        <x:v>Included</x:v>
      </x:c>
      <x:c r="F274" s="40"/>
    </x:row>
    <x:row r="275" ht="28" customHeight="1">
      <x:c r="A275" s="40" t="str">
        <x:v>BAKING</x:v>
      </x:c>
      <x:c r="B275" s="46" t="n">
        <x:v>1526.35</x:v>
      </x:c>
      <x:c r="C275" s="46" t="n">
        <x:v>351.05</x:v>
      </x:c>
      <x:c r="D275" s="51" t="n">
        <x:f>IF(B275=0,"n.a.",C275/B275)</x:f>
        <x:v>0.22999312084384319</x:v>
      </x:c>
      <x:c r="E275" s="48" t="str">
        <x:f>IF(OR(A275="COUPON/MISC ITEMS",A275="(CORP USE ONLY)"),"Excluded","Included")</x:f>
        <x:v>Included</x:v>
      </x:c>
      <x:c r="F275" s="40"/>
    </x:row>
    <x:row r="276" ht="28" customHeight="1">
      <x:c r="A276" s="40" t="str">
        <x:v>COSMETIC ACCESSORIES</x:v>
      </x:c>
      <x:c r="B276" s="46" t="n">
        <x:v>1465.36</x:v>
      </x:c>
      <x:c r="C276" s="46" t="n">
        <x:v>51.96</x:v>
      </x:c>
      <x:c r="D276" s="51" t="n">
        <x:f>IF(B276=0,"n.a.",C276/B276)</x:f>
        <x:v>0.03545886335098543</x:v>
      </x:c>
      <x:c r="E276" s="48" t="str">
        <x:f>IF(OR(A276="COUPON/MISC ITEMS",A276="(CORP USE ONLY)"),"Excluded","Included")</x:f>
        <x:v>Included</x:v>
      </x:c>
      <x:c r="F276" s="40"/>
    </x:row>
    <x:row r="277" ht="28" customHeight="1">
      <x:c r="A277" s="40" t="str">
        <x:v>EXOTIC GAME/FOWL</x:v>
      </x:c>
      <x:c r="B277" s="46" t="n">
        <x:v>1387.16</x:v>
      </x:c>
      <x:c r="C277" s="46" t="n">
        <x:v>746.83</x:v>
      </x:c>
      <x:c r="D277" s="51" t="n">
        <x:f>IF(B277=0,"n.a.",C277/B277)</x:f>
        <x:v>0.538387785114911</x:v>
      </x:c>
      <x:c r="E277" s="48" t="str">
        <x:f>IF(OR(A277="COUPON/MISC ITEMS",A277="(CORP USE ONLY)"),"Excluded","Included")</x:f>
        <x:v>Included</x:v>
      </x:c>
      <x:c r="F277" s="40"/>
    </x:row>
    <x:row r="278" ht="28" customHeight="1">
      <x:c r="A278" s="40" t="str">
        <x:v>DELI SPECIALTIES (RETAIL PK)</x:v>
      </x:c>
      <x:c r="B278" s="46" t="n">
        <x:v>1321.78</x:v>
      </x:c>
      <x:c r="C278" s="46" t="n">
        <x:v>314.46</x:v>
      </x:c>
      <x:c r="D278" s="51" t="n">
        <x:f>IF(B278=0,"n.a.",C278/B278)</x:f>
        <x:v>0.23790645947131897</x:v>
      </x:c>
      <x:c r="E278" s="48" t="str">
        <x:f>IF(OR(A278="COUPON/MISC ITEMS",A278="(CORP USE ONLY)"),"Excluded","Included")</x:f>
        <x:v>Included</x:v>
      </x:c>
      <x:c r="F278" s="40"/>
    </x:row>
    <x:row r="279" ht="28" customHeight="1">
      <x:c r="A279" s="40" t="str">
        <x:v>FIREWORKS</x:v>
      </x:c>
      <x:c r="B279" s="46" t="n">
        <x:v>1317.88</x:v>
      </x:c>
      <x:c r="C279" s="46" t="n">
        <x:v>6.27</x:v>
      </x:c>
      <x:c r="D279" s="51" t="n">
        <x:f>IF(B279=0,"n.a.",C279/B279)</x:f>
        <x:v>0.004757641059884055</x:v>
      </x:c>
      <x:c r="E279" s="48" t="str">
        <x:f>IF(OR(A279="COUPON/MISC ITEMS",A279="(CORP USE ONLY)"),"Excluded","Included")</x:f>
        <x:v>Included</x:v>
      </x:c>
      <x:c r="F279" s="40"/>
    </x:row>
    <x:row r="280" ht="28" customHeight="1">
      <x:c r="A280" s="40" t="str">
        <x:v>LAMB</x:v>
      </x:c>
      <x:c r="B280" s="46" t="n">
        <x:v>1307.43</x:v>
      </x:c>
      <x:c r="C280" s="46" t="n">
        <x:v>73.88</x:v>
      </x:c>
      <x:c r="D280" s="51" t="n">
        <x:f>IF(B280=0,"n.a.",C280/B280)</x:f>
        <x:v>0.056507805389198654</x:v>
      </x:c>
      <x:c r="E280" s="48" t="str">
        <x:f>IF(OR(A280="COUPON/MISC ITEMS",A280="(CORP USE ONLY)"),"Excluded","Included")</x:f>
        <x:v>Included</x:v>
      </x:c>
      <x:c r="F280" s="40"/>
    </x:row>
    <x:row r="281" ht="28" customHeight="1">
      <x:c r="A281" s="40" t="str">
        <x:v>PROPANE</x:v>
      </x:c>
      <x:c r="B281" s="46" t="n">
        <x:v>1300.9299999999998</x:v>
      </x:c>
      <x:c r="C281" s="46" t="n">
        <x:v>0</x:v>
      </x:c>
      <x:c r="D281" s="51" t="n">
        <x:f>IF(B281=0,"n.a.",C281/B281)</x:f>
        <x:v>0</x:v>
      </x:c>
      <x:c r="E281" s="48" t="str">
        <x:f>IF(OR(A281="COUPON/MISC ITEMS",A281="(CORP USE ONLY)"),"Excluded","Included")</x:f>
        <x:v>Included</x:v>
      </x:c>
      <x:c r="F281" s="40"/>
    </x:row>
    <x:row r="282" ht="28" customHeight="1">
      <x:c r="A282" s="40" t="str">
        <x:v>GLASSES/VISION AIDS</x:v>
      </x:c>
      <x:c r="B282" s="46" t="n">
        <x:v>1276.18</x:v>
      </x:c>
      <x:c r="C282" s="46" t="n">
        <x:v>0</x:v>
      </x:c>
      <x:c r="D282" s="51" t="n">
        <x:f>IF(B282=0,"n.a.",C282/B282)</x:f>
        <x:v>0</x:v>
      </x:c>
      <x:c r="E282" s="48" t="str">
        <x:f>IF(OR(A282="COUPON/MISC ITEMS",A282="(CORP USE ONLY)"),"Excluded","Included")</x:f>
        <x:v>Included</x:v>
      </x:c>
      <x:c r="F282" s="40"/>
    </x:row>
    <x:row r="283" ht="28" customHeight="1">
      <x:c r="A283" s="40" t="str">
        <x:v>PACKAGED NATURAL SNACKS</x:v>
      </x:c>
      <x:c r="B283" s="46" t="n">
        <x:v>1264.53</x:v>
      </x:c>
      <x:c r="C283" s="46" t="n">
        <x:v>33.8</x:v>
      </x:c>
      <x:c r="D283" s="51" t="n">
        <x:f>IF(B283=0,"n.a.",C283/B283)</x:f>
        <x:v>0.02672929863269357</x:v>
      </x:c>
      <x:c r="E283" s="48" t="str">
        <x:f>IF(OR(A283="COUPON/MISC ITEMS",A283="(CORP USE ONLY)"),"Excluded","Included")</x:f>
        <x:v>Included</x:v>
      </x:c>
      <x:c r="F283" s="40"/>
    </x:row>
    <x:row r="284" ht="28" customHeight="1">
      <x:c r="A284" s="40" t="str">
        <x:v>BEVERAGE</x:v>
      </x:c>
      <x:c r="B284" s="46" t="n">
        <x:v>1238.54</x:v>
      </x:c>
      <x:c r="C284" s="46" t="n">
        <x:v>293.76</x:v>
      </x:c>
      <x:c r="D284" s="51" t="n">
        <x:f>IF(B284=0,"n.a.",C284/B284)</x:f>
        <x:v>0.23718248905969933</x:v>
      </x:c>
      <x:c r="E284" s="48" t="str">
        <x:f>IF(OR(A284="COUPON/MISC ITEMS",A284="(CORP USE ONLY)"),"Excluded","Included")</x:f>
        <x:v>Included</x:v>
      </x:c>
      <x:c r="F284" s="40"/>
    </x:row>
    <x:row r="285" ht="28" customHeight="1">
      <x:c r="A285" s="40" t="str">
        <x:v>ETHNIC PERSONAL CARE</x:v>
      </x:c>
      <x:c r="B285" s="46" t="n">
        <x:v>1164.79</x:v>
      </x:c>
      <x:c r="C285" s="46" t="n">
        <x:v>247.54</x:v>
      </x:c>
      <x:c r="D285" s="51" t="n">
        <x:f>IF(B285=0,"n.a.",C285/B285)</x:f>
        <x:v>0.21251899484027165</x:v>
      </x:c>
      <x:c r="E285" s="48" t="str">
        <x:f>IF(OR(A285="COUPON/MISC ITEMS",A285="(CORP USE ONLY)"),"Excluded","Included")</x:f>
        <x:v>Included</x:v>
      </x:c>
      <x:c r="F285" s="40"/>
    </x:row>
    <x:row r="286" ht="28" customHeight="1">
      <x:c r="A286" s="40" t="str">
        <x:v>BIRD SEED</x:v>
      </x:c>
      <x:c r="B286" s="46" t="n">
        <x:v>1120.03</x:v>
      </x:c>
      <x:c r="C286" s="46" t="n">
        <x:v>470.51</x:v>
      </x:c>
      <x:c r="D286" s="51" t="n">
        <x:f>IF(B286=0,"n.a.",C286/B286)</x:f>
        <x:v>0.4200869619563762</x:v>
      </x:c>
      <x:c r="E286" s="48" t="str">
        <x:f>IF(OR(A286="COUPON/MISC ITEMS",A286="(CORP USE ONLY)"),"Excluded","Included")</x:f>
        <x:v>Included</x:v>
      </x:c>
      <x:c r="F286" s="40"/>
    </x:row>
    <x:row r="287" ht="28" customHeight="1">
      <x:c r="A287" s="40" t="str">
        <x:v>GLASSWARE &amp; DINNERWARE</x:v>
      </x:c>
      <x:c r="B287" s="46" t="n">
        <x:v>1117.07</x:v>
      </x:c>
      <x:c r="C287" s="46" t="n">
        <x:v>474.98</x:v>
      </x:c>
      <x:c r="D287" s="51" t="n">
        <x:f>IF(B287=0,"n.a.",C287/B287)</x:f>
        <x:v>0.42520164358545126</x:v>
      </x:c>
      <x:c r="E287" s="48" t="str">
        <x:f>IF(OR(A287="COUPON/MISC ITEMS",A287="(CORP USE ONLY)"),"Excluded","Included")</x:f>
        <x:v>Included</x:v>
      </x:c>
      <x:c r="F287" s="40"/>
    </x:row>
    <x:row r="288" ht="28" customHeight="1">
      <x:c r="A288" s="40" t="str">
        <x:v>COUPONS/STORE &amp; MFG</x:v>
      </x:c>
      <x:c r="B288" s="46" t="n">
        <x:v>1027.72</x:v>
      </x:c>
      <x:c r="C288" s="46" t="n">
        <x:v>545.96</x:v>
      </x:c>
      <x:c r="D288" s="51" t="n">
        <x:f>IF(B288=0,"n.a.",C288/B288)</x:f>
        <x:v>0.5312341883003153</x:v>
      </x:c>
      <x:c r="E288" s="48" t="str">
        <x:f>IF(OR(A288="COUPON/MISC ITEMS",A288="(CORP USE ONLY)"),"Excluded","Included")</x:f>
        <x:v>Included</x:v>
      </x:c>
      <x:c r="F288" s="40"/>
    </x:row>
    <x:row r="289" ht="28" customHeight="1">
      <x:c r="A289" s="40" t="str">
        <x:v>BAKERY PARTY TRAYS</x:v>
      </x:c>
      <x:c r="B289" s="46" t="n">
        <x:v>972.43</x:v>
      </x:c>
      <x:c r="C289" s="46" t="n">
        <x:v>27.48</x:v>
      </x:c>
      <x:c r="D289" s="51" t="n">
        <x:f>IF(B289=0,"n.a.",C289/B289)</x:f>
        <x:v>0.028259103483027057</x:v>
      </x:c>
      <x:c r="E289" s="48" t="str">
        <x:f>IF(OR(A289="COUPON/MISC ITEMS",A289="(CORP USE ONLY)"),"Excluded","Included")</x:f>
        <x:v>Included</x:v>
      </x:c>
      <x:c r="F289" s="40"/>
    </x:row>
    <x:row r="290" ht="28" customHeight="1">
      <x:c r="A290" s="40" t="str">
        <x:v>HOME FREEZING &amp; CANNING SUPPLY</x:v>
      </x:c>
      <x:c r="B290" s="46" t="n">
        <x:v>963.53</x:v>
      </x:c>
      <x:c r="C290" s="46" t="n">
        <x:v>95.98</x:v>
      </x:c>
      <x:c r="D290" s="51" t="n">
        <x:f>IF(B290=0,"n.a.",C290/B290)</x:f>
        <x:v>0.09961288179921747</x:v>
      </x:c>
      <x:c r="E290" s="48" t="str">
        <x:f>IF(OR(A290="COUPON/MISC ITEMS",A290="(CORP USE ONLY)"),"Excluded","Included")</x:f>
        <x:v>Included</x:v>
      </x:c>
      <x:c r="F290" s="40"/>
    </x:row>
    <x:row r="291" ht="28" customHeight="1">
      <x:c r="A291" s="40" t="str">
        <x:v>CONTINUITIES</x:v>
      </x:c>
      <x:c r="B291" s="46" t="n">
        <x:v>805.99</x:v>
      </x:c>
      <x:c r="C291" s="46" t="n">
        <x:v>23.4</x:v>
      </x:c>
      <x:c r="D291" s="51" t="n">
        <x:f>IF(B291=0,"n.a.",C291/B291)</x:f>
        <x:v>0.029032618270698144</x:v>
      </x:c>
      <x:c r="E291" s="48" t="str">
        <x:f>IF(OR(A291="COUPON/MISC ITEMS",A291="(CORP USE ONLY)"),"Excluded","Included")</x:f>
        <x:v>Included</x:v>
      </x:c>
      <x:c r="F291" s="40"/>
    </x:row>
    <x:row r="292" ht="28" customHeight="1">
      <x:c r="A292" s="40" t="str">
        <x:v>COFFEE SHOP</x:v>
      </x:c>
      <x:c r="B292" s="46" t="n">
        <x:v>777.82</x:v>
      </x:c>
      <x:c r="C292" s="46" t="n">
        <x:v>3.9</x:v>
      </x:c>
      <x:c r="D292" s="51" t="n">
        <x:f>IF(B292=0,"n.a.",C292/B292)</x:f>
        <x:v>0.005014013524980072</x:v>
      </x:c>
      <x:c r="E292" s="48" t="str">
        <x:f>IF(OR(A292="COUPON/MISC ITEMS",A292="(CORP USE ONLY)"),"Excluded","Included")</x:f>
        <x:v>Included</x:v>
      </x:c>
      <x:c r="F292" s="40"/>
    </x:row>
    <x:row r="293" ht="28" customHeight="1">
      <x:c r="A293" s="40" t="str">
        <x:v>QUICK SERVICE</x:v>
      </x:c>
      <x:c r="B293" s="46" t="n">
        <x:v>719.54</x:v>
      </x:c>
      <x:c r="C293" s="46" t="n">
        <x:v>0</x:v>
      </x:c>
      <x:c r="D293" s="51" t="n">
        <x:f>IF(B293=0,"n.a.",C293/B293)</x:f>
        <x:v>0</x:v>
      </x:c>
      <x:c r="E293" s="48" t="str">
        <x:f>IF(OR(A293="COUPON/MISC ITEMS",A293="(CORP USE ONLY)"),"Excluded","Included")</x:f>
        <x:v>Included</x:v>
      </x:c>
      <x:c r="F293" s="40"/>
    </x:row>
    <x:row r="294" ht="28" customHeight="1">
      <x:c r="A294" s="40" t="str">
        <x:v>DRY TEA/COFFEE/COCO MIX</x:v>
      </x:c>
      <x:c r="B294" s="46" t="n">
        <x:v>710.83</x:v>
      </x:c>
      <x:c r="C294" s="46" t="n">
        <x:v>368.48</x:v>
      </x:c>
      <x:c r="D294" s="51" t="n">
        <x:f>IF(B294=0,"n.a.",C294/B294)</x:f>
        <x:v>0.5183799220629405</x:v>
      </x:c>
      <x:c r="E294" s="48" t="str">
        <x:f>IF(OR(A294="COUPON/MISC ITEMS",A294="(CORP USE ONLY)"),"Excluded","Included")</x:f>
        <x:v>Included</x:v>
      </x:c>
      <x:c r="F294" s="40"/>
    </x:row>
    <x:row r="295" ht="28" customHeight="1">
      <x:c r="A295" s="40" t="str">
        <x:v>LONG DISTANCE CALLING CARDS</x:v>
      </x:c>
      <x:c r="B295" s="46" t="n">
        <x:v>690.5699999999999</x:v>
      </x:c>
      <x:c r="C295" s="46" t="n">
        <x:v>67.26</x:v>
      </x:c>
      <x:c r="D295" s="51" t="n">
        <x:f>IF(B295=0,"n.a.",C295/B295)</x:f>
        <x:v>0.09739780181589124</x:v>
      </x:c>
      <x:c r="E295" s="48" t="str">
        <x:f>IF(OR(A295="COUPON/MISC ITEMS",A295="(CORP USE ONLY)"),"Excluded","Included")</x:f>
        <x:v>Included</x:v>
      </x:c>
      <x:c r="F295" s="40"/>
    </x:row>
    <x:row r="296" ht="28" customHeight="1">
      <x:c r="A296" s="40" t="str">
        <x:v>CIGARS</x:v>
      </x:c>
      <x:c r="B296" s="46" t="n">
        <x:v>668.75</x:v>
      </x:c>
      <x:c r="C296" s="46" t="n">
        <x:v>0</x:v>
      </x:c>
      <x:c r="D296" s="51" t="n">
        <x:f>IF(B296=0,"n.a.",C296/B296)</x:f>
        <x:v>0</x:v>
      </x:c>
      <x:c r="E296" s="48" t="str">
        <x:f>IF(OR(A296="COUPON/MISC ITEMS",A296="(CORP USE ONLY)"),"Excluded","Included")</x:f>
        <x:v>Included</x:v>
      </x:c>
      <x:c r="F296" s="40"/>
    </x:row>
    <x:row r="297" ht="28" customHeight="1">
      <x:c r="A297" s="40" t="str">
        <x:v>SHOE CARE</x:v>
      </x:c>
      <x:c r="B297" s="46" t="n">
        <x:v>637.49</x:v>
      </x:c>
      <x:c r="C297" s="46" t="n">
        <x:v>22.61</x:v>
      </x:c>
      <x:c r="D297" s="51" t="n">
        <x:f>IF(B297=0,"n.a.",C297/B297)</x:f>
        <x:v>0.035467223015262984</x:v>
      </x:c>
      <x:c r="E297" s="48" t="str">
        <x:f>IF(OR(A297="COUPON/MISC ITEMS",A297="(CORP USE ONLY)"),"Excluded","Included")</x:f>
        <x:v>Included</x:v>
      </x:c>
      <x:c r="F297" s="40"/>
    </x:row>
    <x:row r="298" ht="28" customHeight="1">
      <x:c r="A298" s="40" t="str">
        <x:v>BABYFOOD</x:v>
      </x:c>
      <x:c r="B298" s="46" t="n">
        <x:v>633.49</x:v>
      </x:c>
      <x:c r="C298" s="46" t="n">
        <x:v>171.26</x:v>
      </x:c>
      <x:c r="D298" s="51" t="n">
        <x:f>IF(B298=0,"n.a.",C298/B298)</x:f>
        <x:v>0.2703436518334938</x:v>
      </x:c>
      <x:c r="E298" s="48" t="str">
        <x:f>IF(OR(A298="COUPON/MISC ITEMS",A298="(CORP USE ONLY)"),"Excluded","Included")</x:f>
        <x:v>Included</x:v>
      </x:c>
      <x:c r="F298" s="40"/>
    </x:row>
    <x:row r="299" ht="28" customHeight="1">
      <x:c r="A299" s="40" t="str">
        <x:v>FLORAL-ACCESSORIES</x:v>
      </x:c>
      <x:c r="B299" s="46" t="n">
        <x:v>604.15</x:v>
      </x:c>
      <x:c r="C299" s="46" t="n">
        <x:v>3.9</x:v>
      </x:c>
      <x:c r="D299" s="51" t="n">
        <x:f>IF(B299=0,"n.a.",C299/B299)</x:f>
        <x:v>0.006455350492427377</x:v>
      </x:c>
      <x:c r="E299" s="48" t="str">
        <x:f>IF(OR(A299="COUPON/MISC ITEMS",A299="(CORP USE ONLY)"),"Excluded","Included")</x:f>
        <x:v>Included</x:v>
      </x:c>
      <x:c r="F299" s="40"/>
    </x:row>
    <x:row r="300" ht="28" customHeight="1">
      <x:c r="A300" s="40" t="str">
        <x:v>GIFT &amp; FRUIT BASKETS</x:v>
      </x:c>
      <x:c r="B300" s="46" t="n">
        <x:v>599.87</x:v>
      </x:c>
      <x:c r="C300" s="46" t="n">
        <x:v>0</x:v>
      </x:c>
      <x:c r="D300" s="51" t="n">
        <x:f>IF(B300=0,"n.a.",C300/B300)</x:f>
        <x:v>0</x:v>
      </x:c>
      <x:c r="E300" s="48" t="str">
        <x:f>IF(OR(A300="COUPON/MISC ITEMS",A300="(CORP USE ONLY)"),"Excluded","Included")</x:f>
        <x:v>Included</x:v>
      </x:c>
      <x:c r="F300" s="40"/>
    </x:row>
    <x:row r="301" ht="28" customHeight="1">
      <x:c r="A301" s="40" t="str">
        <x:v>VEAL</x:v>
      </x:c>
      <x:c r="B301" s="46" t="n">
        <x:v>537.96</x:v>
      </x:c>
      <x:c r="C301" s="46" t="n">
        <x:v>0</x:v>
      </x:c>
      <x:c r="D301" s="51" t="n">
        <x:f>IF(B301=0,"n.a.",C301/B301)</x:f>
        <x:v>0</x:v>
      </x:c>
      <x:c r="E301" s="48" t="str">
        <x:f>IF(OR(A301="COUPON/MISC ITEMS",A301="(CORP USE ONLY)"),"Excluded","Included")</x:f>
        <x:v>Included</x:v>
      </x:c>
      <x:c r="F301" s="40"/>
    </x:row>
    <x:row r="302" ht="28" customHeight="1">
      <x:c r="A302" s="40" t="str">
        <x:v>NON EDIBLE PRODUCTS</x:v>
      </x:c>
      <x:c r="B302" s="46" t="n">
        <x:v>507.64</x:v>
      </x:c>
      <x:c r="C302" s="46" t="n">
        <x:v>97.32</x:v>
      </x:c>
      <x:c r="D302" s="51" t="n">
        <x:f>IF(B302=0,"n.a.",C302/B302)</x:f>
        <x:v>0.1917106610984162</x:v>
      </x:c>
      <x:c r="E302" s="48" t="str">
        <x:f>IF(OR(A302="COUPON/MISC ITEMS",A302="(CORP USE ONLY)"),"Excluded","Included")</x:f>
        <x:v>Included</x:v>
      </x:c>
      <x:c r="F302" s="40"/>
    </x:row>
    <x:row r="303" ht="28" customHeight="1">
      <x:c r="A303" s="40" t="str">
        <x:v>COFFEE SHOP SWEET GOODS&amp;RETAIL</x:v>
      </x:c>
      <x:c r="B303" s="46" t="n">
        <x:v>492.37</x:v>
      </x:c>
      <x:c r="C303" s="46" t="n">
        <x:v>0</x:v>
      </x:c>
      <x:c r="D303" s="51" t="n">
        <x:f>IF(B303=0,"n.a.",C303/B303)</x:f>
        <x:v>0</x:v>
      </x:c>
      <x:c r="E303" s="48" t="str">
        <x:f>IF(OR(A303="COUPON/MISC ITEMS",A303="(CORP USE ONLY)"),"Excluded","Included")</x:f>
        <x:v>Included</x:v>
      </x:c>
      <x:c r="F303" s="40"/>
    </x:row>
    <x:row r="304" ht="28" customHeight="1">
      <x:c r="A304" s="40" t="str">
        <x:v>COUPON</x:v>
      </x:c>
      <x:c r="B304" s="46" t="n">
        <x:v>459.66</x:v>
      </x:c>
      <x:c r="C304" s="46" t="n">
        <x:v>0</x:v>
      </x:c>
      <x:c r="D304" s="51" t="n">
        <x:f>IF(B304=0,"n.a.",C304/B304)</x:f>
        <x:v>0</x:v>
      </x:c>
      <x:c r="E304" s="48" t="str">
        <x:f>IF(OR(A304="COUPON/MISC ITEMS",A304="(CORP USE ONLY)"),"Excluded","Included")</x:f>
        <x:v>Included</x:v>
      </x:c>
      <x:c r="F304" s="40"/>
    </x:row>
    <x:row r="305" ht="28" customHeight="1">
      <x:c r="A305" s="40" t="str">
        <x:v>SERVICE BEVERAGE</x:v>
      </x:c>
      <x:c r="B305" s="46" t="n">
        <x:v>393.63</x:v>
      </x:c>
      <x:c r="C305" s="46" t="n">
        <x:v>20.8</x:v>
      </x:c>
      <x:c r="D305" s="51" t="n">
        <x:f>IF(B305=0,"n.a.",C305/B305)</x:f>
        <x:v>0.052841500901862154</x:v>
      </x:c>
      <x:c r="E305" s="48" t="str">
        <x:f>IF(OR(A305="COUPON/MISC ITEMS",A305="(CORP USE ONLY)"),"Excluded","Included")</x:f>
        <x:v>Included</x:v>
      </x:c>
      <x:c r="F305" s="40"/>
    </x:row>
    <x:row r="306" ht="28" customHeight="1">
      <x:c r="A306" s="40" t="str">
        <x:v>SEWING</x:v>
      </x:c>
      <x:c r="B306" s="46" t="n">
        <x:v>363.25</x:v>
      </x:c>
      <x:c r="C306" s="46" t="n">
        <x:v>18.18</x:v>
      </x:c>
      <x:c r="D306" s="51" t="n">
        <x:f>IF(B306=0,"n.a.",C306/B306)</x:f>
        <x:v>0.050048176187198895</x:v>
      </x:c>
      <x:c r="E306" s="48" t="str">
        <x:f>IF(OR(A306="COUPON/MISC ITEMS",A306="(CORP USE ONLY)"),"Excluded","Included")</x:f>
        <x:v>Included</x:v>
      </x:c>
      <x:c r="F306" s="40"/>
    </x:row>
    <x:row r="307" ht="28" customHeight="1">
      <x:c r="A307" s="40" t="str">
        <x:v>DOLLAR VALUE PRODUCTS</x:v>
      </x:c>
      <x:c r="B307" s="46" t="n">
        <x:v>354.63</x:v>
      </x:c>
      <x:c r="C307" s="46" t="n">
        <x:v>108.53</x:v>
      </x:c>
      <x:c r="D307" s="51" t="n">
        <x:f>IF(B307=0,"n.a.",C307/B307)</x:f>
        <x:v>0.3060372782900488</x:v>
      </x:c>
      <x:c r="E307" s="48" t="str">
        <x:f>IF(OR(A307="COUPON/MISC ITEMS",A307="(CORP USE ONLY)"),"Excluded","Included")</x:f>
        <x:v>Included</x:v>
      </x:c>
      <x:c r="F307" s="40"/>
    </x:row>
    <x:row r="308" ht="28" customHeight="1">
      <x:c r="A308" s="40" t="str">
        <x:v>NATURAL VITAMINS</x:v>
      </x:c>
      <x:c r="B308" s="46" t="n">
        <x:v>328.17</x:v>
      </x:c>
      <x:c r="C308" s="46" t="n">
        <x:v>116.74</x:v>
      </x:c>
      <x:c r="D308" s="51" t="n">
        <x:f>IF(B308=0,"n.a.",C308/B308)</x:f>
        <x:v>0.3557302617545784</x:v>
      </x:c>
      <x:c r="E308" s="48" t="str">
        <x:f>IF(OR(A308="COUPON/MISC ITEMS",A308="(CORP USE ONLY)"),"Excluded","Included")</x:f>
        <x:v>Included</x:v>
      </x:c>
      <x:c r="F308" s="40"/>
    </x:row>
    <x:row r="309" ht="28" customHeight="1">
      <x:c r="A309" s="40" t="str">
        <x:v>FRZN SEAFOOD</x:v>
      </x:c>
      <x:c r="B309" s="46" t="n">
        <x:v>314.29</x:v>
      </x:c>
      <x:c r="C309" s="46" t="n">
        <x:v>92.64</x:v>
      </x:c>
      <x:c r="D309" s="51" t="n">
        <x:f>IF(B309=0,"n.a.",C309/B309)</x:f>
        <x:v>0.2947596169143148</x:v>
      </x:c>
      <x:c r="E309" s="48" t="str">
        <x:f>IF(OR(A309="COUPON/MISC ITEMS",A309="(CORP USE ONLY)"),"Excluded","Included")</x:f>
        <x:v>Included</x:v>
      </x:c>
      <x:c r="F309" s="40"/>
    </x:row>
    <x:row r="310" ht="28" customHeight="1">
      <x:c r="A310" s="40" t="str">
        <x:v>(CORP USE ONLY)</x:v>
      </x:c>
      <x:c r="B310" s="46" t="n">
        <x:v>283.4</x:v>
      </x:c>
      <x:c r="C310" s="46" t="n">
        <x:v>0</x:v>
      </x:c>
      <x:c r="D310" s="51" t="n">
        <x:f>IF(B310=0,"n.a.",C310/B310)</x:f>
        <x:v>0</x:v>
      </x:c>
      <x:c r="E310" s="48" t="str">
        <x:f>IF(OR(A310="COUPON/MISC ITEMS",A310="(CORP USE ONLY)"),"Excluded","Included")</x:f>
        <x:v>Excluded</x:v>
      </x:c>
      <x:c r="F310" s="40"/>
    </x:row>
    <x:row r="311" ht="28" customHeight="1">
      <x:c r="A311" s="40" t="str">
        <x:v>MEAT SUPPLIES</x:v>
      </x:c>
      <x:c r="B311" s="46" t="n">
        <x:v>273.59</x:v>
      </x:c>
      <x:c r="C311" s="46" t="n">
        <x:v>0</x:v>
      </x:c>
      <x:c r="D311" s="51" t="n">
        <x:f>IF(B311=0,"n.a.",C311/B311)</x:f>
        <x:v>0</x:v>
      </x:c>
      <x:c r="E311" s="48" t="str">
        <x:f>IF(OR(A311="COUPON/MISC ITEMS",A311="(CORP USE ONLY)"),"Excluded","Included")</x:f>
        <x:v>Included</x:v>
      </x:c>
      <x:c r="F311" s="40"/>
    </x:row>
    <x:row r="312" ht="28" customHeight="1">
      <x:c r="A312" s="40" t="str">
        <x:v>WATCHES/CALCULATORS/LOBBY</x:v>
      </x:c>
      <x:c r="B312" s="46" t="n">
        <x:v>258.75</x:v>
      </x:c>
      <x:c r="C312" s="46" t="n">
        <x:v>39.91</x:v>
      </x:c>
      <x:c r="D312" s="51" t="n">
        <x:f>IF(B312=0,"n.a.",C312/B312)</x:f>
        <x:v>0.1542415458937198</x:v>
      </x:c>
      <x:c r="E312" s="48" t="str">
        <x:f>IF(OR(A312="COUPON/MISC ITEMS",A312="(CORP USE ONLY)"),"Excluded","Included")</x:f>
        <x:v>Included</x:v>
      </x:c>
      <x:c r="F312" s="40"/>
    </x:row>
    <x:row r="313" ht="28" customHeight="1">
      <x:c r="A313" s="40" t="str">
        <x:v>NATURAL HBC</x:v>
      </x:c>
      <x:c r="B313" s="46" t="n">
        <x:v>214.49</x:v>
      </x:c>
      <x:c r="C313" s="46" t="n">
        <x:v>16.15</x:v>
      </x:c>
      <x:c r="D313" s="51" t="n">
        <x:f>IF(B313=0,"n.a.",C313/B313)</x:f>
        <x:v>0.07529488554244952</x:v>
      </x:c>
      <x:c r="E313" s="48" t="str">
        <x:f>IF(OR(A313="COUPON/MISC ITEMS",A313="(CORP USE ONLY)"),"Excluded","Included")</x:f>
        <x:v>Included</x:v>
      </x:c>
      <x:c r="F313" s="40"/>
    </x:row>
    <x:row r="314" ht="28" customHeight="1">
      <x:c r="A314" s="40" t="str">
        <x:v>PHARMACY</x:v>
      </x:c>
      <x:c r="B314" s="46" t="n">
        <x:v>147.56</x:v>
      </x:c>
      <x:c r="C314" s="46" t="n">
        <x:v>0</x:v>
      </x:c>
      <x:c r="D314" s="51" t="n">
        <x:f>IF(B314=0,"n.a.",C314/B314)</x:f>
        <x:v>0</x:v>
      </x:c>
      <x:c r="E314" s="48" t="str">
        <x:f>IF(OR(A314="COUPON/MISC ITEMS",A314="(CORP USE ONLY)"),"Excluded","Included")</x:f>
        <x:v>Included</x:v>
      </x:c>
      <x:c r="F314" s="40"/>
    </x:row>
    <x:row r="315" ht="28" customHeight="1">
      <x:c r="A315" s="40" t="str">
        <x:v>RESTRICTED DIET</x:v>
      </x:c>
      <x:c r="B315" s="46" t="n">
        <x:v>131.05</x:v>
      </x:c>
      <x:c r="C315" s="46" t="n">
        <x:v>43.26</x:v>
      </x:c>
      <x:c r="D315" s="51" t="n">
        <x:f>IF(B315=0,"n.a.",C315/B315)</x:f>
        <x:v>0.3301030141167493</x:v>
      </x:c>
      <x:c r="E315" s="48" t="str">
        <x:f>IF(OR(A315="COUPON/MISC ITEMS",A315="(CORP USE ONLY)"),"Excluded","Included")</x:f>
        <x:v>Included</x:v>
      </x:c>
      <x:c r="F315" s="40"/>
    </x:row>
    <x:row r="316" ht="28" customHeight="1">
      <x:c r="A316" s="40" t="str">
        <x:v>HOME HEALTH CARE</x:v>
      </x:c>
      <x:c r="B316" s="46" t="n">
        <x:v>126.07</x:v>
      </x:c>
      <x:c r="C316" s="46" t="n">
        <x:v>0</x:v>
      </x:c>
      <x:c r="D316" s="51" t="n">
        <x:f>IF(B316=0,"n.a.",C316/B316)</x:f>
        <x:v>0</x:v>
      </x:c>
      <x:c r="E316" s="48" t="str">
        <x:f>IF(OR(A316="COUPON/MISC ITEMS",A316="(CORP USE ONLY)"),"Excluded","Included")</x:f>
        <x:v>Included</x:v>
      </x:c>
      <x:c r="F316" s="40"/>
    </x:row>
    <x:row r="317" ht="28" customHeight="1">
      <x:c r="A317" s="40" t="str">
        <x:v>BOTTLE DEPOSITS</x:v>
      </x:c>
      <x:c r="B317" s="46" t="n">
        <x:v>116.6</x:v>
      </x:c>
      <x:c r="C317" s="46" t="n">
        <x:v>0</x:v>
      </x:c>
      <x:c r="D317" s="51" t="n">
        <x:f>IF(B317=0,"n.a.",C317/B317)</x:f>
        <x:v>0</x:v>
      </x:c>
      <x:c r="E317" s="48" t="str">
        <x:f>IF(OR(A317="COUPON/MISC ITEMS",A317="(CORP USE ONLY)"),"Excluded","Included")</x:f>
        <x:v>Included</x:v>
      </x:c>
      <x:c r="F317" s="40"/>
    </x:row>
    <x:row r="318" ht="28" customHeight="1">
      <x:c r="A318" s="40" t="str">
        <x:v>PROD SUPPLIES</x:v>
      </x:c>
      <x:c r="B318" s="46" t="n">
        <x:v>108.67</x:v>
      </x:c>
      <x:c r="C318" s="46" t="n">
        <x:v>0</x:v>
      </x:c>
      <x:c r="D318" s="51" t="n">
        <x:f>IF(B318=0,"n.a.",C318/B318)</x:f>
        <x:v>0</x:v>
      </x:c>
      <x:c r="E318" s="48" t="str">
        <x:f>IF(OR(A318="COUPON/MISC ITEMS",A318="(CORP USE ONLY)"),"Excluded","Included")</x:f>
        <x:v>Included</x:v>
      </x:c>
      <x:c r="F318" s="40"/>
    </x:row>
    <x:row r="319" ht="28" customHeight="1">
      <x:c r="A319" s="40" t="str">
        <x:v>MISCELLANEOUS HBC</x:v>
      </x:c>
      <x:c r="B319" s="46" t="n">
        <x:v>87.4</x:v>
      </x:c>
      <x:c r="C319" s="46" t="n">
        <x:v>0</x:v>
      </x:c>
      <x:c r="D319" s="51" t="n">
        <x:f>IF(B319=0,"n.a.",C319/B319)</x:f>
        <x:v>0</x:v>
      </x:c>
      <x:c r="E319" s="48" t="str">
        <x:f>IF(OR(A319="COUPON/MISC ITEMS",A319="(CORP USE ONLY)"),"Excluded","Included")</x:f>
        <x:v>Included</x:v>
      </x:c>
      <x:c r="F319" s="40"/>
    </x:row>
    <x:row r="320" ht="28" customHeight="1">
      <x:c r="A320" s="40" t="str">
        <x:v>BOUQUET (NON ROSE)</x:v>
      </x:c>
      <x:c r="B320" s="46" t="n">
        <x:v>80.9</x:v>
      </x:c>
      <x:c r="C320" s="46" t="n">
        <x:v>0</x:v>
      </x:c>
      <x:c r="D320" s="51" t="n">
        <x:f>IF(B320=0,"n.a.",C320/B320)</x:f>
        <x:v>0</x:v>
      </x:c>
      <x:c r="E320" s="48" t="str">
        <x:f>IF(OR(A320="COUPON/MISC ITEMS",A320="(CORP USE ONLY)"),"Excluded","Included")</x:f>
        <x:v>Included</x:v>
      </x:c>
      <x:c r="F320" s="40"/>
    </x:row>
    <x:row r="321" ht="28" customHeight="1">
      <x:c r="A321" s="40" t="str">
        <x:v>RW FRESH PROCESSED MEAT</x:v>
      </x:c>
      <x:c r="B321" s="46" t="n">
        <x:v>58.77</x:v>
      </x:c>
      <x:c r="C321" s="46" t="n">
        <x:v>5.2</x:v>
      </x:c>
      <x:c r="D321" s="51" t="n">
        <x:f>IF(B321=0,"n.a.",C321/B321)</x:f>
        <x:v>0.08848051727071635</x:v>
      </x:c>
      <x:c r="E321" s="48" t="str">
        <x:f>IF(OR(A321="COUPON/MISC ITEMS",A321="(CORP USE ONLY)"),"Excluded","Included")</x:f>
        <x:v>Included</x:v>
      </x:c>
      <x:c r="F321" s="40"/>
    </x:row>
    <x:row r="322" ht="28" customHeight="1">
      <x:c r="A322" s="40" t="str">
        <x:v>BULK FOODS</x:v>
      </x:c>
      <x:c r="B322" s="46" t="n">
        <x:v>41.02</x:v>
      </x:c>
      <x:c r="C322" s="46" t="n">
        <x:v>0</x:v>
      </x:c>
      <x:c r="D322" s="51" t="n">
        <x:f>IF(B322=0,"n.a.",C322/B322)</x:f>
        <x:v>0</x:v>
      </x:c>
      <x:c r="E322" s="48" t="str">
        <x:f>IF(OR(A322="COUPON/MISC ITEMS",A322="(CORP USE ONLY)"),"Excluded","Included")</x:f>
        <x:v>Included</x:v>
      </x:c>
      <x:c r="F322" s="40"/>
    </x:row>
    <x:row r="323" ht="28" customHeight="1">
      <x:c r="A323" s="40" t="str">
        <x:v>EASTER LILY</x:v>
      </x:c>
      <x:c r="B323" s="46" t="n">
        <x:v>31.98</x:v>
      </x:c>
      <x:c r="C323" s="46" t="n">
        <x:v>0</x:v>
      </x:c>
      <x:c r="D323" s="51" t="n">
        <x:f>IF(B323=0,"n.a.",C323/B323)</x:f>
        <x:v>0</x:v>
      </x:c>
      <x:c r="E323" s="48" t="str">
        <x:f>IF(OR(A323="COUPON/MISC ITEMS",A323="(CORP USE ONLY)"),"Excluded","Included")</x:f>
        <x:v>Included</x:v>
      </x:c>
      <x:c r="F323" s="40"/>
    </x:row>
    <x:row r="324" ht="28" customHeight="1">
      <x:c r="A324" s="40" t="str">
        <x:v>PKG.SEAFOOD MISC</x:v>
      </x:c>
      <x:c r="B324" s="46" t="n">
        <x:v>27.92</x:v>
      </x:c>
      <x:c r="C324" s="46" t="n">
        <x:v>0</x:v>
      </x:c>
      <x:c r="D324" s="51" t="n">
        <x:f>IF(B324=0,"n.a.",C324/B324)</x:f>
        <x:v>0</x:v>
      </x:c>
      <x:c r="E324" s="48" t="str">
        <x:f>IF(OR(A324="COUPON/MISC ITEMS",A324="(CORP USE ONLY)"),"Excluded","Included")</x:f>
        <x:v>Included</x:v>
      </x:c>
      <x:c r="F324" s="40"/>
    </x:row>
    <x:row r="325" ht="28" customHeight="1">
      <x:c r="A325" s="40" t="str">
        <x:v>FROZEN PACKAGE MEAT</x:v>
      </x:c>
      <x:c r="B325" s="46" t="n">
        <x:v>12.99</x:v>
      </x:c>
      <x:c r="C325" s="46" t="n">
        <x:v>0</x:v>
      </x:c>
      <x:c r="D325" s="51" t="n">
        <x:f>IF(B325=0,"n.a.",C325/B325)</x:f>
        <x:v>0</x:v>
      </x:c>
      <x:c r="E325" s="48" t="str">
        <x:f>IF(OR(A325="COUPON/MISC ITEMS",A325="(CORP USE ONLY)"),"Excluded","Included")</x:f>
        <x:v>Included</x:v>
      </x:c>
      <x:c r="F325" s="40"/>
    </x:row>
    <x:row r="326" ht="28" customHeight="1">
      <x:c r="A326" s="40" t="str">
        <x:v>NDAIRY/TEAS/JUICE/SOD</x:v>
      </x:c>
      <x:c r="B326" s="46" t="n">
        <x:v>11.78</x:v>
      </x:c>
      <x:c r="C326" s="46" t="n">
        <x:v>0</x:v>
      </x:c>
      <x:c r="D326" s="51" t="n">
        <x:f>IF(B326=0,"n.a.",C326/B326)</x:f>
        <x:v>0</x:v>
      </x:c>
      <x:c r="E326" s="48" t="str">
        <x:f>IF(OR(A326="COUPON/MISC ITEMS",A326="(CORP USE ONLY)"),"Excluded","Included")</x:f>
        <x:v>Included</x:v>
      </x:c>
      <x:c r="F326" s="40"/>
    </x:row>
    <x:row r="327" ht="28" customHeight="1">
      <x:c r="A327" s="40" t="str">
        <x:v>TOYS</x:v>
      </x:c>
      <x:c r="B327" s="46" t="n">
        <x:v>9.84</x:v>
      </x:c>
      <x:c r="C327" s="46" t="n">
        <x:v>3.18</x:v>
      </x:c>
      <x:c r="D327" s="51" t="n">
        <x:f>IF(B327=0,"n.a.",C327/B327)</x:f>
        <x:v>0.3231707317073171</x:v>
      </x:c>
      <x:c r="E327" s="48" t="str">
        <x:f>IF(OR(A327="COUPON/MISC ITEMS",A327="(CORP USE ONLY)"),"Excluded","Included")</x:f>
        <x:v>Included</x:v>
      </x:c>
      <x:c r="F327" s="40"/>
    </x:row>
    <x:row r="328" ht="28" customHeight="1">
      <x:c r="A328" s="40" t="str">
        <x:v>MISCELLANEOUS CROUTONS</x:v>
      </x:c>
      <x:c r="B328" s="46" t="n">
        <x:v>6.39</x:v>
      </x:c>
      <x:c r="C328" s="46" t="n">
        <x:v>0</x:v>
      </x:c>
      <x:c r="D328" s="51" t="n">
        <x:f>IF(B328=0,"n.a.",C328/B328)</x:f>
        <x:v>0</x:v>
      </x:c>
      <x:c r="E328" s="48" t="str">
        <x:f>IF(OR(A328="COUPON/MISC ITEMS",A328="(CORP USE ONLY)"),"Excluded","Included")</x:f>
        <x:v>Included</x:v>
      </x:c>
      <x:c r="F328" s="40"/>
    </x:row>
    <x:row r="329" ht="28" customHeight="1">
      <x:c r="A329" s="40" t="str">
        <x:v>MISCELLANEOUS(CORP USE ONLY)</x:v>
      </x:c>
      <x:c r="B329" s="46" t="n">
        <x:v>2.29</x:v>
      </x:c>
      <x:c r="C329" s="46" t="n">
        <x:v>0</x:v>
      </x:c>
      <x:c r="D329" s="51" t="n">
        <x:f>IF(B329=0,"n.a.",C329/B329)</x:f>
        <x:v>0</x:v>
      </x:c>
      <x:c r="E329" s="48" t="str">
        <x:f>IF(OR(A329="COUPON/MISC ITEMS",A329="(CORP USE ONLY)"),"Excluded","Included")</x:f>
        <x:v>Included</x:v>
      </x:c>
      <x:c r="F329" s="40"/>
    </x:row>
  </x:sheetData>
  <x:mergeCells>
    <x:mergeCell ref="A1:F2"/>
    <x:mergeCell ref="A3:F4"/>
    <x:mergeCell ref="A17:F18"/>
  </x:mergeCells>
  <x:conditionalFormatting sqref="F7:F15">
    <x:cfRule type="containsText" dxfId="10" priority="1" operator="containsText" text="PASS"/>
    <x:cfRule type="containsText" dxfId="11" priority="2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475B74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" hidden="0" customWidth="1"/>
    <x:col min="2" max="2" width="4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28" customHeight="1">
      <x:c r="A1" s="55" t="str">
        <x:v>Promotion reconciliation</x:v>
      </x:c>
      <x:c r="B1" s="54"/>
      <x:c r="C1" s="54"/>
      <x:c r="D1" s="54"/>
      <x:c r="E1" s="54"/>
      <x:c r="F1" s="54"/>
      <x:c r="G1" s="54"/>
      <x:c r="H1" s="54"/>
      <x:c r="I1" s="54"/>
      <x:c r="J1" s="54"/>
    </x:row>
    <x:row r="2" ht="28" customHeight="1">
      <x:c r="A2" s="54"/>
      <x:c r="B2" s="54"/>
      <x:c r="C2" s="54"/>
      <x:c r="D2" s="54"/>
      <x:c r="E2" s="54"/>
      <x:c r="F2" s="54"/>
      <x:c r="G2" s="54"/>
      <x:c r="H2" s="54"/>
      <x:c r="I2" s="54"/>
      <x:c r="J2" s="54"/>
    </x:row>
    <x:row r="3" ht="25" customHeight="1">
      <x:c r="A3" s="56" t="str">
        <x:v>Promotion exposure uses baskets containing any promoted line. Promotion dependence uses sales on promoted lines. These are different denominators.</x:v>
      </x:c>
      <x:c r="B3" s="34"/>
      <x:c r="C3" s="34"/>
      <x:c r="D3" s="34"/>
      <x:c r="E3" s="34"/>
      <x:c r="F3" s="34"/>
      <x:c r="G3" s="34"/>
      <x:c r="H3" s="34"/>
      <x:c r="I3" s="34"/>
      <x:c r="J3" s="34"/>
    </x:row>
    <x:row r="4" ht="25" customHeight="1">
      <x:c r="A4" s="34"/>
      <x:c r="B4" s="34"/>
      <x:c r="C4" s="34"/>
      <x:c r="D4" s="34"/>
      <x:c r="E4" s="34"/>
      <x:c r="F4" s="34"/>
      <x:c r="G4" s="34"/>
      <x:c r="H4" s="34"/>
      <x:c r="I4" s="34"/>
      <x:c r="J4" s="34"/>
    </x:row>
    <x:row r="5" ht="28" customHeight="1">
      <x:c r="A5" s="40"/>
      <x:c r="B5" s="40"/>
      <x:c r="C5" s="40"/>
      <x:c r="D5" s="40"/>
      <x:c r="E5" s="40"/>
      <x:c r="F5" s="40"/>
      <x:c r="G5" s="40"/>
      <x:c r="H5" s="40"/>
      <x:c r="I5" s="40"/>
      <x:c r="J5" s="40"/>
    </x:row>
    <x:row r="6" ht="42" customHeight="1">
      <x:c r="A6" s="58" t="str">
        <x:v>ID</x:v>
      </x:c>
      <x:c r="B6" s="58" t="str">
        <x:v>Segment</x:v>
      </x:c>
      <x:c r="C6" s="58" t="str">
        <x:v>Mean basket exposure</x:v>
      </x:c>
      <x:c r="D6" s="58" t="str">
        <x:v>SQL control</x:v>
      </x:c>
      <x:c r="E6" s="58" t="str">
        <x:v>Check</x:v>
      </x:c>
      <x:c r="F6" s="58" t="str">
        <x:v>Mean line dependence</x:v>
      </x:c>
      <x:c r="G6" s="58" t="str">
        <x:v>SQL control</x:v>
      </x:c>
      <x:c r="H6" s="58" t="str">
        <x:v>Check</x:v>
      </x:c>
      <x:c r="I6" s="58" t="str">
        <x:v>Promo basket value</x:v>
      </x:c>
      <x:c r="J6" s="58" t="str">
        <x:v>Other basket value</x:v>
      </x:c>
    </x:row>
    <x:row r="7" ht="46" customHeight="1">
      <x:c r="A7" s="53" t="n">
        <x:v>1</x:v>
      </x:c>
      <x:c r="B7" s="40" t="str">
        <x:v>High-Value Frequent Shoppers</x:v>
      </x:c>
      <x:c r="C7" s="51" t="n">
        <x:f>AVERAGEIFS('02_Segment_Summary'!$I$20:$I$2519,'02_Segment_Summary'!$B$20:$B$2519,A7)</x:f>
        <x:v>0.853736901560486</x:v>
      </x:c>
      <x:c r="D7" s="52" t="n">
        <x:v>0.853736901560487</x:v>
      </x:c>
      <x:c r="E7" s="48" t="str">
        <x:f>IF(ABS(C7-D7)&lt;=0.000001,"PASS","FAIL")</x:f>
        <x:v>PASS</x:v>
      </x:c>
      <x:c r="F7" s="51" t="n">
        <x:f>AVERAGEIFS('02_Segment_Summary'!$J$20:$J$2519,'02_Segment_Summary'!$B$20:$B$2519,A7)</x:f>
        <x:v>0.5120689289242389</x:v>
      </x:c>
      <x:c r="G7" s="52" t="n">
        <x:v>0.5120689289242388</x:v>
      </x:c>
      <x:c r="H7" s="48" t="str">
        <x:f>IF(ABS(F7-G7)&lt;=0.000001,"PASS","FAIL")</x:f>
        <x:v>PASS</x:v>
      </x:c>
      <x:c r="I7" s="45" t="n">
        <x:f>SUMIFS('02_Segment_Summary'!$K$20:$K$2519,'02_Segment_Summary'!$B$20:$B$2519,A7)/SUMIFS('02_Segment_Summary'!$M$20:$M$2519,'02_Segment_Summary'!$B$20:$B$2519,A7)</x:f>
        <x:v>33.62452572779034</x:v>
      </x:c>
      <x:c r="J7" s="45" t="n">
        <x:f>SUMIFS('02_Segment_Summary'!$L$20:$L$2519,'02_Segment_Summary'!$B$20:$B$2519,A7)/SUMIFS('02_Segment_Summary'!$N$20:$N$2519,'02_Segment_Summary'!$B$20:$B$2519,A7)</x:f>
        <x:v>9.111047562088821</x:v>
      </x:c>
    </x:row>
    <x:row r="8" ht="46" customHeight="1">
      <x:c r="A8" s="53" t="n">
        <x:v>2</x:v>
      </x:c>
      <x:c r="B8" s="40" t="str">
        <x:v>Large-Basket Occasional Shoppers</x:v>
      </x:c>
      <x:c r="C8" s="51" t="n">
        <x:f>AVERAGEIFS('02_Segment_Summary'!$I$20:$I$2519,'02_Segment_Summary'!$B$20:$B$2519,A8)</x:f>
        <x:v>0.8993945195308882</x:v>
      </x:c>
      <x:c r="D8" s="52" t="n">
        <x:v>0.8993945195308871</x:v>
      </x:c>
      <x:c r="E8" s="48" t="str">
        <x:f>IF(ABS(C8-D8)&lt;=0.000001,"PASS","FAIL")</x:f>
        <x:v>PASS</x:v>
      </x:c>
      <x:c r="F8" s="51" t="n">
        <x:f>AVERAGEIFS('02_Segment_Summary'!$J$20:$J$2519,'02_Segment_Summary'!$B$20:$B$2519,A8)</x:f>
        <x:v>0.513570346333297</x:v>
      </x:c>
      <x:c r="G8" s="52" t="n">
        <x:v>0.513570346333297</x:v>
      </x:c>
      <x:c r="H8" s="48" t="str">
        <x:f>IF(ABS(F8-G8)&lt;=0.000001,"PASS","FAIL")</x:f>
        <x:v>PASS</x:v>
      </x:c>
      <x:c r="I8" s="45" t="n">
        <x:f>SUMIFS('02_Segment_Summary'!$K$20:$K$2519,'02_Segment_Summary'!$B$20:$B$2519,A8)/SUMIFS('02_Segment_Summary'!$M$20:$M$2519,'02_Segment_Summary'!$B$20:$B$2519,A8)</x:f>
        <x:v>39.86078651685389</x:v>
      </x:c>
      <x:c r="J8" s="45" t="n">
        <x:f>SUMIFS('02_Segment_Summary'!$L$20:$L$2519,'02_Segment_Summary'!$B$20:$B$2519,A8)/SUMIFS('02_Segment_Summary'!$N$20:$N$2519,'02_Segment_Summary'!$B$20:$B$2519,A8)</x:f>
        <x:v>11.200889588663648</x:v>
      </x:c>
    </x:row>
    <x:row r="9" ht="46" customHeight="1">
      <x:c r="A9" s="53" t="n">
        <x:v>3</x:v>
      </x:c>
      <x:c r="B9" s="40" t="str">
        <x:v>Low-Value Low-Engagement Shoppers</x:v>
      </x:c>
      <x:c r="C9" s="51" t="n">
        <x:f>AVERAGEIFS('02_Segment_Summary'!$I$20:$I$2519,'02_Segment_Summary'!$B$20:$B$2519,A9)</x:f>
        <x:v>0.7469202097321676</x:v>
      </x:c>
      <x:c r="D9" s="52" t="n">
        <x:v>0.7469202097321677</x:v>
      </x:c>
      <x:c r="E9" s="48" t="str">
        <x:f>IF(ABS(C9-D9)&lt;=0.000001,"PASS","FAIL")</x:f>
        <x:v>PASS</x:v>
      </x:c>
      <x:c r="F9" s="51" t="n">
        <x:f>AVERAGEIFS('02_Segment_Summary'!$J$20:$J$2519,'02_Segment_Summary'!$B$20:$B$2519,A9)</x:f>
        <x:v>0.463473301127781</x:v>
      </x:c>
      <x:c r="G9" s="52" t="n">
        <x:v>0.463473301127781</x:v>
      </x:c>
      <x:c r="H9" s="48" t="str">
        <x:f>IF(ABS(F9-G9)&lt;=0.000001,"PASS","FAIL")</x:f>
        <x:v>PASS</x:v>
      </x:c>
      <x:c r="I9" s="45" t="n">
        <x:f>SUMIFS('02_Segment_Summary'!$K$20:$K$2519,'02_Segment_Summary'!$B$20:$B$2519,A9)/SUMIFS('02_Segment_Summary'!$M$20:$M$2519,'02_Segment_Summary'!$B$20:$B$2519,A9)</x:f>
        <x:v>16.155401559271084</x:v>
      </x:c>
      <x:c r="J9" s="45" t="n">
        <x:f>SUMIFS('02_Segment_Summary'!$L$20:$L$2519,'02_Segment_Summary'!$B$20:$B$2519,A9)/SUMIFS('02_Segment_Summary'!$N$20:$N$2519,'02_Segment_Summary'!$B$20:$B$2519,A9)</x:f>
        <x:v>7.146594105417635</x:v>
      </x:c>
    </x:row>
    <x:row r="10" ht="28" customHeight="1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</x:row>
    <x:row r="11" ht="28" customHeight="1">
      <x:c r="A11" s="40"/>
      <x:c r="B11" s="40"/>
      <x:c r="C11" s="40"/>
      <x:c r="D11" s="40"/>
      <x:c r="E11" s="40"/>
      <x:c r="F11" s="40"/>
      <x:c r="G11" s="40"/>
      <x:c r="H11" s="40"/>
      <x:c r="I11" s="40"/>
      <x:c r="J11" s="40"/>
    </x:row>
    <x:row r="12" ht="28" customHeight="1">
      <x:c r="A12" s="40"/>
      <x:c r="B12" s="40"/>
      <x:c r="C12" s="40"/>
      <x:c r="D12" s="40"/>
      <x:c r="E12" s="40"/>
      <x:c r="F12" s="40"/>
      <x:c r="G12" s="40"/>
      <x:c r="H12" s="40"/>
      <x:c r="I12" s="40"/>
      <x:c r="J12" s="40"/>
    </x:row>
    <x:row r="13" ht="42" customHeight="1">
      <x:c r="A13" s="58" t="str">
        <x:v>ID</x:v>
      </x:c>
      <x:c r="B13" s="58" t="str">
        <x:v>Segment</x:v>
      </x:c>
      <x:c r="C13" s="58" t="str">
        <x:v>Promo basket sales</x:v>
      </x:c>
      <x:c r="D13" s="58" t="str">
        <x:v>Other basket sales</x:v>
      </x:c>
      <x:c r="E13" s="58" t="str">
        <x:v>Combined sales</x:v>
      </x:c>
      <x:c r="F13" s="58" t="str">
        <x:v>SQL sales</x:v>
      </x:c>
      <x:c r="G13" s="58" t="str">
        <x:v>Check</x:v>
      </x:c>
      <x:c r="H13" s="58" t="str">
        <x:v>Promo baskets</x:v>
      </x:c>
      <x:c r="I13" s="58" t="str">
        <x:v>Other baskets</x:v>
      </x:c>
      <x:c r="J13" s="58" t="str">
        <x:v>Basket check</x:v>
      </x:c>
    </x:row>
    <x:row r="14" ht="46" customHeight="1">
      <x:c r="A14" s="53" t="n">
        <x:v>1</x:v>
      </x:c>
      <x:c r="B14" s="40" t="str">
        <x:v>High-Value Frequent Shoppers</x:v>
      </x:c>
      <x:c r="C14" s="45" t="n">
        <x:f>SUMIFS('02_Segment_Summary'!$K$20:$K$2519,'02_Segment_Summary'!$B$20:$B$2519,A14)</x:f>
        <x:v>5634192.780000005</x:v>
      </x:c>
      <x:c r="D14" s="45" t="n">
        <x:f>SUMIFS('02_Segment_Summary'!$L$20:$L$2519,'02_Segment_Summary'!$B$20:$B$2519,A14)</x:f>
        <x:v>289448.86999999976</x:v>
      </x:c>
      <x:c r="E14" s="45" t="n">
        <x:f>SUM(C14:D14)</x:f>
        <x:v>5923641.650000005</x:v>
      </x:c>
      <x:c r="F14" s="46" t="n">
        <x:v>5923641.65</x:v>
      </x:c>
      <x:c r="G14" s="48" t="str">
        <x:f>IF(ABS(E14-F14)&lt;=0.01,"PASS","FAIL")</x:f>
        <x:v>PASS</x:v>
      </x:c>
      <x:c r="H14" s="49" t="n">
        <x:f>SUMIFS('02_Segment_Summary'!$M$20:$M$2519,'02_Segment_Summary'!$B$20:$B$2519,A14)</x:f>
        <x:v>167562</x:v>
      </x:c>
      <x:c r="I14" s="49" t="n">
        <x:f>SUMIFS('02_Segment_Summary'!$N$20:$N$2519,'02_Segment_Summary'!$B$20:$B$2519,A14)</x:f>
        <x:v>31769</x:v>
      </x:c>
      <x:c r="J14" s="48" t="str">
        <x:f>IF(SUM(H14:I14)=SUMIFS('02_Segment_Summary'!$E$20:$E$2519,'02_Segment_Summary'!$B$20:$B$2519,A14),"PASS","FAIL")</x:f>
        <x:v>PASS</x:v>
      </x:c>
    </x:row>
    <x:row r="15" ht="46" customHeight="1">
      <x:c r="A15" s="53" t="n">
        <x:v>2</x:v>
      </x:c>
      <x:c r="B15" s="40" t="str">
        <x:v>Large-Basket Occasional Shoppers</x:v>
      </x:c>
      <x:c r="C15" s="45" t="n">
        <x:f>SUMIFS('02_Segment_Summary'!$K$20:$K$2519,'02_Segment_Summary'!$B$20:$B$2519,A15)</x:f>
        <x:v>1674471.9199999983</x:v>
      </x:c>
      <x:c r="D15" s="45" t="n">
        <x:f>SUMIFS('02_Segment_Summary'!$L$20:$L$2519,'02_Segment_Summary'!$B$20:$B$2519,A15)</x:f>
        <x:v>56911.719999999994</x:v>
      </x:c>
      <x:c r="E15" s="45" t="n">
        <x:f>SUM(C15:D15)</x:f>
        <x:v>1731383.6399999983</x:v>
      </x:c>
      <x:c r="F15" s="46" t="n">
        <x:v>1731383.64</x:v>
      </x:c>
      <x:c r="G15" s="48" t="str">
        <x:f>IF(ABS(E15-F15)&lt;=0.01,"PASS","FAIL")</x:f>
        <x:v>PASS</x:v>
      </x:c>
      <x:c r="H15" s="49" t="n">
        <x:f>SUMIFS('02_Segment_Summary'!$M$20:$M$2519,'02_Segment_Summary'!$B$20:$B$2519,A15)</x:f>
        <x:v>42008</x:v>
      </x:c>
      <x:c r="I15" s="49" t="n">
        <x:f>SUMIFS('02_Segment_Summary'!$N$20:$N$2519,'02_Segment_Summary'!$B$20:$B$2519,A15)</x:f>
        <x:v>5081</x:v>
      </x:c>
      <x:c r="J15" s="48" t="str">
        <x:f>IF(SUM(H15:I15)=SUMIFS('02_Segment_Summary'!$E$20:$E$2519,'02_Segment_Summary'!$B$20:$B$2519,A15),"PASS","FAIL")</x:f>
        <x:v>PASS</x:v>
      </x:c>
    </x:row>
    <x:row r="16" ht="46" customHeight="1">
      <x:c r="A16" s="53" t="n">
        <x:v>3</x:v>
      </x:c>
      <x:c r="B16" s="40" t="str">
        <x:v>Low-Value Low-Engagement Shoppers</x:v>
      </x:c>
      <x:c r="C16" s="45" t="n">
        <x:f>SUMIFS('02_Segment_Summary'!$K$20:$K$2519,'02_Segment_Summary'!$B$20:$B$2519,A16)</x:f>
        <x:v>343980.80999999994</x:v>
      </x:c>
      <x:c r="D16" s="45" t="n">
        <x:f>SUMIFS('02_Segment_Summary'!$L$20:$L$2519,'02_Segment_Summary'!$B$20:$B$2519,A16)</x:f>
        <x:v>58437.700000000004</x:v>
      </x:c>
      <x:c r="E16" s="45" t="n">
        <x:f>SUM(C16:D16)</x:f>
        <x:v>402418.50999999995</x:v>
      </x:c>
      <x:c r="F16" s="46" t="n">
        <x:v>402418.51</x:v>
      </x:c>
      <x:c r="G16" s="48" t="str">
        <x:f>IF(ABS(E16-F16)&lt;=0.01,"PASS","FAIL")</x:f>
        <x:v>PASS</x:v>
      </x:c>
      <x:c r="H16" s="49" t="n">
        <x:f>SUMIFS('02_Segment_Summary'!$M$20:$M$2519,'02_Segment_Summary'!$B$20:$B$2519,A16)</x:f>
        <x:v>21292</x:v>
      </x:c>
      <x:c r="I16" s="49" t="n">
        <x:f>SUMIFS('02_Segment_Summary'!$N$20:$N$2519,'02_Segment_Summary'!$B$20:$B$2519,A16)</x:f>
        <x:v>8177</x:v>
      </x:c>
      <x:c r="J16" s="48" t="str">
        <x:f>IF(SUM(H16:I16)=SUMIFS('02_Segment_Summary'!$E$20:$E$2519,'02_Segment_Summary'!$B$20:$B$2519,A16),"PASS","FAIL")</x:f>
        <x:v>PASS</x:v>
      </x:c>
    </x:row>
    <x:row r="17" ht="28" customHeight="1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</x:row>
    <x:row r="18" ht="28" customHeight="1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</x:row>
    <x:row r="19" ht="28" customHeight="1">
      <x:c r="A19" s="59" t="str">
        <x:v>Promo basket sales include every line in a basket with at least one discount. They must not be compared with the 4,108,958.96 promoted-line sales KPI.</x:v>
      </x:c>
      <x:c r="B19" s="40"/>
      <x:c r="C19" s="40"/>
      <x:c r="D19" s="40"/>
      <x:c r="E19" s="40"/>
      <x:c r="F19" s="40"/>
      <x:c r="G19" s="40"/>
      <x:c r="H19" s="40"/>
      <x:c r="I19" s="40"/>
      <x:c r="J19" s="40"/>
    </x:row>
    <x:row r="20" ht="28" customHeight="1">
      <x:c r="A20" s="59"/>
      <x:c r="B20" s="40"/>
      <x:c r="C20" s="40"/>
      <x:c r="D20" s="40"/>
      <x:c r="E20" s="40"/>
      <x:c r="F20" s="40"/>
      <x:c r="G20" s="40"/>
      <x:c r="H20" s="40"/>
      <x:c r="I20" s="40"/>
      <x:c r="J20" s="40"/>
    </x:row>
    <x:row r="21" ht="28" customHeight="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</x:row>
    <x:row r="22" ht="28" customHeight="1">
      <x:c r="A22" s="59" t="str">
        <x:v>Two exploratory Kruskal–Wallis tests compare item counts and promotion spend share across segments. Association does not establish incremental campaign lift or profitability.</x:v>
      </x:c>
      <x:c r="B22" s="40"/>
      <x:c r="C22" s="40"/>
      <x:c r="D22" s="40"/>
      <x:c r="E22" s="40"/>
      <x:c r="F22" s="40"/>
      <x:c r="G22" s="40"/>
      <x:c r="H22" s="40"/>
      <x:c r="I22" s="40"/>
      <x:c r="J22" s="40"/>
    </x:row>
    <x:row r="23" ht="28" customHeight="1">
      <x:c r="A23" s="59"/>
      <x:c r="B23" s="40"/>
      <x:c r="C23" s="40"/>
      <x:c r="D23" s="40"/>
      <x:c r="E23" s="40"/>
      <x:c r="F23" s="40"/>
      <x:c r="G23" s="40"/>
      <x:c r="H23" s="40"/>
      <x:c r="I23" s="40"/>
      <x:c r="J23" s="40"/>
    </x:row>
    <x:row r="24" ht="28" customHeight="1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</x:row>
    <x:row r="25" ht="28" customHeight="1">
      <x:c r="A25" s="59" t="str">
        <x:v>Refresh method: regenerate the CSV snapshot and this workbook after an analytics-layer update. Source controls describe the supplied dataset, not a live database connection.</x:v>
      </x:c>
      <x:c r="B25" s="40"/>
      <x:c r="C25" s="40"/>
      <x:c r="D25" s="40"/>
      <x:c r="E25" s="40"/>
      <x:c r="F25" s="40"/>
      <x:c r="G25" s="40"/>
      <x:c r="H25" s="40"/>
      <x:c r="I25" s="40"/>
      <x:c r="J25" s="40"/>
    </x:row>
    <x:row r="26" ht="28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</x:row>
    <x:row r="27" ht="28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</x:sheetData>
  <x:mergeCells>
    <x:mergeCell ref="A1:J2"/>
    <x:mergeCell ref="A3:J4"/>
    <x:mergeCell ref="A19:J20"/>
    <x:mergeCell ref="A22:J23"/>
    <x:mergeCell ref="A25:J27"/>
  </x:mergeCells>
  <x:conditionalFormatting sqref="E7:E9">
    <x:cfRule type="containsText" dxfId="12" priority="1" operator="containsText" text="PASS"/>
    <x:cfRule type="containsText" dxfId="13" priority="2" operator="containsText" text="FAIL"/>
  </x:conditionalFormatting>
  <x:conditionalFormatting sqref="H7:H9">
    <x:cfRule type="containsText" dxfId="14" priority="3" operator="containsText" text="PASS"/>
    <x:cfRule type="containsText" dxfId="15" priority="4" operator="containsText" text="FAIL"/>
  </x:conditionalFormatting>
  <x:conditionalFormatting sqref="G14:G16">
    <x:cfRule type="containsText" dxfId="16" priority="5" operator="containsText" text="PASS"/>
    <x:cfRule type="containsText" dxfId="17" priority="6" operator="containsText" text="FAIL"/>
  </x:conditionalFormatting>
  <x:conditionalFormatting sqref="J14:J16">
    <x:cfRule type="containsText" dxfId="18" priority="7" operator="containsText" text="PASS"/>
    <x:cfRule type="containsText" dxfId="19" priority="8" operator="containsText" text="FAIL"/>
  </x:conditionalFormatting>
  <x:pageMargins left="0.7" right="0.7" top="0.75" bottom="0.75" header="0.3" footer="0.3"/>
</x:worksheet>
</file>